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ustomProperty2.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pivotTables/pivotTable8.xml" ContentType="application/vnd.openxmlformats-officedocument.spreadsheetml.pivot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timelines/timeline2.xml" ContentType="application/vnd.ms-excel.timelin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hidePivotFieldList="1" defaultThemeVersion="166925"/>
  <mc:AlternateContent xmlns:mc="http://schemas.openxmlformats.org/markup-compatibility/2006">
    <mc:Choice Requires="x15">
      <x15ac:absPath xmlns:x15ac="http://schemas.microsoft.com/office/spreadsheetml/2010/11/ac" url="C:\Users\karee\Desktop\Master List\"/>
    </mc:Choice>
  </mc:AlternateContent>
  <xr:revisionPtr revIDLastSave="0" documentId="13_ncr:1_{22CA951E-7CC1-4EF2-8DD0-0505C2259F76}" xr6:coauthVersionLast="45" xr6:coauthVersionMax="46" xr10:uidLastSave="{00000000-0000-0000-0000-000000000000}"/>
  <bookViews>
    <workbookView xWindow="-120" yWindow="-120" windowWidth="20730" windowHeight="11310" xr2:uid="{73097E03-4C65-4EA6-ABDF-EA362E770085}"/>
  </bookViews>
  <sheets>
    <sheet name="Introduction" sheetId="6" r:id="rId1"/>
    <sheet name="Dashboard" sheetId="7" r:id="rId2"/>
    <sheet name="Sheet1" sheetId="14" state="hidden" r:id="rId3"/>
    <sheet name="Employee Database" sheetId="1" r:id="rId4"/>
    <sheet name="Raw Data" sheetId="8" r:id="rId5"/>
    <sheet name="Headcount Overview" sheetId="12" r:id="rId6"/>
    <sheet name="Payroll" sheetId="9" r:id="rId7"/>
  </sheets>
  <definedNames>
    <definedName name="_aaa1" hidden="1">{#N/A,#N/A,FALSE,"Antony Financials";#N/A,#N/A,FALSE,"Cowboy Financials";#N/A,#N/A,FALSE,"Combined";#N/A,#N/A,FALSE,"Valuematrix";#N/A,#N/A,FALSE,"DCFAntony";#N/A,#N/A,FALSE,"DCFCowboy";#N/A,#N/A,FALSE,"DCFCombined"}</definedName>
    <definedName name="_GSRATES_1" hidden="1">"H2002123120021231CADUSD1000001"</definedName>
    <definedName name="_GSRATES_10" hidden="1">"CF3000012002093020020101"</definedName>
    <definedName name="_GSRATES_11" hidden="1">"CF300001Invalid 20030930"</definedName>
    <definedName name="_GSRATES_12" hidden="1">"CT30000120030930        "</definedName>
    <definedName name="_GSRATES_13" hidden="1">"CT30000120030930        "</definedName>
    <definedName name="_GSRATES_2" hidden="1">"CT30000120030630        "</definedName>
    <definedName name="_GSRATES_3" hidden="1">"CF3000012003063020030101"</definedName>
    <definedName name="_GSRATES_4" hidden="1">"CT3000012003063020030101"</definedName>
    <definedName name="_GSRATES_5" hidden="1">"CF3000012002123120020101"</definedName>
    <definedName name="_GSRATES_6" hidden="1">"CF3000012002063020020101"</definedName>
    <definedName name="_GSRATES_7" hidden="1">"CF3000012003063020030101"</definedName>
    <definedName name="_GSRATES_8" hidden="1">"CF3000012003093020030101"</definedName>
    <definedName name="_GSRATES_9" hidden="1">"CF3000012002123120020101"</definedName>
    <definedName name="_GSRATES_COUNT" hidden="1">7</definedName>
    <definedName name="_GSRATES_COUNT1" hidden="1">13</definedName>
    <definedName name="_GSRATESR_1" hidden="1">#REF!</definedName>
    <definedName name="_GSRATESR_10" hidden="1">#REF!</definedName>
    <definedName name="_GSRATESR_11" hidden="1">#REF!</definedName>
    <definedName name="_GSRATESR_12" hidden="1">#REF!</definedName>
    <definedName name="_GSRATESR_13" hidden="1">#REF!</definedName>
    <definedName name="_GSRATESR_3" hidden="1">#REF!</definedName>
    <definedName name="_GSRATESR_4" hidden="1">#REF!</definedName>
    <definedName name="_GSRATESR_5" hidden="1">#REF!</definedName>
    <definedName name="_GSRATESR_6" hidden="1">#REF!</definedName>
    <definedName name="_GSRATESR_7" hidden="1">#REF!</definedName>
    <definedName name="_GSRATESR_8" hidden="1">#REF!</definedName>
    <definedName name="_GSRATESR_9" hidden="1">#REF!</definedName>
    <definedName name="a"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AAA_DOCTOPS" hidden="1">"AAA_SET"</definedName>
    <definedName name="AAA_duser" hidden="1">"OFF"</definedName>
    <definedName name="AAA_u999998" hidden="1">"nlfoote@970721231427"</definedName>
    <definedName name="AAA_u999999" hidden="1">"nlfoote@970721231348"</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df" hidden="1">{#N/A,#N/A,FALSE,"CreditStat";#N/A,#N/A,FALSE,"SPbrkup";#N/A,#N/A,FALSE,"MerSPsyn";#N/A,#N/A,FALSE,"MerSPwKCsyn";#N/A,#N/A,FALSE,"MerSPwKCsyn (2)";#N/A,#N/A,FALSE,"CreditStat (2)"}</definedName>
    <definedName name="adfdaf" hidden="1">{"standalone1",#N/A,FALSE,"DCFBase";"standalone2",#N/A,FALSE,"DCFBase"}</definedName>
    <definedName name="asdf" hidden="1">{"mgmt forecast",#N/A,FALSE,"Mgmt Forecast";"dcf table",#N/A,FALSE,"Mgmt Forecast";"sensitivity",#N/A,FALSE,"Mgmt Forecast";"table inputs",#N/A,FALSE,"Mgmt Forecast";"calculations",#N/A,FALSE,"Mgmt Forecast"}</definedName>
    <definedName name="asdfa" hidden="1">{#N/A,#N/A,FALSE,"Antony Financials";#N/A,#N/A,FALSE,"Cowboy Financials";#N/A,#N/A,FALSE,"Combined";#N/A,#N/A,FALSE,"Valuematrix";#N/A,#N/A,FALSE,"DCFAntony";#N/A,#N/A,FALSE,"DCFCowboy";#N/A,#N/A,FALSE,"DCFCombined"}</definedName>
    <definedName name="asdfaa" hidden="1">{#N/A,#N/A,FALSE,"Antony Financials";#N/A,#N/A,FALSE,"Cowboy Financials";#N/A,#N/A,FALSE,"Combined";#N/A,#N/A,FALSE,"Valuematrix";#N/A,#N/A,FALSE,"DCFAntony";#N/A,#N/A,FALSE,"DCFCowboy";#N/A,#N/A,FALSE,"DCFCombined"}</definedName>
    <definedName name="asdfasdf" hidden="1">{#N/A,#N/A,FALSE,"CreditStat";#N/A,#N/A,FALSE,"SPbrkup";#N/A,#N/A,FALSE,"MerSPsyn";#N/A,#N/A,FALSE,"MerSPwKCsyn";#N/A,#N/A,FALSE,"MerSPwKCsyn (2)";#N/A,#N/A,FALSE,"CreditStat (2)"}</definedName>
    <definedName name="asdff" hidden="1">{"standalone1",#N/A,FALSE,"DCFBase";"standalone2",#N/A,FALSE,"DCFBase"}</definedName>
    <definedName name="asdfsad" hidden="1">{#N/A,#N/A,FALSE,"Antony Financials";#N/A,#N/A,FALSE,"Cowboy Financials";#N/A,#N/A,FALSE,"Combined";#N/A,#N/A,FALSE,"Valuematrix";#N/A,#N/A,FALSE,"DCFAntony";#N/A,#N/A,FALSE,"DCFCowboy";#N/A,#N/A,FALSE,"DCFCombined"}</definedName>
    <definedName name="b" hidden="1">{#N/A,#N/A,FALSE,"Antony Financials";#N/A,#N/A,FALSE,"Cowboy Financials";#N/A,#N/A,FALSE,"Combined";#N/A,#N/A,FALSE,"Valuematrix";#N/A,#N/A,FALSE,"DCFAntony";#N/A,#N/A,FALSE,"DCFCowboy";#N/A,#N/A,FALSE,"DCFCombined"}</definedName>
    <definedName name="d"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da" hidden="1">{#N/A,#N/A,FALSE,"A&amp;E";#N/A,#N/A,FALSE,"HighTop";#N/A,#N/A,FALSE,"JG";#N/A,#N/A,FALSE,"RI";#N/A,#N/A,FALSE,"woHT";#N/A,#N/A,FALSE,"woHT&amp;JG"}</definedName>
    <definedName name="df" hidden="1">{"'Summary P&amp;L'!$A$1:$M$70","'Summary P&amp;L'!$A$1:$M$70"}</definedName>
    <definedName name="EPMWorkbookOptions_2" hidden="1">"m3FeIocTK7T00g7i155YYzII5xVFTgxBon8IEeL4xiLwgoT687neHX/pG70aRh7dJEB5hTBgSYS4S/wFRhkORAJNCFEijYCzdDW/7jaFj3jStoSLzX9El/54gL4Q7XVoWsi6rEQQeHqMNCnOXt8qRzrJhTnpdjyrYajjmak1fQXrR1cKuC|QKz4CEUZkvQ9clhikMR9lTf/Gcw/A9n9YZnYMuZTheC416kRG507skkOuBwSO7Rg8|xYzXFd2HOH"</definedName>
    <definedName name="EPMWorkbookOptions_3" hidden="1">"jHlyP|GtOQbRSQ7d9K9FzlywTlRW3iBgT/mkPU84ZhmIOeo0tZztdyxIzzUV2WFbWmbCTIuhdRrEldoHVZl|KLzOxh4KGnPvUDoOyprpQr5QmMJsVyxdWKWmnyqVgrAxRlBCXNHVW16khdtpyOykjcQSGzweMDHNwuzEZ8nsqApUWZCeCQOH6DptuExDuRD2Gr2XNaCr9sdDrDxGHz4bsT9UL2FgaK6Hj6tIYW|OR4QbB3KSzlI2yNo9dvcL5YX"</definedName>
    <definedName name="EPMWorkbookOptions_4" hidden="1">"Xq937qUh8ANDfwzvX5pOEZrf7XKslaT5fxiVU5PrBGDaanK8aemHLtOD86JWpLPnKQ4UZVq7czJtk5K1eqZk|2xo6jHzsn7WfeMhtP8alo/9l76VLVc1jQt/9JXOr2lb0Uil|hyg2Y4Z31mlrmHPq2|YwwsPgMY|0u0UlXkWq2aX6Lq6Ul0g8dYpR3j2EV6MCqM1vWxc/F|BqztmFbja3PYMfms2DZ7f/NMVamo6h88VGmnN2y32Uzvh3rmcAdw"</definedName>
    <definedName name="EPMWorkbookOptions_5" hidden="1">"FnJWmXsI2Wl3m2/4|qp8euJdMpgWbElWNNE8/v3RgRmxm/0zIylG/hsc/Ux2cEY6Z0bWjMifRMd0GkfPyftZ7wa99lv|XVM5vfVuyeDOBi0ynkWaVeYeIu02G/bAatpvKNTq6Ql1xWL8|NtvWm3zqn307wMOqNIcoFQ12SBdyjoHkbKu4Dzb7jmRTePu2RLdggmFcGoSMwCSnABI2yKY4QGiy5wmsdEDrM4bbJsj7OoMDZcmi1hcoXcdafzCTW6"</definedName>
    <definedName name="EPMWorkbookOptions_6" hidden="1">"a3g6/IYrRyIMu0Pt1hh37xw/rtMmZnfr/tQEq6O4jAAA="</definedName>
    <definedName name="EPMWorkbookOptions_7" hidden="1">"VkElWzGe4dbysDmw3e4bw0nqBxi31scdUfvlZHPVuLY3NJBpjCzYg+hpH+Go/fu3fdjNPrXaf+7pIr7iNgAA"</definedName>
    <definedName name="f" hidden="1">{"mgmt forecast",#N/A,FALSE,"Mgmt Forecast";"dcf table",#N/A,FALSE,"Mgmt Forecast";"sensitivity",#N/A,FALSE,"Mgmt Forecast";"table inputs",#N/A,FALSE,"Mgmt Forecast";"calculations",#N/A,FALSE,"Mgmt Forecast"}</definedName>
    <definedName name="fafate" hidden="1">{"mgmt forecast",#N/A,FALSE,"Mgmt Forecast";"dcf table",#N/A,FALSE,"Mgmt Forecast";"sensitivity",#N/A,FALSE,"Mgmt Forecast";"table inputs",#N/A,FALSE,"Mgmt Forecast";"calculations",#N/A,FALSE,"Mgmt Forecast"}</definedName>
    <definedName name="fff" hidden="1">{"standalone1",#N/A,FALSE,"DCFBase";"standalone2",#N/A,FALSE,"DCFBase"}</definedName>
    <definedName name="g" hidden="1">{#N/A,#N/A,FALSE,"Antony Financials";#N/A,#N/A,FALSE,"Cowboy Financials";#N/A,#N/A,FALSE,"Combined";#N/A,#N/A,FALSE,"Valuematrix";#N/A,#N/A,FALSE,"DCFAntony";#N/A,#N/A,FALSE,"DCFCowboy";#N/A,#N/A,FALSE,"DCFCombined"}</definedName>
    <definedName name="h" hidden="1">{#N/A,#N/A,FALSE,"CreditStat";#N/A,#N/A,FALSE,"SPbrkup";#N/A,#N/A,FALSE,"MerSPsyn";#N/A,#N/A,FALSE,"MerSPwKCsyn";#N/A,#N/A,FALSE,"MerSPwKCsyn (2)";#N/A,#N/A,FALSE,"CreditStat (2)"}</definedName>
    <definedName name="HTML_CodePage" hidden="1">1252</definedName>
    <definedName name="HTML_Control" hidden="1">{"'Summary P&amp;L'!$A$1:$M$70","'Summary P&amp;L'!$A$1:$M$70"}</definedName>
    <definedName name="HTML_Description" hidden="1">""</definedName>
    <definedName name="HTML_Email" hidden="1">""</definedName>
    <definedName name="HTML_Header" hidden="1">"Summary P&amp;L"</definedName>
    <definedName name="HTML_LastUpdate" hidden="1">"9/03/01"</definedName>
    <definedName name="HTML_LineAfter" hidden="1">FALSE</definedName>
    <definedName name="HTML_LineBefore" hidden="1">FALSE</definedName>
    <definedName name="HTML_Name" hidden="1">"Hans Verheul"</definedName>
    <definedName name="HTML_OBDlg2" hidden="1">TRUE</definedName>
    <definedName name="HTML_OBDlg4" hidden="1">TRUE</definedName>
    <definedName name="HTML_OS" hidden="1">0</definedName>
    <definedName name="HTML_PathFile" hidden="1">"G:\Finlog\html\FINANCE.htm"</definedName>
    <definedName name="HTML_Title" hidden="1">"INCOME STATEMENT FEBRUARY 2001"</definedName>
    <definedName name="iui" hidden="1">{#N/A,#N/A,FALSE,"A&amp;E";#N/A,#N/A,FALSE,"HighTop";#N/A,#N/A,FALSE,"JG";#N/A,#N/A,FALSE,"RI";#N/A,#N/A,FALSE,"woHT";#N/A,#N/A,FALSE,"woHT&amp;JG"}</definedName>
    <definedName name="j" hidden="1">{"standalone1",#N/A,FALSE,"DCFBase";"standalone2",#N/A,FALSE,"DCFBase"}</definedName>
    <definedName name="k" hidden="1">{#N/A,#N/A,FALSE,"Antony Financials";#N/A,#N/A,FALSE,"Cowboy Financials";#N/A,#N/A,FALSE,"Combined";#N/A,#N/A,FALSE,"Valuematrix";#N/A,#N/A,FALSE,"DCFAntony";#N/A,#N/A,FALSE,"DCFCowboy";#N/A,#N/A,FALSE,"DCFCombined"}</definedName>
    <definedName name="kyd.Dim.01." hidden="1">"currency"</definedName>
    <definedName name="kyd.Dim.02." hidden="1">"currency"</definedName>
    <definedName name="kyd.ElementType.01." hidden="1">3</definedName>
    <definedName name="kyd.ElementType.02." hidden="1">3</definedName>
    <definedName name="kyd.MemoSortHide." hidden="1">FALSE</definedName>
    <definedName name="kyd.NumLevels.01." hidden="1">999</definedName>
    <definedName name="kyd.NumLevels.02." hidden="1">999</definedName>
    <definedName name="kyd.ParentName.01." hidden="1">"AUD"</definedName>
    <definedName name="kyd.ParentName.02." hidden="1">"AUD"</definedName>
    <definedName name="kyd.PreScreenData." hidden="1">FALSE</definedName>
    <definedName name="kyd.PrintMemo." hidden="1">FALSE</definedName>
    <definedName name="kyd.PrintParent.01." hidden="1">TRUE</definedName>
    <definedName name="kyd.PrintParent.02." hidden="1">TRUE</definedName>
    <definedName name="kyd.PrintStdWhen." hidden="1">3</definedName>
    <definedName name="kyd.SaveAsFile." hidden="1">FALSE</definedName>
    <definedName name="kyd.SaveMemo." hidden="1">FALSE</definedName>
    <definedName name="kyd.SelectString.01." hidden="1">"*"</definedName>
    <definedName name="kyd.SelectString.02." hidden="1">"*"</definedName>
    <definedName name="kyd.StdSortHide." hidden="1">FALSE</definedName>
    <definedName name="kyd.StopRow." hidden="1">16384</definedName>
    <definedName name="kyd.WriteMemWhenOptn." hidden="1">3</definedName>
    <definedName name="l" hidden="1">{"mgmt forecast",#N/A,FALSE,"Mgmt Forecast";"dcf table",#N/A,FALSE,"Mgmt Forecast";"sensitivity",#N/A,FALSE,"Mgmt Forecast";"table inputs",#N/A,FALSE,"Mgmt Forecast";"calculations",#N/A,FALSE,"Mgmt Forecast"}</definedName>
    <definedName name="m" hidden="1">{"standalone1",#N/A,FALSE,"DCFBase";"standalone2",#N/A,FALSE,"DCFBase"}</definedName>
    <definedName name="MR" hidden="1">{#N/A,#N/A,FALSE,"sales ytd";#N/A,#N/A,FALSE,"investments";#N/A,#N/A,FALSE,"bus. synergies 1997";#N/A,#N/A,FALSE,"synergies outlook"}</definedName>
    <definedName name="n"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Name">OFFSET('Employee Database'!$B$3,0,0,COUNTA('Employee Database'!$B:$B)-1,1)</definedName>
    <definedName name="NativeTimeline_Date">#N/A</definedName>
    <definedName name="NativeTimeline_Month">#N/A</definedName>
    <definedName name="q" hidden="1">{#N/A,#N/A,FALSE,"Antony Financials";#N/A,#N/A,FALSE,"Cowboy Financials";#N/A,#N/A,FALSE,"Combined";#N/A,#N/A,FALSE,"Valuematrix";#N/A,#N/A,FALSE,"DCFAntony";#N/A,#N/A,FALSE,"DCFCowboy";#N/A,#N/A,FALSE,"DCFCombined"}</definedName>
    <definedName name="rr" hidden="1">{#N/A,#N/A,FALSE,"Antony Financials";#N/A,#N/A,FALSE,"Cowboy Financials";#N/A,#N/A,FALSE,"Combined";#N/A,#N/A,FALSE,"Valuematrix";#N/A,#N/A,FALSE,"DCFAntony";#N/A,#N/A,FALSE,"DCFCowboy";#N/A,#N/A,FALSE,"DCFCombined"}</definedName>
    <definedName name="SAPBEXhrIndnt" hidden="1">"Wide"</definedName>
    <definedName name="SAPsysID" hidden="1">"708C5W7SBKP804JT78WJ0JNKI"</definedName>
    <definedName name="SAPwbID" hidden="1">"ARS"</definedName>
    <definedName name="sd"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sdfasefr" hidden="1">{#N/A,#N/A,FALSE,"Antony Financials";#N/A,#N/A,FALSE,"Cowboy Financials";#N/A,#N/A,FALSE,"Combined";#N/A,#N/A,FALSE,"Valuematrix";#N/A,#N/A,FALSE,"DCFAntony";#N/A,#N/A,FALSE,"DCFCowboy";#N/A,#N/A,FALSE,"DCFCombined"}</definedName>
    <definedName name="Slicer_Bonus_Target">#N/A</definedName>
    <definedName name="Slicer_Employee_Name">#N/A</definedName>
    <definedName name="Slicer_Group">#N/A</definedName>
    <definedName name="Slicer_Workload">#N/A</definedName>
    <definedName name="t" hidden="1">{#N/A,#N/A,FALSE,"A&amp;E";#N/A,#N/A,FALSE,"HighTop";#N/A,#N/A,FALSE,"JG";#N/A,#N/A,FALSE,"RI";#N/A,#N/A,FALSE,"woHT";#N/A,#N/A,FALSE,"woHT&amp;JG"}</definedName>
    <definedName name="ttt" hidden="1">{#N/A,#N/A,FALSE,"CreditStat";#N/A,#N/A,FALSE,"SPbrkup";#N/A,#N/A,FALSE,"MerSPsyn";#N/A,#N/A,FALSE,"MerSPwKCsyn";#N/A,#N/A,FALSE,"MerSPwKCsyn (2)";#N/A,#N/A,FALSE,"CreditStat (2)"}</definedName>
    <definedName name="v" hidden="1">{"standalone1",#N/A,FALSE,"DCFBase";"standalone2",#N/A,FALSE,"DCFBase"}</definedName>
    <definedName name="vv" hidden="1">{#N/A,#N/A,FALSE,"CreditStat";#N/A,#N/A,FALSE,"SPbrkup";#N/A,#N/A,FALSE,"MerSPsyn";#N/A,#N/A,FALSE,"MerSPwKCsyn";#N/A,#N/A,FALSE,"MerSPwKCsyn (2)";#N/A,#N/A,FALSE,"CreditStat (2)"}</definedName>
    <definedName name="vvv" hidden="1">{#N/A,#N/A,FALSE,"Antony Financials";#N/A,#N/A,FALSE,"Cowboy Financials";#N/A,#N/A,FALSE,"Combined";#N/A,#N/A,FALSE,"Valuematrix";#N/A,#N/A,FALSE,"DCFAntony";#N/A,#N/A,FALSE,"DCFCowboy";#N/A,#N/A,FALSE,"DCFCombined"}</definedName>
    <definedName name="w" hidden="1">{#N/A,#N/A,FALSE,"CreditStat";#N/A,#N/A,FALSE,"SPbrkup";#N/A,#N/A,FALSE,"MerSPsyn";#N/A,#N/A,FALSE,"MerSPwKCsyn";#N/A,#N/A,FALSE,"MerSPwKCsyn (2)";#N/A,#N/A,FALSE,"CreditStat (2)"}</definedName>
    <definedName name="wrn.dcf." hidden="1">{"mgmt forecast",#N/A,FALSE,"Mgmt Forecast";"dcf table",#N/A,FALSE,"Mgmt Forecast";"sensitivity",#N/A,FALSE,"Mgmt Forecast";"table inputs",#N/A,FALSE,"Mgmt Forecast";"calculations",#N/A,FALSE,"Mgmt Forecast"}</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print._.standalone." hidden="1">{"standalone1",#N/A,FALSE,"DCFBase";"standalone2",#N/A,FALSE,"DCFBase"}</definedName>
    <definedName name="wrn.SKSCS1." hidden="1">{#N/A,#N/A,FALSE,"Antony Financials";#N/A,#N/A,FALSE,"Cowboy Financials";#N/A,#N/A,FALSE,"Combined";#N/A,#N/A,FALSE,"Valuematrix";#N/A,#N/A,FALSE,"DCFAntony";#N/A,#N/A,FALSE,"DCFCowboy";#N/A,#N/A,FALSE,"DCFCombined"}</definedName>
    <definedName name="wrn.SummaryPgs." hidden="1">{#N/A,#N/A,FALSE,"CreditStat";#N/A,#N/A,FALSE,"SPbrkup";#N/A,#N/A,FALSE,"MerSPsyn";#N/A,#N/A,FALSE,"MerSPwKCsyn";#N/A,#N/A,FALSE,"MerSPwKCsyn (2)";#N/A,#N/A,FALSE,"CreditStat (2)"}</definedName>
    <definedName name="wrn.Top._.Level._.Summaries."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wrn.Tweety." hidden="1">{#N/A,#N/A,FALSE,"A&amp;E";#N/A,#N/A,FALSE,"HighTop";#N/A,#N/A,FALSE,"JG";#N/A,#N/A,FALSE,"RI";#N/A,#N/A,FALSE,"woHT";#N/A,#N/A,FALSE,"woHT&amp;JG"}</definedName>
    <definedName name="wrn.vortrag." hidden="1">{#N/A,#N/A,FALSE,"sales ytd";#N/A,#N/A,FALSE,"investments";#N/A,#N/A,FALSE,"bus. synergies 1997";#N/A,#N/A,FALSE,"synergies outlook"}</definedName>
    <definedName name="zzz"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s>
  <calcPr calcId="191029"/>
  <pivotCaches>
    <pivotCache cacheId="31" r:id="rId8"/>
    <pivotCache cacheId="32"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4"/>
        <x15:timelineCacheRef r:id="rId15"/>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 i="7" l="1"/>
  <c r="R2" i="7"/>
  <c r="T2" i="7"/>
  <c r="K2" i="7"/>
  <c r="V2" i="7"/>
  <c r="P2" i="7"/>
  <c r="A4" i="8" l="1"/>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A620" i="8"/>
  <c r="A621" i="8"/>
  <c r="A622" i="8"/>
  <c r="A623" i="8"/>
  <c r="A624" i="8"/>
  <c r="A625" i="8"/>
  <c r="A626" i="8"/>
  <c r="A627" i="8"/>
  <c r="A628" i="8"/>
  <c r="A629" i="8"/>
  <c r="A630" i="8"/>
  <c r="A631" i="8"/>
  <c r="A632" i="8"/>
  <c r="A633" i="8"/>
  <c r="A634" i="8"/>
  <c r="A635" i="8"/>
  <c r="A636" i="8"/>
  <c r="A637" i="8"/>
  <c r="A638" i="8"/>
  <c r="A639" i="8"/>
  <c r="A640" i="8"/>
  <c r="A641" i="8"/>
  <c r="A642" i="8"/>
  <c r="A643" i="8"/>
  <c r="A644" i="8"/>
  <c r="A645" i="8"/>
  <c r="A646" i="8"/>
  <c r="A647" i="8"/>
  <c r="A648" i="8"/>
  <c r="A649" i="8"/>
  <c r="A650" i="8"/>
  <c r="A651" i="8"/>
  <c r="A652" i="8"/>
  <c r="A653" i="8"/>
  <c r="A654" i="8"/>
  <c r="A655" i="8"/>
  <c r="A656" i="8"/>
  <c r="A657" i="8"/>
  <c r="A658" i="8"/>
  <c r="A659" i="8"/>
  <c r="A660" i="8"/>
  <c r="A661" i="8"/>
  <c r="A662" i="8"/>
  <c r="A663" i="8"/>
  <c r="A664" i="8"/>
  <c r="A665" i="8"/>
  <c r="A666" i="8"/>
  <c r="A667" i="8"/>
  <c r="A668" i="8"/>
  <c r="A669" i="8"/>
  <c r="A670" i="8"/>
  <c r="A671" i="8"/>
  <c r="A672" i="8"/>
  <c r="A673" i="8"/>
  <c r="A674" i="8"/>
  <c r="A675" i="8"/>
  <c r="A676" i="8"/>
  <c r="A677" i="8"/>
  <c r="A678" i="8"/>
  <c r="A679" i="8"/>
  <c r="A680" i="8"/>
  <c r="A681" i="8"/>
  <c r="A682" i="8"/>
  <c r="A683" i="8"/>
  <c r="A684" i="8"/>
  <c r="A685" i="8"/>
  <c r="A686" i="8"/>
  <c r="A687" i="8"/>
  <c r="A688" i="8"/>
  <c r="A689" i="8"/>
  <c r="A690" i="8"/>
  <c r="A691" i="8"/>
  <c r="A692" i="8"/>
  <c r="A693" i="8"/>
  <c r="A694" i="8"/>
  <c r="A695" i="8"/>
  <c r="A696" i="8"/>
  <c r="A697" i="8"/>
  <c r="A698" i="8"/>
  <c r="A699" i="8"/>
  <c r="A700" i="8"/>
  <c r="A701" i="8"/>
  <c r="A702" i="8"/>
  <c r="A703" i="8"/>
  <c r="A704" i="8"/>
  <c r="A705" i="8"/>
  <c r="A706" i="8"/>
  <c r="A707" i="8"/>
  <c r="A708" i="8"/>
  <c r="A709" i="8"/>
  <c r="A710" i="8"/>
  <c r="A711" i="8"/>
  <c r="A712" i="8"/>
  <c r="A713" i="8"/>
  <c r="A714" i="8"/>
  <c r="A715" i="8"/>
  <c r="A716" i="8"/>
  <c r="A717" i="8"/>
  <c r="A718" i="8"/>
  <c r="A719" i="8"/>
  <c r="A720" i="8"/>
  <c r="A721" i="8"/>
  <c r="A722" i="8"/>
  <c r="A723" i="8"/>
  <c r="A724" i="8"/>
  <c r="A725" i="8"/>
  <c r="A726" i="8"/>
  <c r="A727" i="8"/>
  <c r="A728" i="8"/>
  <c r="A729" i="8"/>
  <c r="A730" i="8"/>
  <c r="A731" i="8"/>
  <c r="A732" i="8"/>
  <c r="A733" i="8"/>
  <c r="A734" i="8"/>
  <c r="A735" i="8"/>
  <c r="A736" i="8"/>
  <c r="A737" i="8"/>
  <c r="A738" i="8"/>
  <c r="A739" i="8"/>
  <c r="A740" i="8"/>
  <c r="A741" i="8"/>
  <c r="A742" i="8"/>
  <c r="A743" i="8"/>
  <c r="A744" i="8"/>
  <c r="A745" i="8"/>
  <c r="A746" i="8"/>
  <c r="A747" i="8"/>
  <c r="A748" i="8"/>
  <c r="A749" i="8"/>
  <c r="A750" i="8"/>
  <c r="A751" i="8"/>
  <c r="A752" i="8"/>
  <c r="A753" i="8"/>
  <c r="A754" i="8"/>
  <c r="A755" i="8"/>
  <c r="A756" i="8"/>
  <c r="A757" i="8"/>
  <c r="A758" i="8"/>
  <c r="A759" i="8"/>
  <c r="A760" i="8"/>
  <c r="A761" i="8"/>
  <c r="A762" i="8"/>
  <c r="A763" i="8"/>
  <c r="A764" i="8"/>
  <c r="A765" i="8"/>
  <c r="A766" i="8"/>
  <c r="A767" i="8"/>
  <c r="A768" i="8"/>
  <c r="A769" i="8"/>
  <c r="A770" i="8"/>
  <c r="A771" i="8"/>
  <c r="A772" i="8"/>
  <c r="A773" i="8"/>
  <c r="A774" i="8"/>
  <c r="A775" i="8"/>
  <c r="A776" i="8"/>
  <c r="A777" i="8"/>
  <c r="A778" i="8"/>
  <c r="A779" i="8"/>
  <c r="A780" i="8"/>
  <c r="A781" i="8"/>
  <c r="A782" i="8"/>
  <c r="A783" i="8"/>
  <c r="A784" i="8"/>
  <c r="A785" i="8"/>
  <c r="A786" i="8"/>
  <c r="A787" i="8"/>
  <c r="A788" i="8"/>
  <c r="A789" i="8"/>
  <c r="A790" i="8"/>
  <c r="A791" i="8"/>
  <c r="A792" i="8"/>
  <c r="A793" i="8"/>
  <c r="A794" i="8"/>
  <c r="A795" i="8"/>
  <c r="A796" i="8"/>
  <c r="A797" i="8"/>
  <c r="A798" i="8"/>
  <c r="A799" i="8"/>
  <c r="A800" i="8"/>
  <c r="A801" i="8"/>
  <c r="A802" i="8"/>
  <c r="A803" i="8"/>
  <c r="A804" i="8"/>
  <c r="A805" i="8"/>
  <c r="A806" i="8"/>
  <c r="A807" i="8"/>
  <c r="A808" i="8"/>
  <c r="A809" i="8"/>
  <c r="A810" i="8"/>
  <c r="A811" i="8"/>
  <c r="A812" i="8"/>
  <c r="A813" i="8"/>
  <c r="A814" i="8"/>
  <c r="A815" i="8"/>
  <c r="A816" i="8"/>
  <c r="A817" i="8"/>
  <c r="A818" i="8"/>
  <c r="A819" i="8"/>
  <c r="A820" i="8"/>
  <c r="A821" i="8"/>
  <c r="A822" i="8"/>
  <c r="A823" i="8"/>
  <c r="A824" i="8"/>
  <c r="A825" i="8"/>
  <c r="A826" i="8"/>
  <c r="A827" i="8"/>
  <c r="A828" i="8"/>
  <c r="A829" i="8"/>
  <c r="A830" i="8"/>
  <c r="A831" i="8"/>
  <c r="A832" i="8"/>
  <c r="A833" i="8"/>
  <c r="A834" i="8"/>
  <c r="A835" i="8"/>
  <c r="A836" i="8"/>
  <c r="A837" i="8"/>
  <c r="A838" i="8"/>
  <c r="A839" i="8"/>
  <c r="A840" i="8"/>
  <c r="A841" i="8"/>
  <c r="A842" i="8"/>
  <c r="A843" i="8"/>
  <c r="A844" i="8"/>
  <c r="A845" i="8"/>
  <c r="A846" i="8"/>
  <c r="A847" i="8"/>
  <c r="A848" i="8"/>
  <c r="A849" i="8"/>
  <c r="A850" i="8"/>
  <c r="A851" i="8"/>
  <c r="A852" i="8"/>
  <c r="A853" i="8"/>
  <c r="A854" i="8"/>
  <c r="A855" i="8"/>
  <c r="A856" i="8"/>
  <c r="A857" i="8"/>
  <c r="A858" i="8"/>
  <c r="A859" i="8"/>
  <c r="A860" i="8"/>
  <c r="A861" i="8"/>
  <c r="A862" i="8"/>
  <c r="A863" i="8"/>
  <c r="A864" i="8"/>
  <c r="A865" i="8"/>
  <c r="A866" i="8"/>
  <c r="A867" i="8"/>
  <c r="A868" i="8"/>
  <c r="A869" i="8"/>
  <c r="A870" i="8"/>
  <c r="A871" i="8"/>
  <c r="A872" i="8"/>
  <c r="A873" i="8"/>
  <c r="A874" i="8"/>
  <c r="A875" i="8"/>
  <c r="A876" i="8"/>
  <c r="A877" i="8"/>
  <c r="A878" i="8"/>
  <c r="A879" i="8"/>
  <c r="A880" i="8"/>
  <c r="A881" i="8"/>
  <c r="A882" i="8"/>
  <c r="A883" i="8"/>
  <c r="A884" i="8"/>
  <c r="A885" i="8"/>
  <c r="A886" i="8"/>
  <c r="A887" i="8"/>
  <c r="A888" i="8"/>
  <c r="A889" i="8"/>
  <c r="A890" i="8"/>
  <c r="A891" i="8"/>
  <c r="A892" i="8"/>
  <c r="A893" i="8"/>
  <c r="A894" i="8"/>
  <c r="A895" i="8"/>
  <c r="A896" i="8"/>
  <c r="A897" i="8"/>
  <c r="A898" i="8"/>
  <c r="A899" i="8"/>
  <c r="A900" i="8"/>
  <c r="A901" i="8"/>
  <c r="A902" i="8"/>
  <c r="A903" i="8"/>
  <c r="A904" i="8"/>
  <c r="A905" i="8"/>
  <c r="A906" i="8"/>
  <c r="A907" i="8"/>
  <c r="A908" i="8"/>
  <c r="A909" i="8"/>
  <c r="A910" i="8"/>
  <c r="A911" i="8"/>
  <c r="A912" i="8"/>
  <c r="A913" i="8"/>
  <c r="A914" i="8"/>
  <c r="A915" i="8"/>
  <c r="A916" i="8"/>
  <c r="A917" i="8"/>
  <c r="A918" i="8"/>
  <c r="A919" i="8"/>
  <c r="A920" i="8"/>
  <c r="A921" i="8"/>
  <c r="A922" i="8"/>
  <c r="A923" i="8"/>
  <c r="A924" i="8"/>
  <c r="A925" i="8"/>
  <c r="A926" i="8"/>
  <c r="A927" i="8"/>
  <c r="A928" i="8"/>
  <c r="A929" i="8"/>
  <c r="A930" i="8"/>
  <c r="A931" i="8"/>
  <c r="A932" i="8"/>
  <c r="A933" i="8"/>
  <c r="A934" i="8"/>
  <c r="A935" i="8"/>
  <c r="A936" i="8"/>
  <c r="A937" i="8"/>
  <c r="A938" i="8"/>
  <c r="A939" i="8"/>
  <c r="A940" i="8"/>
  <c r="A941" i="8"/>
  <c r="A942" i="8"/>
  <c r="A943" i="8"/>
  <c r="A944" i="8"/>
  <c r="A945" i="8"/>
  <c r="A946" i="8"/>
  <c r="A947" i="8"/>
  <c r="A948" i="8"/>
  <c r="A949" i="8"/>
  <c r="A950" i="8"/>
  <c r="A951" i="8"/>
  <c r="A952" i="8"/>
  <c r="A953" i="8"/>
  <c r="A954" i="8"/>
  <c r="A955" i="8"/>
  <c r="A956" i="8"/>
  <c r="A957" i="8"/>
  <c r="A958" i="8"/>
  <c r="A959" i="8"/>
  <c r="A960" i="8"/>
  <c r="A961" i="8"/>
  <c r="A962" i="8"/>
  <c r="A963" i="8"/>
  <c r="A964" i="8"/>
  <c r="A965" i="8"/>
  <c r="A966" i="8"/>
  <c r="A967" i="8"/>
  <c r="A968" i="8"/>
  <c r="A969" i="8"/>
  <c r="A970" i="8"/>
  <c r="A971" i="8"/>
  <c r="A972" i="8"/>
  <c r="A973" i="8"/>
  <c r="A974" i="8"/>
  <c r="A975" i="8"/>
  <c r="A976" i="8"/>
  <c r="A977" i="8"/>
  <c r="A978" i="8"/>
  <c r="A979" i="8"/>
  <c r="A980" i="8"/>
  <c r="A981" i="8"/>
  <c r="A982" i="8"/>
  <c r="A983" i="8"/>
  <c r="A984" i="8"/>
  <c r="A985" i="8"/>
  <c r="A986" i="8"/>
  <c r="A987" i="8"/>
  <c r="A988" i="8"/>
  <c r="A989" i="8"/>
  <c r="A990" i="8"/>
  <c r="A991" i="8"/>
  <c r="A992" i="8"/>
  <c r="A993" i="8"/>
  <c r="A994" i="8"/>
  <c r="A995" i="8"/>
  <c r="A996" i="8"/>
  <c r="A997" i="8"/>
  <c r="A998" i="8"/>
  <c r="A999" i="8"/>
  <c r="A1000" i="8"/>
  <c r="A1001" i="8"/>
  <c r="A1002" i="8"/>
  <c r="A1003" i="8"/>
  <c r="A1004" i="8"/>
  <c r="A1005" i="8"/>
  <c r="A1006" i="8"/>
  <c r="A1007" i="8"/>
  <c r="A1008" i="8"/>
  <c r="A1009" i="8"/>
  <c r="A1010" i="8"/>
  <c r="A1011" i="8"/>
  <c r="A1012" i="8"/>
  <c r="A1013" i="8"/>
  <c r="A1014" i="8"/>
  <c r="A1015" i="8"/>
  <c r="A1016" i="8"/>
  <c r="A1017" i="8"/>
  <c r="A1018" i="8"/>
  <c r="A1019" i="8"/>
  <c r="A1020" i="8"/>
  <c r="A1021" i="8"/>
  <c r="A1022" i="8"/>
  <c r="A1023" i="8"/>
  <c r="A1024" i="8"/>
  <c r="A1025" i="8"/>
  <c r="A1026" i="8"/>
  <c r="A1027" i="8"/>
  <c r="A1028" i="8"/>
  <c r="A1029" i="8"/>
  <c r="A1030" i="8"/>
  <c r="A1031" i="8"/>
  <c r="A1032" i="8"/>
  <c r="A1033" i="8"/>
  <c r="A1034" i="8"/>
  <c r="A1035" i="8"/>
  <c r="A1036" i="8"/>
  <c r="A1037" i="8"/>
  <c r="A1038" i="8"/>
  <c r="A1039" i="8"/>
  <c r="A1040" i="8"/>
  <c r="A1041" i="8"/>
  <c r="A1042" i="8"/>
  <c r="A1043" i="8"/>
  <c r="A1044" i="8"/>
  <c r="A1045" i="8"/>
  <c r="A1046" i="8"/>
  <c r="A1047" i="8"/>
  <c r="A1048" i="8"/>
  <c r="A1049" i="8"/>
  <c r="A1050" i="8"/>
  <c r="A1051" i="8"/>
  <c r="A1052" i="8"/>
  <c r="A1053" i="8"/>
  <c r="A1054" i="8"/>
  <c r="A1055" i="8"/>
  <c r="A1056" i="8"/>
  <c r="A1057" i="8"/>
  <c r="A1058" i="8"/>
  <c r="A1059" i="8"/>
  <c r="A1060" i="8"/>
  <c r="A1061" i="8"/>
  <c r="A1062" i="8"/>
  <c r="A1063" i="8"/>
  <c r="A1064" i="8"/>
  <c r="A1065" i="8"/>
  <c r="A1066" i="8"/>
  <c r="A1067" i="8"/>
  <c r="A1068" i="8"/>
  <c r="A1069" i="8"/>
  <c r="A1070" i="8"/>
  <c r="A1071" i="8"/>
  <c r="A1072" i="8"/>
  <c r="A1073" i="8"/>
  <c r="A1074" i="8"/>
  <c r="A1075" i="8"/>
  <c r="A1076" i="8"/>
  <c r="A1077" i="8"/>
  <c r="A1078" i="8"/>
  <c r="A1079" i="8"/>
  <c r="A1080" i="8"/>
  <c r="A1081" i="8"/>
  <c r="A1082" i="8"/>
  <c r="A1083" i="8"/>
  <c r="A1084" i="8"/>
  <c r="A1085" i="8"/>
  <c r="A1086" i="8"/>
  <c r="A1087" i="8"/>
  <c r="A1088" i="8"/>
  <c r="A1089" i="8"/>
  <c r="A1090" i="8"/>
  <c r="A1091" i="8"/>
  <c r="A1092" i="8"/>
  <c r="A1093" i="8"/>
  <c r="A1094" i="8"/>
  <c r="A1095" i="8"/>
  <c r="A1096" i="8"/>
  <c r="A1097" i="8"/>
  <c r="A1098" i="8"/>
  <c r="A1099" i="8"/>
  <c r="A1100" i="8"/>
  <c r="A1101" i="8"/>
  <c r="A1102" i="8"/>
  <c r="A1103" i="8"/>
  <c r="A1104" i="8"/>
  <c r="A1105" i="8"/>
  <c r="A1106" i="8"/>
  <c r="A1107" i="8"/>
  <c r="A1108" i="8"/>
  <c r="A1109" i="8"/>
  <c r="A1110" i="8"/>
  <c r="A1111" i="8"/>
  <c r="A1112" i="8"/>
  <c r="A1113" i="8"/>
  <c r="A1114" i="8"/>
  <c r="A1115" i="8"/>
  <c r="A1116" i="8"/>
  <c r="A1117" i="8"/>
  <c r="A1118" i="8"/>
  <c r="A1119" i="8"/>
  <c r="A1120" i="8"/>
  <c r="A1121" i="8"/>
  <c r="A1122" i="8"/>
  <c r="A1123" i="8"/>
  <c r="A1124" i="8"/>
  <c r="A1125" i="8"/>
  <c r="A1126" i="8"/>
  <c r="A1127" i="8"/>
  <c r="A1128" i="8"/>
  <c r="A1129" i="8"/>
  <c r="A1130" i="8"/>
  <c r="A1131" i="8"/>
  <c r="A1132" i="8"/>
  <c r="A1133" i="8"/>
  <c r="A1134" i="8"/>
  <c r="A1135" i="8"/>
  <c r="A1136" i="8"/>
  <c r="A1137" i="8"/>
  <c r="A1138" i="8"/>
  <c r="A1139" i="8"/>
  <c r="A1140" i="8"/>
  <c r="A1141" i="8"/>
  <c r="A1142" i="8"/>
  <c r="A1143" i="8"/>
  <c r="A1144" i="8"/>
  <c r="A1145" i="8"/>
  <c r="A1146" i="8"/>
  <c r="A1147" i="8"/>
  <c r="A1148" i="8"/>
  <c r="A1149" i="8"/>
  <c r="A1150" i="8"/>
  <c r="A1151" i="8"/>
  <c r="A1152" i="8"/>
  <c r="A1153" i="8"/>
  <c r="A1154" i="8"/>
  <c r="A1155" i="8"/>
  <c r="A1156" i="8"/>
  <c r="A1157" i="8"/>
  <c r="A1158" i="8"/>
  <c r="A1159" i="8"/>
  <c r="A1160" i="8"/>
  <c r="A1161" i="8"/>
  <c r="A1162" i="8"/>
  <c r="A1163" i="8"/>
  <c r="A1164" i="8"/>
  <c r="A1165" i="8"/>
  <c r="A1166" i="8"/>
  <c r="A1167" i="8"/>
  <c r="A1168" i="8"/>
  <c r="A1169" i="8"/>
  <c r="A1170" i="8"/>
  <c r="A1171" i="8"/>
  <c r="A1172" i="8"/>
  <c r="A1173" i="8"/>
  <c r="A1174" i="8"/>
  <c r="A1175" i="8"/>
  <c r="A1176" i="8"/>
  <c r="A1177" i="8"/>
  <c r="A1178" i="8"/>
  <c r="A1179" i="8"/>
  <c r="A1180" i="8"/>
  <c r="A1181" i="8"/>
  <c r="A1182" i="8"/>
  <c r="A1183" i="8"/>
  <c r="A1184" i="8"/>
  <c r="A1185" i="8"/>
  <c r="A1186" i="8"/>
  <c r="A1187" i="8"/>
  <c r="A1188" i="8"/>
  <c r="A1189" i="8"/>
  <c r="A1190" i="8"/>
  <c r="A1191" i="8"/>
  <c r="A1192" i="8"/>
  <c r="A1193" i="8"/>
  <c r="A1194" i="8"/>
  <c r="A1195" i="8"/>
  <c r="A1196" i="8"/>
  <c r="A1197" i="8"/>
  <c r="A1198" i="8"/>
  <c r="A1199" i="8"/>
  <c r="A1200" i="8"/>
  <c r="A1201" i="8"/>
  <c r="A1202" i="8"/>
  <c r="A1203" i="8"/>
  <c r="A1204" i="8"/>
  <c r="A1205" i="8"/>
  <c r="A1206" i="8"/>
  <c r="A1207" i="8"/>
  <c r="A1208" i="8"/>
  <c r="A1209" i="8"/>
  <c r="A1210" i="8"/>
  <c r="A1211" i="8"/>
  <c r="A1212" i="8"/>
  <c r="A1213" i="8"/>
  <c r="A1214" i="8"/>
  <c r="A1215" i="8"/>
  <c r="A1216" i="8"/>
  <c r="A1217" i="8"/>
  <c r="A1218" i="8"/>
  <c r="A1219" i="8"/>
  <c r="A1220" i="8"/>
  <c r="A1221" i="8"/>
  <c r="A1222" i="8"/>
  <c r="A1223" i="8"/>
  <c r="A1224" i="8"/>
  <c r="A1225" i="8"/>
  <c r="A1226" i="8"/>
  <c r="A1227" i="8"/>
  <c r="A1228" i="8"/>
  <c r="A1229" i="8"/>
  <c r="A1230" i="8"/>
  <c r="A1231" i="8"/>
  <c r="A1232" i="8"/>
  <c r="A1233" i="8"/>
  <c r="A1234" i="8"/>
  <c r="A1235" i="8"/>
  <c r="A1236" i="8"/>
  <c r="A1237" i="8"/>
  <c r="A1238" i="8"/>
  <c r="A1239" i="8"/>
  <c r="A1240" i="8"/>
  <c r="A1241" i="8"/>
  <c r="A1242" i="8"/>
  <c r="A1243" i="8"/>
  <c r="A1244" i="8"/>
  <c r="A1245" i="8"/>
  <c r="A1246" i="8"/>
  <c r="A1247" i="8"/>
  <c r="A1248" i="8"/>
  <c r="A1249" i="8"/>
  <c r="A1250" i="8"/>
  <c r="A1251" i="8"/>
  <c r="A1252" i="8"/>
  <c r="A1253" i="8"/>
  <c r="A1254" i="8"/>
  <c r="A1255" i="8"/>
  <c r="A1256" i="8"/>
  <c r="A1257" i="8"/>
  <c r="A1258" i="8"/>
  <c r="A1259" i="8"/>
  <c r="A1260" i="8"/>
  <c r="A1261" i="8"/>
  <c r="A1262" i="8"/>
  <c r="A1263" i="8"/>
  <c r="A1264" i="8"/>
  <c r="A1265" i="8"/>
  <c r="A1266" i="8"/>
  <c r="A1267" i="8"/>
  <c r="A1268" i="8"/>
  <c r="A1269" i="8"/>
  <c r="A1270" i="8"/>
  <c r="A1271" i="8"/>
  <c r="A1272" i="8"/>
  <c r="A1273" i="8"/>
  <c r="A1274" i="8"/>
  <c r="A1275" i="8"/>
  <c r="A1276" i="8"/>
  <c r="A1277" i="8"/>
  <c r="A1278" i="8"/>
  <c r="A1279" i="8"/>
  <c r="A1280" i="8"/>
  <c r="A1281" i="8"/>
  <c r="A1282" i="8"/>
  <c r="A1283" i="8"/>
  <c r="A1284" i="8"/>
  <c r="A1285" i="8"/>
  <c r="A1286" i="8"/>
  <c r="A1287" i="8"/>
  <c r="A1288" i="8"/>
  <c r="A1289" i="8"/>
  <c r="A1290" i="8"/>
  <c r="A1291" i="8"/>
  <c r="A1292" i="8"/>
  <c r="A1293" i="8"/>
  <c r="A1294" i="8"/>
  <c r="A1295" i="8"/>
  <c r="A1296" i="8"/>
  <c r="A1297" i="8"/>
  <c r="A1298" i="8"/>
  <c r="A1299" i="8"/>
  <c r="A1300" i="8"/>
  <c r="A1301" i="8"/>
  <c r="A1302" i="8"/>
  <c r="A1303" i="8"/>
  <c r="A1304" i="8"/>
  <c r="A1305" i="8"/>
  <c r="A1306" i="8"/>
  <c r="A1307" i="8"/>
  <c r="A1308" i="8"/>
  <c r="A1309" i="8"/>
  <c r="A1310" i="8"/>
  <c r="A1311" i="8"/>
  <c r="A1312" i="8"/>
  <c r="A1313" i="8"/>
  <c r="A1314" i="8"/>
  <c r="A1315" i="8"/>
  <c r="A1316" i="8"/>
  <c r="A1317" i="8"/>
  <c r="A1318" i="8"/>
  <c r="A1319" i="8"/>
  <c r="A1320" i="8"/>
  <c r="A1321" i="8"/>
  <c r="A1322" i="8"/>
  <c r="A1323" i="8"/>
  <c r="A1324" i="8"/>
  <c r="A1325" i="8"/>
  <c r="A1326" i="8"/>
  <c r="A1327" i="8"/>
  <c r="A1328" i="8"/>
  <c r="A1329" i="8"/>
  <c r="A1330" i="8"/>
  <c r="A1331" i="8"/>
  <c r="A1332" i="8"/>
  <c r="A1333" i="8"/>
  <c r="A1334" i="8"/>
  <c r="A1335" i="8"/>
  <c r="A1336" i="8"/>
  <c r="A1337" i="8"/>
  <c r="A1338" i="8"/>
  <c r="A1339" i="8"/>
  <c r="A1340" i="8"/>
  <c r="A1341" i="8"/>
  <c r="A1342" i="8"/>
  <c r="A1343" i="8"/>
  <c r="A1344" i="8"/>
  <c r="A1345" i="8"/>
  <c r="A1346" i="8"/>
  <c r="A1347" i="8"/>
  <c r="A1348" i="8"/>
  <c r="A1349" i="8"/>
  <c r="A1350" i="8"/>
  <c r="A1351" i="8"/>
  <c r="A1352" i="8"/>
  <c r="A1353" i="8"/>
  <c r="A1354" i="8"/>
  <c r="A1355" i="8"/>
  <c r="A1356" i="8"/>
  <c r="A1357" i="8"/>
  <c r="A1358" i="8"/>
  <c r="A1359" i="8"/>
  <c r="A1360" i="8"/>
  <c r="A1361" i="8"/>
  <c r="A1362" i="8"/>
  <c r="A1363" i="8"/>
  <c r="A1364" i="8"/>
  <c r="A1365" i="8"/>
  <c r="A1366" i="8"/>
  <c r="A1367" i="8"/>
  <c r="A1368" i="8"/>
  <c r="A1369" i="8"/>
  <c r="A1370" i="8"/>
  <c r="A1371" i="8"/>
  <c r="A1372" i="8"/>
  <c r="A1373" i="8"/>
  <c r="A1374" i="8"/>
  <c r="A1375" i="8"/>
  <c r="A1376" i="8"/>
  <c r="A1377" i="8"/>
  <c r="A1378" i="8"/>
  <c r="A1379" i="8"/>
  <c r="A1380" i="8"/>
  <c r="A1381" i="8"/>
  <c r="A1382" i="8"/>
  <c r="A1383" i="8"/>
  <c r="A1384" i="8"/>
  <c r="A1385" i="8"/>
  <c r="A1386" i="8"/>
  <c r="A1387" i="8"/>
  <c r="A1388" i="8"/>
  <c r="A1389" i="8"/>
  <c r="A1390" i="8"/>
  <c r="A1391" i="8"/>
  <c r="A1392" i="8"/>
  <c r="A1393" i="8"/>
  <c r="A1394" i="8"/>
  <c r="A1395" i="8"/>
  <c r="A1396" i="8"/>
  <c r="A1397" i="8"/>
  <c r="A1398" i="8"/>
  <c r="A1399" i="8"/>
  <c r="A1400" i="8"/>
  <c r="A1401" i="8"/>
  <c r="A1402" i="8"/>
  <c r="A1403" i="8"/>
  <c r="A1404" i="8"/>
  <c r="A1405" i="8"/>
  <c r="A1406" i="8"/>
  <c r="A1407" i="8"/>
  <c r="A1408" i="8"/>
  <c r="A1409" i="8"/>
  <c r="A1410" i="8"/>
  <c r="A1411" i="8"/>
  <c r="A1412" i="8"/>
  <c r="A1413" i="8"/>
  <c r="A1414" i="8"/>
  <c r="A1415" i="8"/>
  <c r="A1416" i="8"/>
  <c r="A1417" i="8"/>
  <c r="A1418" i="8"/>
  <c r="A1419" i="8"/>
  <c r="A1420" i="8"/>
  <c r="A1421" i="8"/>
  <c r="A1422" i="8"/>
  <c r="A1423" i="8"/>
  <c r="A1424" i="8"/>
  <c r="A1425" i="8"/>
  <c r="A1426" i="8"/>
  <c r="A1427" i="8"/>
  <c r="A1428" i="8"/>
  <c r="A1429" i="8"/>
  <c r="A1430" i="8"/>
  <c r="A1431" i="8"/>
  <c r="A1432" i="8"/>
  <c r="A1433" i="8"/>
  <c r="A1434" i="8"/>
  <c r="A1435" i="8"/>
  <c r="A1436" i="8"/>
  <c r="A1437" i="8"/>
  <c r="A1438" i="8"/>
  <c r="A1439" i="8"/>
  <c r="A1440" i="8"/>
  <c r="A1441" i="8"/>
  <c r="A1442" i="8"/>
  <c r="A1443" i="8"/>
  <c r="A1444" i="8"/>
  <c r="A1445" i="8"/>
  <c r="A1446" i="8"/>
  <c r="A1447" i="8"/>
  <c r="A1448" i="8"/>
  <c r="A1449" i="8"/>
  <c r="A1450" i="8"/>
  <c r="A1451" i="8"/>
  <c r="A1452" i="8"/>
  <c r="A1453" i="8"/>
  <c r="A1454" i="8"/>
  <c r="A1455" i="8"/>
  <c r="A1456" i="8"/>
  <c r="A1457" i="8"/>
  <c r="A1458" i="8"/>
  <c r="A1459" i="8"/>
  <c r="A1460" i="8"/>
  <c r="A1461" i="8"/>
  <c r="A1462" i="8"/>
  <c r="A1463" i="8"/>
  <c r="A1464" i="8"/>
  <c r="A1465" i="8"/>
  <c r="A1466" i="8"/>
  <c r="A1467" i="8"/>
  <c r="A1468" i="8"/>
  <c r="A1469" i="8"/>
  <c r="A1470" i="8"/>
  <c r="A1471" i="8"/>
  <c r="A1472" i="8"/>
  <c r="A1473" i="8"/>
  <c r="A1474" i="8"/>
  <c r="A1475" i="8"/>
  <c r="A1476" i="8"/>
  <c r="A1477" i="8"/>
  <c r="A1478" i="8"/>
  <c r="A1479" i="8"/>
  <c r="A1480" i="8"/>
  <c r="A1481" i="8"/>
  <c r="A1482" i="8"/>
  <c r="A1483" i="8"/>
  <c r="A1484" i="8"/>
  <c r="A1485" i="8"/>
  <c r="A1486" i="8"/>
  <c r="A1487" i="8"/>
  <c r="A1488" i="8"/>
  <c r="A1489" i="8"/>
  <c r="A1490" i="8"/>
  <c r="A1491" i="8"/>
  <c r="A1492" i="8"/>
  <c r="A1493" i="8"/>
  <c r="A1494" i="8"/>
  <c r="A1495" i="8"/>
  <c r="A1496" i="8"/>
  <c r="A1497" i="8"/>
  <c r="A1498" i="8"/>
  <c r="A1499" i="8"/>
  <c r="A1500" i="8"/>
  <c r="A1501" i="8"/>
  <c r="A1502" i="8"/>
  <c r="A1503" i="8"/>
  <c r="A1504" i="8"/>
  <c r="A1505" i="8"/>
  <c r="A1506" i="8"/>
  <c r="A1507" i="8"/>
  <c r="A1508" i="8"/>
  <c r="A1509" i="8"/>
  <c r="A1510" i="8"/>
  <c r="A1511" i="8"/>
  <c r="A1512" i="8"/>
  <c r="A1513" i="8"/>
  <c r="A1514" i="8"/>
  <c r="A1515" i="8"/>
  <c r="A1516" i="8"/>
  <c r="A1517" i="8"/>
  <c r="A1518" i="8"/>
  <c r="A1519" i="8"/>
  <c r="A1520" i="8"/>
  <c r="A1521" i="8"/>
  <c r="A1522" i="8"/>
  <c r="A1523" i="8"/>
  <c r="A1524" i="8"/>
  <c r="A1525" i="8"/>
  <c r="A1526" i="8"/>
  <c r="A1527" i="8"/>
  <c r="A1528" i="8"/>
  <c r="A1529" i="8"/>
  <c r="A1530" i="8"/>
  <c r="A1531" i="8"/>
  <c r="A1532" i="8"/>
  <c r="A1533" i="8"/>
  <c r="A1534" i="8"/>
  <c r="A1535" i="8"/>
  <c r="A1536" i="8"/>
  <c r="A1537" i="8"/>
  <c r="A1538" i="8"/>
  <c r="A1539" i="8"/>
  <c r="A1540" i="8"/>
  <c r="A1541" i="8"/>
  <c r="A1542" i="8"/>
  <c r="A1543" i="8"/>
  <c r="A1544" i="8"/>
  <c r="A1545" i="8"/>
  <c r="A1546" i="8"/>
  <c r="A1547" i="8"/>
  <c r="A1548" i="8"/>
  <c r="A1549" i="8"/>
  <c r="A1550" i="8"/>
  <c r="A1551" i="8"/>
  <c r="A1552" i="8"/>
  <c r="A1553" i="8"/>
  <c r="A1554" i="8"/>
  <c r="A1555" i="8"/>
  <c r="A1556" i="8"/>
  <c r="A1557" i="8"/>
  <c r="A1558" i="8"/>
  <c r="A1559" i="8"/>
  <c r="A1560" i="8"/>
  <c r="A1561" i="8"/>
  <c r="A1562" i="8"/>
  <c r="A1563" i="8"/>
  <c r="A1564" i="8"/>
  <c r="A1565" i="8"/>
  <c r="A1566" i="8"/>
  <c r="A1567" i="8"/>
  <c r="A1568" i="8"/>
  <c r="A1569" i="8"/>
  <c r="A1570" i="8"/>
  <c r="A1571" i="8"/>
  <c r="A1572" i="8"/>
  <c r="A1573" i="8"/>
  <c r="A1574" i="8"/>
  <c r="A1575" i="8"/>
  <c r="A1576" i="8"/>
  <c r="A1577" i="8"/>
  <c r="A1578" i="8"/>
  <c r="A1579" i="8"/>
  <c r="A1580" i="8"/>
  <c r="A1581" i="8"/>
  <c r="A1582" i="8"/>
  <c r="A1583" i="8"/>
  <c r="A1584" i="8"/>
  <c r="A1585" i="8"/>
  <c r="A1586" i="8"/>
  <c r="A1587" i="8"/>
  <c r="A1588" i="8"/>
  <c r="A1589" i="8"/>
  <c r="A1590" i="8"/>
  <c r="A1591" i="8"/>
  <c r="A1592" i="8"/>
  <c r="A1593" i="8"/>
  <c r="A1594" i="8"/>
  <c r="A1595" i="8"/>
  <c r="A1596" i="8"/>
  <c r="A1597" i="8"/>
  <c r="A1598" i="8"/>
  <c r="A1599" i="8"/>
  <c r="A1600" i="8"/>
  <c r="A1601" i="8"/>
  <c r="A1602" i="8"/>
  <c r="A1603" i="8"/>
  <c r="A1604" i="8"/>
  <c r="A1605" i="8"/>
  <c r="A1606" i="8"/>
  <c r="A1607" i="8"/>
  <c r="A1608" i="8"/>
  <c r="A1609" i="8"/>
  <c r="A1610" i="8"/>
  <c r="A1611" i="8"/>
  <c r="A1612" i="8"/>
  <c r="A1613" i="8"/>
  <c r="A1614" i="8"/>
  <c r="A1615" i="8"/>
  <c r="A1616" i="8"/>
  <c r="A1617" i="8"/>
  <c r="A1618" i="8"/>
  <c r="A1619" i="8"/>
  <c r="A1620" i="8"/>
  <c r="A1621" i="8"/>
  <c r="A1622" i="8"/>
  <c r="A1623" i="8"/>
  <c r="A1624" i="8"/>
  <c r="A1625" i="8"/>
  <c r="A1626" i="8"/>
  <c r="A1627" i="8"/>
  <c r="A1628" i="8"/>
  <c r="A1629" i="8"/>
  <c r="A1630" i="8"/>
  <c r="A1631" i="8"/>
  <c r="A1632" i="8"/>
  <c r="A1633" i="8"/>
  <c r="A1634" i="8"/>
  <c r="A1635" i="8"/>
  <c r="A1636" i="8"/>
  <c r="A1637" i="8"/>
  <c r="A1638" i="8"/>
  <c r="A1639" i="8"/>
  <c r="A1640" i="8"/>
  <c r="A1641" i="8"/>
  <c r="A1642" i="8"/>
  <c r="A1643" i="8"/>
  <c r="A1644" i="8"/>
  <c r="A1645" i="8"/>
  <c r="A1646" i="8"/>
  <c r="A1647" i="8"/>
  <c r="A1648" i="8"/>
  <c r="A1649" i="8"/>
  <c r="A1650" i="8"/>
  <c r="A1651" i="8"/>
  <c r="A1652" i="8"/>
  <c r="A1653" i="8"/>
  <c r="A1654" i="8"/>
  <c r="A1655" i="8"/>
  <c r="A1656" i="8"/>
  <c r="A1657" i="8"/>
  <c r="A1658" i="8"/>
  <c r="A1659" i="8"/>
  <c r="A1660" i="8"/>
  <c r="A1661" i="8"/>
  <c r="A1662" i="8"/>
  <c r="A1663" i="8"/>
  <c r="A1664" i="8"/>
  <c r="A1665" i="8"/>
  <c r="A1666" i="8"/>
  <c r="A1667" i="8"/>
  <c r="A1668" i="8"/>
  <c r="A1669" i="8"/>
  <c r="A1670" i="8"/>
  <c r="A1671" i="8"/>
  <c r="A1672" i="8"/>
  <c r="A1673" i="8"/>
  <c r="A1674" i="8"/>
  <c r="A1675" i="8"/>
  <c r="A1676" i="8"/>
  <c r="A1677" i="8"/>
  <c r="A1678" i="8"/>
  <c r="A1679" i="8"/>
  <c r="A1680" i="8"/>
  <c r="A1681" i="8"/>
  <c r="A1682" i="8"/>
  <c r="A1683" i="8"/>
  <c r="A1684" i="8"/>
  <c r="A1685" i="8"/>
  <c r="A1686" i="8"/>
  <c r="A1687" i="8"/>
  <c r="A1688" i="8"/>
  <c r="A1689" i="8"/>
  <c r="A1690" i="8"/>
  <c r="A1691" i="8"/>
  <c r="A1692" i="8"/>
  <c r="A1693" i="8"/>
  <c r="A1694" i="8"/>
  <c r="A1695" i="8"/>
  <c r="A1696" i="8"/>
  <c r="A1697" i="8"/>
  <c r="A1698" i="8"/>
  <c r="A1699" i="8"/>
  <c r="A1700" i="8"/>
  <c r="A1701" i="8"/>
  <c r="A1702" i="8"/>
  <c r="A1703" i="8"/>
  <c r="A1704" i="8"/>
  <c r="A1705" i="8"/>
  <c r="A1706" i="8"/>
  <c r="A1707" i="8"/>
  <c r="A1708" i="8"/>
  <c r="A1709" i="8"/>
  <c r="A1710" i="8"/>
  <c r="A1711" i="8"/>
  <c r="A1712" i="8"/>
  <c r="A1713" i="8"/>
  <c r="A1714" i="8"/>
  <c r="A1715" i="8"/>
  <c r="A1716" i="8"/>
  <c r="A1717" i="8"/>
  <c r="A1718" i="8"/>
  <c r="A1719" i="8"/>
  <c r="A1720" i="8"/>
  <c r="A1721" i="8"/>
  <c r="A1722" i="8"/>
  <c r="A1723" i="8"/>
  <c r="A1724" i="8"/>
  <c r="A1725" i="8"/>
  <c r="A1726" i="8"/>
  <c r="A1727" i="8"/>
  <c r="A1728" i="8"/>
  <c r="A1729" i="8"/>
  <c r="A1730" i="8"/>
  <c r="A1731" i="8"/>
  <c r="A1732" i="8"/>
  <c r="A1733" i="8"/>
  <c r="A1734" i="8"/>
  <c r="A1735" i="8"/>
  <c r="A1736" i="8"/>
  <c r="A1737" i="8"/>
  <c r="A1738" i="8"/>
  <c r="A1739" i="8"/>
  <c r="A1740" i="8"/>
  <c r="A1741" i="8"/>
  <c r="A1742" i="8"/>
  <c r="A1743" i="8"/>
  <c r="A1744" i="8"/>
  <c r="A1745" i="8"/>
  <c r="A1746" i="8"/>
  <c r="A1747" i="8"/>
  <c r="A1748" i="8"/>
  <c r="A1749" i="8"/>
  <c r="A1750" i="8"/>
  <c r="A1751" i="8"/>
  <c r="A1752" i="8"/>
  <c r="A1753" i="8"/>
  <c r="A1754" i="8"/>
  <c r="A1755" i="8"/>
  <c r="A1756" i="8"/>
  <c r="A1757" i="8"/>
  <c r="A1758" i="8"/>
  <c r="A1759" i="8"/>
  <c r="A1760" i="8"/>
  <c r="A1761" i="8"/>
  <c r="A1762" i="8"/>
  <c r="A1763" i="8"/>
  <c r="A1764" i="8"/>
  <c r="A1765" i="8"/>
  <c r="A1766" i="8"/>
  <c r="A1767" i="8"/>
  <c r="A1768" i="8"/>
  <c r="A1769" i="8"/>
  <c r="A1770" i="8"/>
  <c r="A1771" i="8"/>
  <c r="A1772" i="8"/>
  <c r="A1773" i="8"/>
  <c r="A1774" i="8"/>
  <c r="A1775" i="8"/>
  <c r="A1776" i="8"/>
  <c r="A1777" i="8"/>
  <c r="A1778" i="8"/>
  <c r="A1779" i="8"/>
  <c r="A1780" i="8"/>
  <c r="A1781" i="8"/>
  <c r="A1782" i="8"/>
  <c r="A1783" i="8"/>
  <c r="A1784" i="8"/>
  <c r="A1785" i="8"/>
  <c r="A1786" i="8"/>
  <c r="A1787" i="8"/>
  <c r="A1788" i="8"/>
  <c r="A1789" i="8"/>
  <c r="A1790" i="8"/>
  <c r="A1791" i="8"/>
  <c r="A1792" i="8"/>
  <c r="A1793" i="8"/>
  <c r="A1794" i="8"/>
  <c r="A1795" i="8"/>
  <c r="A1796" i="8"/>
  <c r="A1797" i="8"/>
  <c r="A1798" i="8"/>
  <c r="A1799" i="8"/>
  <c r="A1800" i="8"/>
  <c r="A1801" i="8"/>
  <c r="A1802" i="8"/>
  <c r="A1803" i="8"/>
  <c r="A1804" i="8"/>
  <c r="A1805" i="8"/>
  <c r="A1806" i="8"/>
  <c r="A1807" i="8"/>
  <c r="A1808" i="8"/>
  <c r="A1809" i="8"/>
  <c r="A1810" i="8"/>
  <c r="A1811" i="8"/>
  <c r="A1812" i="8"/>
  <c r="A1813" i="8"/>
  <c r="A1814" i="8"/>
  <c r="A1815" i="8"/>
  <c r="A1816" i="8"/>
  <c r="A1817" i="8"/>
  <c r="A1818" i="8"/>
  <c r="A1819" i="8"/>
  <c r="A1820" i="8"/>
  <c r="A1821" i="8"/>
  <c r="A1822" i="8"/>
  <c r="A1823" i="8"/>
  <c r="A1824" i="8"/>
  <c r="A1825" i="8"/>
  <c r="A1826" i="8"/>
  <c r="A1827" i="8"/>
  <c r="A1828" i="8"/>
  <c r="A1829" i="8"/>
  <c r="A1830" i="8"/>
  <c r="A1831" i="8"/>
  <c r="A1832" i="8"/>
  <c r="A1833" i="8"/>
  <c r="A1834" i="8"/>
  <c r="A1835" i="8"/>
  <c r="A1836" i="8"/>
  <c r="A1837" i="8"/>
  <c r="A1838" i="8"/>
  <c r="A1839" i="8"/>
  <c r="A1840" i="8"/>
  <c r="A1841" i="8"/>
  <c r="A1842" i="8"/>
  <c r="A1843" i="8"/>
  <c r="A1844" i="8"/>
  <c r="A1845" i="8"/>
  <c r="A1846" i="8"/>
  <c r="A1847" i="8"/>
  <c r="A1848" i="8"/>
  <c r="A1849" i="8"/>
  <c r="A1850" i="8"/>
  <c r="A1851" i="8"/>
  <c r="A1852" i="8"/>
  <c r="A1853" i="8"/>
  <c r="A1854" i="8"/>
  <c r="A1855" i="8"/>
  <c r="A1856" i="8"/>
  <c r="A1857" i="8"/>
  <c r="A1858" i="8"/>
  <c r="A1859" i="8"/>
  <c r="A1860" i="8"/>
  <c r="A1861" i="8"/>
  <c r="A1862" i="8"/>
  <c r="A1863" i="8"/>
  <c r="A1864" i="8"/>
  <c r="A1865" i="8"/>
  <c r="A1866" i="8"/>
  <c r="A1867" i="8"/>
  <c r="A1868" i="8"/>
  <c r="A1869" i="8"/>
  <c r="A1870" i="8"/>
  <c r="A1871" i="8"/>
  <c r="A1872" i="8"/>
  <c r="A1873" i="8"/>
  <c r="A1874" i="8"/>
  <c r="A1875" i="8"/>
  <c r="A1876" i="8"/>
  <c r="A1877" i="8"/>
  <c r="A1878" i="8"/>
  <c r="A1879" i="8"/>
  <c r="A1880" i="8"/>
  <c r="A1881" i="8"/>
  <c r="A1882" i="8"/>
  <c r="A1883" i="8"/>
  <c r="A1884" i="8"/>
  <c r="A1885" i="8"/>
  <c r="A1886" i="8"/>
  <c r="A1887" i="8"/>
  <c r="A1888" i="8"/>
  <c r="A1889" i="8"/>
  <c r="A1890" i="8"/>
  <c r="A1891" i="8"/>
  <c r="A1892" i="8"/>
  <c r="A1893" i="8"/>
  <c r="A1894" i="8"/>
  <c r="A1895" i="8"/>
  <c r="A1896" i="8"/>
  <c r="A1897" i="8"/>
  <c r="A1898" i="8"/>
  <c r="A1899" i="8"/>
  <c r="A1900" i="8"/>
  <c r="A1901" i="8"/>
  <c r="A1902" i="8"/>
  <c r="A1903" i="8"/>
  <c r="A1904" i="8"/>
  <c r="A1905" i="8"/>
  <c r="A1906" i="8"/>
  <c r="A1907" i="8"/>
  <c r="A1908" i="8"/>
  <c r="A1909" i="8"/>
  <c r="A1910" i="8"/>
  <c r="A1911" i="8"/>
  <c r="A1912" i="8"/>
  <c r="A1913" i="8"/>
  <c r="A1914" i="8"/>
  <c r="A1915" i="8"/>
  <c r="A1916" i="8"/>
  <c r="A1917" i="8"/>
  <c r="A1918" i="8"/>
  <c r="A1919" i="8"/>
  <c r="A1920" i="8"/>
  <c r="A1921" i="8"/>
  <c r="A1922" i="8"/>
  <c r="A1923" i="8"/>
  <c r="A1924" i="8"/>
  <c r="A1925" i="8"/>
  <c r="A1926" i="8"/>
  <c r="A1927" i="8"/>
  <c r="A1928" i="8"/>
  <c r="A1929" i="8"/>
  <c r="A1930" i="8"/>
  <c r="A1931" i="8"/>
  <c r="A1932" i="8"/>
  <c r="A1933" i="8"/>
  <c r="A1934" i="8"/>
  <c r="A1935" i="8"/>
  <c r="A1936" i="8"/>
  <c r="A1937" i="8"/>
  <c r="A1938" i="8"/>
  <c r="A1939" i="8"/>
  <c r="A1940" i="8"/>
  <c r="A1941" i="8"/>
  <c r="A1942" i="8"/>
  <c r="A1943" i="8"/>
  <c r="A1944" i="8"/>
  <c r="A1945" i="8"/>
  <c r="A1946" i="8"/>
  <c r="A1947" i="8"/>
  <c r="A1948" i="8"/>
  <c r="A1949" i="8"/>
  <c r="A1950" i="8"/>
  <c r="A1951" i="8"/>
  <c r="A1952" i="8"/>
  <c r="A1953" i="8"/>
  <c r="A1954" i="8"/>
  <c r="A1955" i="8"/>
  <c r="A1956" i="8"/>
  <c r="A1957" i="8"/>
  <c r="A1958" i="8"/>
  <c r="A1959" i="8"/>
  <c r="A1960" i="8"/>
  <c r="A1961" i="8"/>
  <c r="A1962" i="8"/>
  <c r="A1963" i="8"/>
  <c r="A1964" i="8"/>
  <c r="A1965" i="8"/>
  <c r="A1966" i="8"/>
  <c r="A1967" i="8"/>
  <c r="A1968" i="8"/>
  <c r="A1969" i="8"/>
  <c r="A1970" i="8"/>
  <c r="A1971" i="8"/>
  <c r="A1972" i="8"/>
  <c r="A1973" i="8"/>
  <c r="A1974" i="8"/>
  <c r="A1975" i="8"/>
  <c r="A1976" i="8"/>
  <c r="A1977" i="8"/>
  <c r="A1978" i="8"/>
  <c r="A1979" i="8"/>
  <c r="A1980" i="8"/>
  <c r="A1981" i="8"/>
  <c r="A1982" i="8"/>
  <c r="A1983" i="8"/>
  <c r="A1984" i="8"/>
  <c r="A1985" i="8"/>
  <c r="A1986" i="8"/>
  <c r="A1987" i="8"/>
  <c r="A1988" i="8"/>
  <c r="A1989" i="8"/>
  <c r="A1990" i="8"/>
  <c r="A1991" i="8"/>
  <c r="A1992" i="8"/>
  <c r="A1993" i="8"/>
  <c r="A1994" i="8"/>
  <c r="A1995" i="8"/>
  <c r="A1996" i="8"/>
  <c r="A1997" i="8"/>
  <c r="A1998" i="8"/>
  <c r="A1999" i="8"/>
  <c r="A3" i="8"/>
  <c r="A3" i="1"/>
  <c r="C161" i="8"/>
  <c r="C162" i="8"/>
  <c r="C163" i="8"/>
  <c r="C164" i="8"/>
  <c r="C165" i="8"/>
  <c r="C166" i="8"/>
  <c r="D161" i="8"/>
  <c r="D162" i="8"/>
  <c r="D163" i="8"/>
  <c r="D164" i="8"/>
  <c r="D165" i="8"/>
  <c r="D166" i="8"/>
  <c r="F161" i="8"/>
  <c r="F162" i="8"/>
  <c r="F163" i="8"/>
  <c r="F164" i="8"/>
  <c r="F165" i="8"/>
  <c r="F166" i="8"/>
  <c r="J161" i="8"/>
  <c r="J162" i="8"/>
  <c r="J163" i="8"/>
  <c r="J164" i="8"/>
  <c r="J165" i="8"/>
  <c r="J166" i="8"/>
  <c r="C155" i="8"/>
  <c r="C156" i="8"/>
  <c r="C157" i="8"/>
  <c r="C158" i="8"/>
  <c r="C159" i="8"/>
  <c r="C160" i="8"/>
  <c r="D155" i="8"/>
  <c r="D156" i="8"/>
  <c r="D157" i="8"/>
  <c r="D158" i="8"/>
  <c r="D159" i="8"/>
  <c r="D160" i="8"/>
  <c r="F155" i="8"/>
  <c r="F156" i="8"/>
  <c r="F157" i="8"/>
  <c r="F158" i="8"/>
  <c r="F159" i="8"/>
  <c r="F160" i="8"/>
  <c r="J155" i="8"/>
  <c r="J156" i="8"/>
  <c r="J157" i="8"/>
  <c r="J158" i="8"/>
  <c r="J159" i="8"/>
  <c r="J160" i="8"/>
  <c r="C149" i="8"/>
  <c r="C150" i="8"/>
  <c r="C151" i="8"/>
  <c r="C152" i="8"/>
  <c r="C153" i="8"/>
  <c r="C154" i="8"/>
  <c r="D149" i="8"/>
  <c r="D150" i="8"/>
  <c r="D151" i="8"/>
  <c r="D152" i="8"/>
  <c r="D153" i="8"/>
  <c r="D154" i="8"/>
  <c r="F149" i="8"/>
  <c r="F150" i="8"/>
  <c r="F151" i="8"/>
  <c r="F152" i="8"/>
  <c r="F153" i="8"/>
  <c r="F154" i="8"/>
  <c r="J149" i="8"/>
  <c r="J150" i="8"/>
  <c r="J151" i="8"/>
  <c r="J152" i="8"/>
  <c r="J153" i="8"/>
  <c r="J154" i="8"/>
  <c r="C143" i="8"/>
  <c r="C144" i="8"/>
  <c r="C145" i="8"/>
  <c r="C146" i="8"/>
  <c r="C147" i="8"/>
  <c r="C148" i="8"/>
  <c r="D143" i="8"/>
  <c r="D144" i="8"/>
  <c r="D145" i="8"/>
  <c r="D146" i="8"/>
  <c r="D147" i="8"/>
  <c r="D148" i="8"/>
  <c r="F143" i="8"/>
  <c r="F144" i="8"/>
  <c r="F145" i="8"/>
  <c r="F146" i="8"/>
  <c r="F147" i="8"/>
  <c r="F148" i="8"/>
  <c r="J143" i="8"/>
  <c r="J144" i="8"/>
  <c r="J145" i="8"/>
  <c r="J146" i="8"/>
  <c r="J147" i="8"/>
  <c r="J148" i="8"/>
  <c r="C137" i="8"/>
  <c r="C138" i="8"/>
  <c r="C139" i="8"/>
  <c r="C140" i="8"/>
  <c r="C141" i="8"/>
  <c r="C142" i="8"/>
  <c r="D137" i="8"/>
  <c r="D138" i="8"/>
  <c r="D139" i="8"/>
  <c r="D140" i="8"/>
  <c r="D141" i="8"/>
  <c r="D142" i="8"/>
  <c r="F137" i="8"/>
  <c r="F138" i="8"/>
  <c r="F139" i="8"/>
  <c r="F140" i="8"/>
  <c r="F141" i="8"/>
  <c r="F142" i="8"/>
  <c r="J137" i="8"/>
  <c r="J138" i="8"/>
  <c r="J139" i="8"/>
  <c r="J140" i="8"/>
  <c r="J141" i="8"/>
  <c r="J142" i="8"/>
  <c r="C131" i="8"/>
  <c r="C132" i="8"/>
  <c r="C133" i="8"/>
  <c r="C134" i="8"/>
  <c r="C135" i="8"/>
  <c r="C136" i="8"/>
  <c r="D131" i="8"/>
  <c r="D132" i="8"/>
  <c r="D133" i="8"/>
  <c r="D134" i="8"/>
  <c r="D135" i="8"/>
  <c r="D136" i="8"/>
  <c r="F131" i="8"/>
  <c r="F132" i="8"/>
  <c r="F133" i="8"/>
  <c r="F134" i="8"/>
  <c r="F135" i="8"/>
  <c r="F136" i="8"/>
  <c r="J131" i="8"/>
  <c r="J132" i="8"/>
  <c r="J133" i="8"/>
  <c r="J134" i="8"/>
  <c r="J135" i="8"/>
  <c r="J136" i="8"/>
  <c r="C125" i="8"/>
  <c r="C126" i="8"/>
  <c r="C127" i="8"/>
  <c r="C128" i="8"/>
  <c r="C129" i="8"/>
  <c r="C130" i="8"/>
  <c r="D125" i="8"/>
  <c r="D126" i="8"/>
  <c r="D127" i="8"/>
  <c r="D128" i="8"/>
  <c r="D129" i="8"/>
  <c r="D130" i="8"/>
  <c r="F125" i="8"/>
  <c r="F126" i="8"/>
  <c r="F127" i="8"/>
  <c r="F128" i="8"/>
  <c r="F129" i="8"/>
  <c r="F130" i="8"/>
  <c r="J125" i="8"/>
  <c r="J126" i="8"/>
  <c r="J127" i="8"/>
  <c r="J128" i="8"/>
  <c r="J129" i="8"/>
  <c r="J130" i="8"/>
  <c r="C119" i="8"/>
  <c r="C120" i="8"/>
  <c r="C121" i="8"/>
  <c r="C122" i="8"/>
  <c r="C123" i="8"/>
  <c r="C124" i="8"/>
  <c r="D119" i="8"/>
  <c r="D120" i="8"/>
  <c r="D121" i="8"/>
  <c r="D122" i="8"/>
  <c r="D123" i="8"/>
  <c r="D124" i="8"/>
  <c r="F119" i="8"/>
  <c r="F120" i="8"/>
  <c r="F121" i="8"/>
  <c r="F122" i="8"/>
  <c r="F123" i="8"/>
  <c r="F124" i="8"/>
  <c r="J119" i="8"/>
  <c r="J120" i="8"/>
  <c r="J121" i="8"/>
  <c r="J122" i="8"/>
  <c r="J123" i="8"/>
  <c r="J124" i="8"/>
  <c r="C113" i="8"/>
  <c r="C114" i="8"/>
  <c r="C115" i="8"/>
  <c r="C116" i="8"/>
  <c r="C117" i="8"/>
  <c r="C118" i="8"/>
  <c r="D113" i="8"/>
  <c r="D114" i="8"/>
  <c r="D115" i="8"/>
  <c r="D116" i="8"/>
  <c r="D117" i="8"/>
  <c r="D118" i="8"/>
  <c r="F113" i="8"/>
  <c r="F114" i="8"/>
  <c r="F115" i="8"/>
  <c r="F116" i="8"/>
  <c r="F117" i="8"/>
  <c r="F118" i="8"/>
  <c r="J113" i="8"/>
  <c r="J114" i="8"/>
  <c r="J115" i="8"/>
  <c r="J116" i="8"/>
  <c r="J117" i="8"/>
  <c r="J118" i="8"/>
  <c r="C107" i="8"/>
  <c r="C108" i="8"/>
  <c r="C109" i="8"/>
  <c r="C110" i="8"/>
  <c r="C111" i="8"/>
  <c r="C112" i="8"/>
  <c r="D107" i="8"/>
  <c r="D108" i="8"/>
  <c r="D109" i="8"/>
  <c r="D110" i="8"/>
  <c r="D111" i="8"/>
  <c r="D112" i="8"/>
  <c r="F107" i="8"/>
  <c r="F108" i="8"/>
  <c r="F109" i="8"/>
  <c r="F110" i="8"/>
  <c r="F111" i="8"/>
  <c r="F112" i="8"/>
  <c r="J107" i="8"/>
  <c r="J108" i="8"/>
  <c r="J109" i="8"/>
  <c r="J110" i="8"/>
  <c r="J111" i="8"/>
  <c r="J112" i="8"/>
  <c r="C100" i="8"/>
  <c r="C101" i="8"/>
  <c r="C102" i="8"/>
  <c r="C103" i="8"/>
  <c r="C104" i="8"/>
  <c r="C105" i="8"/>
  <c r="C106" i="8"/>
  <c r="D100" i="8"/>
  <c r="D101" i="8"/>
  <c r="D102" i="8"/>
  <c r="D103" i="8"/>
  <c r="D104" i="8"/>
  <c r="D105" i="8"/>
  <c r="D106" i="8"/>
  <c r="F100" i="8"/>
  <c r="F101" i="8"/>
  <c r="F102" i="8"/>
  <c r="F103" i="8"/>
  <c r="F104" i="8"/>
  <c r="F105" i="8"/>
  <c r="F106" i="8"/>
  <c r="J100" i="8"/>
  <c r="J101" i="8"/>
  <c r="J102" i="8"/>
  <c r="J103" i="8"/>
  <c r="J104" i="8"/>
  <c r="J105" i="8"/>
  <c r="J106" i="8"/>
  <c r="C93" i="8"/>
  <c r="C94" i="8"/>
  <c r="C95" i="8"/>
  <c r="C96" i="8"/>
  <c r="C97" i="8"/>
  <c r="C98" i="8"/>
  <c r="C99" i="8"/>
  <c r="D93" i="8"/>
  <c r="D94" i="8"/>
  <c r="D95" i="8"/>
  <c r="D96" i="8"/>
  <c r="D97" i="8"/>
  <c r="D98" i="8"/>
  <c r="D99" i="8"/>
  <c r="F93" i="8"/>
  <c r="F94" i="8"/>
  <c r="F95" i="8"/>
  <c r="F96" i="8"/>
  <c r="F97" i="8"/>
  <c r="F98" i="8"/>
  <c r="F99" i="8"/>
  <c r="J93" i="8"/>
  <c r="J94" i="8"/>
  <c r="J95" i="8"/>
  <c r="J96" i="8"/>
  <c r="J97" i="8"/>
  <c r="J98" i="8"/>
  <c r="J99" i="8"/>
  <c r="C86" i="8"/>
  <c r="C87" i="8"/>
  <c r="C88" i="8"/>
  <c r="C89" i="8"/>
  <c r="C90" i="8"/>
  <c r="C91" i="8"/>
  <c r="C92" i="8"/>
  <c r="D86" i="8"/>
  <c r="D87" i="8"/>
  <c r="D88" i="8"/>
  <c r="D89" i="8"/>
  <c r="D90" i="8"/>
  <c r="D91" i="8"/>
  <c r="D92" i="8"/>
  <c r="F86" i="8"/>
  <c r="F87" i="8"/>
  <c r="F88" i="8"/>
  <c r="F89" i="8"/>
  <c r="F90" i="8"/>
  <c r="F91" i="8"/>
  <c r="F92" i="8"/>
  <c r="J86" i="8"/>
  <c r="J87" i="8"/>
  <c r="J88" i="8"/>
  <c r="J89" i="8"/>
  <c r="J90" i="8"/>
  <c r="J91" i="8"/>
  <c r="J92" i="8"/>
  <c r="C78" i="8"/>
  <c r="C79" i="8"/>
  <c r="C80" i="8"/>
  <c r="C81" i="8"/>
  <c r="C82" i="8"/>
  <c r="C83" i="8"/>
  <c r="C84" i="8"/>
  <c r="C85" i="8"/>
  <c r="D78" i="8"/>
  <c r="D79" i="8"/>
  <c r="D80" i="8"/>
  <c r="D81" i="8"/>
  <c r="D82" i="8"/>
  <c r="D83" i="8"/>
  <c r="D84" i="8"/>
  <c r="D85" i="8"/>
  <c r="F78" i="8"/>
  <c r="F79" i="8"/>
  <c r="F80" i="8"/>
  <c r="F81" i="8"/>
  <c r="F82" i="8"/>
  <c r="F83" i="8"/>
  <c r="F84" i="8"/>
  <c r="F85" i="8"/>
  <c r="J78" i="8"/>
  <c r="J79" i="8"/>
  <c r="J80" i="8"/>
  <c r="J81" i="8"/>
  <c r="J82" i="8"/>
  <c r="J83" i="8"/>
  <c r="J84" i="8"/>
  <c r="J85" i="8"/>
  <c r="C70" i="8"/>
  <c r="C71" i="8"/>
  <c r="C72" i="8"/>
  <c r="C73" i="8"/>
  <c r="C74" i="8"/>
  <c r="C75" i="8"/>
  <c r="C76" i="8"/>
  <c r="C77" i="8"/>
  <c r="D70" i="8"/>
  <c r="D71" i="8"/>
  <c r="D72" i="8"/>
  <c r="D73" i="8"/>
  <c r="D74" i="8"/>
  <c r="D75" i="8"/>
  <c r="D76" i="8"/>
  <c r="D77" i="8"/>
  <c r="F70" i="8"/>
  <c r="F71" i="8"/>
  <c r="F72" i="8"/>
  <c r="F73" i="8"/>
  <c r="F74" i="8"/>
  <c r="F75" i="8"/>
  <c r="F76" i="8"/>
  <c r="F77" i="8"/>
  <c r="J70" i="8"/>
  <c r="J71" i="8"/>
  <c r="J72" i="8"/>
  <c r="J73" i="8"/>
  <c r="J74" i="8"/>
  <c r="J75" i="8"/>
  <c r="J76" i="8"/>
  <c r="J77" i="8"/>
  <c r="C62" i="8"/>
  <c r="C63" i="8"/>
  <c r="C64" i="8"/>
  <c r="C65" i="8"/>
  <c r="C66" i="8"/>
  <c r="C67" i="8"/>
  <c r="C68" i="8"/>
  <c r="C69" i="8"/>
  <c r="D62" i="8"/>
  <c r="D63" i="8"/>
  <c r="D64" i="8"/>
  <c r="D65" i="8"/>
  <c r="D66" i="8"/>
  <c r="D67" i="8"/>
  <c r="D68" i="8"/>
  <c r="D69" i="8"/>
  <c r="F62" i="8"/>
  <c r="F63" i="8"/>
  <c r="F64" i="8"/>
  <c r="F65" i="8"/>
  <c r="F66" i="8"/>
  <c r="F67" i="8"/>
  <c r="F68" i="8"/>
  <c r="F69" i="8"/>
  <c r="J62" i="8"/>
  <c r="J63" i="8"/>
  <c r="J64" i="8"/>
  <c r="J65" i="8"/>
  <c r="J66" i="8"/>
  <c r="J67" i="8"/>
  <c r="J68" i="8"/>
  <c r="J69" i="8"/>
  <c r="C54" i="8"/>
  <c r="C55" i="8"/>
  <c r="C56" i="8"/>
  <c r="C57" i="8"/>
  <c r="C58" i="8"/>
  <c r="C59" i="8"/>
  <c r="C60" i="8"/>
  <c r="C61" i="8"/>
  <c r="D54" i="8"/>
  <c r="D55" i="8"/>
  <c r="D56" i="8"/>
  <c r="D57" i="8"/>
  <c r="D58" i="8"/>
  <c r="D59" i="8"/>
  <c r="D60" i="8"/>
  <c r="D61" i="8"/>
  <c r="F54" i="8"/>
  <c r="F55" i="8"/>
  <c r="F56" i="8"/>
  <c r="F57" i="8"/>
  <c r="F58" i="8"/>
  <c r="F59" i="8"/>
  <c r="F60" i="8"/>
  <c r="F61" i="8"/>
  <c r="J54" i="8"/>
  <c r="J55" i="8"/>
  <c r="J56" i="8"/>
  <c r="J57" i="8"/>
  <c r="J58" i="8"/>
  <c r="J59" i="8"/>
  <c r="J60" i="8"/>
  <c r="J61" i="8"/>
  <c r="C46" i="8"/>
  <c r="C47" i="8"/>
  <c r="C48" i="8"/>
  <c r="C49" i="8"/>
  <c r="C50" i="8"/>
  <c r="C51" i="8"/>
  <c r="C52" i="8"/>
  <c r="C53" i="8"/>
  <c r="D46" i="8"/>
  <c r="D47" i="8"/>
  <c r="D48" i="8"/>
  <c r="D49" i="8"/>
  <c r="D50" i="8"/>
  <c r="D51" i="8"/>
  <c r="D52" i="8"/>
  <c r="D53" i="8"/>
  <c r="F46" i="8"/>
  <c r="F47" i="8"/>
  <c r="F48" i="8"/>
  <c r="F49" i="8"/>
  <c r="F50" i="8"/>
  <c r="F51" i="8"/>
  <c r="F52" i="8"/>
  <c r="F53" i="8"/>
  <c r="J46" i="8"/>
  <c r="J47" i="8"/>
  <c r="J48" i="8"/>
  <c r="J49" i="8"/>
  <c r="J50" i="8"/>
  <c r="J51" i="8"/>
  <c r="J52" i="8"/>
  <c r="J53" i="8"/>
  <c r="C45" i="8"/>
  <c r="D45" i="8"/>
  <c r="F45" i="8"/>
  <c r="J45" i="8"/>
  <c r="C38" i="8"/>
  <c r="C39" i="8"/>
  <c r="C40" i="8"/>
  <c r="C41" i="8"/>
  <c r="C42" i="8"/>
  <c r="C43" i="8"/>
  <c r="C44" i="8"/>
  <c r="D38" i="8"/>
  <c r="D39" i="8"/>
  <c r="D40" i="8"/>
  <c r="D41" i="8"/>
  <c r="D42" i="8"/>
  <c r="D43" i="8"/>
  <c r="D44" i="8"/>
  <c r="F38" i="8"/>
  <c r="F39" i="8"/>
  <c r="F40" i="8"/>
  <c r="F41" i="8"/>
  <c r="F42" i="8"/>
  <c r="F43" i="8"/>
  <c r="F44" i="8"/>
  <c r="J38" i="8"/>
  <c r="J39" i="8"/>
  <c r="J40" i="8"/>
  <c r="J41" i="8"/>
  <c r="J42" i="8"/>
  <c r="J43" i="8"/>
  <c r="J44" i="8"/>
  <c r="C31" i="8"/>
  <c r="C32" i="8"/>
  <c r="C33" i="8"/>
  <c r="C34" i="8"/>
  <c r="C35" i="8"/>
  <c r="C36" i="8"/>
  <c r="C37" i="8"/>
  <c r="D31" i="8"/>
  <c r="D32" i="8"/>
  <c r="D33" i="8"/>
  <c r="D34" i="8"/>
  <c r="D35" i="8"/>
  <c r="D36" i="8"/>
  <c r="D37" i="8"/>
  <c r="F31" i="8"/>
  <c r="F32" i="8"/>
  <c r="F33" i="8"/>
  <c r="F34" i="8"/>
  <c r="F35" i="8"/>
  <c r="F36" i="8"/>
  <c r="F37" i="8"/>
  <c r="J31" i="8"/>
  <c r="J32" i="8"/>
  <c r="J33" i="8"/>
  <c r="J34" i="8"/>
  <c r="J35" i="8"/>
  <c r="J36" i="8"/>
  <c r="J37" i="8"/>
  <c r="C24" i="8"/>
  <c r="C25" i="8"/>
  <c r="C26" i="8"/>
  <c r="C27" i="8"/>
  <c r="C28" i="8"/>
  <c r="C29" i="8"/>
  <c r="C30" i="8"/>
  <c r="D24" i="8"/>
  <c r="D25" i="8"/>
  <c r="D26" i="8"/>
  <c r="D27" i="8"/>
  <c r="D28" i="8"/>
  <c r="D29" i="8"/>
  <c r="D30" i="8"/>
  <c r="F24" i="8"/>
  <c r="F25" i="8"/>
  <c r="F26" i="8"/>
  <c r="F27" i="8"/>
  <c r="F28" i="8"/>
  <c r="F29" i="8"/>
  <c r="F30" i="8"/>
  <c r="J24" i="8"/>
  <c r="J25" i="8"/>
  <c r="J26" i="8"/>
  <c r="J27" i="8"/>
  <c r="J28" i="8"/>
  <c r="J29" i="8"/>
  <c r="J30" i="8"/>
  <c r="C17" i="8"/>
  <c r="C18" i="8"/>
  <c r="C19" i="8"/>
  <c r="C20" i="8"/>
  <c r="C21" i="8"/>
  <c r="C22" i="8"/>
  <c r="C23" i="8"/>
  <c r="D17" i="8"/>
  <c r="D18" i="8"/>
  <c r="D19" i="8"/>
  <c r="D20" i="8"/>
  <c r="D21" i="8"/>
  <c r="D22" i="8"/>
  <c r="D23" i="8"/>
  <c r="F17" i="8"/>
  <c r="F18" i="8"/>
  <c r="F19" i="8"/>
  <c r="F20" i="8"/>
  <c r="F21" i="8"/>
  <c r="F22" i="8"/>
  <c r="F23" i="8"/>
  <c r="J17" i="8"/>
  <c r="J18" i="8"/>
  <c r="J19" i="8"/>
  <c r="J20" i="8"/>
  <c r="J21" i="8"/>
  <c r="J22" i="8"/>
  <c r="J23" i="8"/>
  <c r="C10" i="8"/>
  <c r="C11" i="8"/>
  <c r="C12" i="8"/>
  <c r="C13" i="8"/>
  <c r="C14" i="8"/>
  <c r="C15" i="8"/>
  <c r="C16" i="8"/>
  <c r="D10" i="8"/>
  <c r="D11" i="8"/>
  <c r="D12" i="8"/>
  <c r="D13" i="8"/>
  <c r="D14" i="8"/>
  <c r="D15" i="8"/>
  <c r="D16" i="8"/>
  <c r="F10" i="8"/>
  <c r="F11" i="8"/>
  <c r="F12" i="8"/>
  <c r="F13" i="8"/>
  <c r="F14" i="8"/>
  <c r="F15" i="8"/>
  <c r="F16" i="8"/>
  <c r="J10" i="8"/>
  <c r="J11" i="8"/>
  <c r="J12" i="8"/>
  <c r="J13" i="8"/>
  <c r="J14" i="8"/>
  <c r="J15" i="8"/>
  <c r="J16" i="8"/>
  <c r="C5" i="8"/>
  <c r="C6" i="8"/>
  <c r="C7" i="8"/>
  <c r="C8" i="8"/>
  <c r="C9" i="8"/>
  <c r="D5" i="8"/>
  <c r="D6" i="8"/>
  <c r="D7" i="8"/>
  <c r="D8" i="8"/>
  <c r="D9" i="8"/>
  <c r="F5" i="8"/>
  <c r="F6" i="8"/>
  <c r="F7" i="8"/>
  <c r="F8" i="8"/>
  <c r="F9" i="8"/>
  <c r="J5" i="8"/>
  <c r="J6" i="8"/>
  <c r="J7" i="8"/>
  <c r="J8" i="8"/>
  <c r="J9" i="8"/>
  <c r="C4" i="8"/>
  <c r="D4" i="8"/>
  <c r="F4" i="8"/>
  <c r="J4" i="8"/>
  <c r="J3" i="8"/>
  <c r="F3" i="8"/>
  <c r="Q2" i="12"/>
  <c r="AP2" i="12"/>
  <c r="AI2" i="12"/>
  <c r="X2" i="12"/>
  <c r="F2" i="12"/>
  <c r="N2" i="12"/>
  <c r="E2" i="12"/>
  <c r="AC2" i="12"/>
  <c r="T2" i="12"/>
  <c r="AQ2" i="12"/>
  <c r="O2" i="12"/>
  <c r="U2" i="12"/>
  <c r="AE2" i="12"/>
  <c r="G2" i="12"/>
  <c r="M2" i="12"/>
  <c r="AG2" i="12"/>
  <c r="R2" i="12"/>
  <c r="AL2" i="12"/>
  <c r="C2" i="12"/>
  <c r="L2" i="12"/>
  <c r="Z2" i="12"/>
  <c r="AF2" i="12"/>
  <c r="AV2" i="12"/>
  <c r="K2" i="12"/>
  <c r="I2" i="12"/>
  <c r="AU2" i="12"/>
  <c r="AO2" i="12"/>
  <c r="P2" i="12"/>
  <c r="H2" i="12"/>
  <c r="AT2" i="12"/>
  <c r="W2" i="12"/>
  <c r="J2" i="12"/>
  <c r="S2" i="12"/>
  <c r="AK2" i="12"/>
  <c r="AB2" i="12"/>
  <c r="D2" i="12"/>
  <c r="AA2" i="12"/>
  <c r="V2" i="12"/>
  <c r="AD2" i="12"/>
  <c r="AJ2" i="12"/>
  <c r="Y2" i="12"/>
  <c r="AM2" i="12"/>
  <c r="AS2" i="12"/>
  <c r="AN2" i="12"/>
  <c r="AR2" i="12"/>
  <c r="AH2" i="12"/>
  <c r="AW2" i="12"/>
  <c r="AX2" i="12"/>
  <c r="AJ3" i="12" l="1"/>
  <c r="AP3" i="12"/>
  <c r="AL3" i="12"/>
  <c r="AH3" i="12"/>
  <c r="AX3" i="12"/>
  <c r="AM3" i="12"/>
  <c r="AW3" i="12"/>
  <c r="AC3" i="12"/>
  <c r="AU3" i="12"/>
  <c r="AD3" i="12"/>
  <c r="AB3" i="12"/>
  <c r="AF3" i="12"/>
  <c r="AR3" i="12"/>
  <c r="AO3" i="12"/>
  <c r="AV3" i="12"/>
  <c r="AS3" i="12"/>
  <c r="AG3" i="12"/>
  <c r="AI3" i="12"/>
  <c r="AE3" i="12"/>
  <c r="AT3" i="12"/>
  <c r="AK3" i="12"/>
  <c r="AQ3" i="12"/>
  <c r="AN3" i="12"/>
  <c r="T3" i="12"/>
  <c r="E3" i="12"/>
  <c r="M3" i="12"/>
  <c r="R3" i="12"/>
  <c r="D3" i="12"/>
  <c r="L3" i="12"/>
  <c r="W3" i="12"/>
  <c r="I3" i="12"/>
  <c r="N3" i="12"/>
  <c r="P3" i="12"/>
  <c r="Q3" i="12"/>
  <c r="Z3" i="12"/>
  <c r="G3" i="12"/>
  <c r="S3" i="12"/>
  <c r="U3" i="12"/>
  <c r="X3" i="12"/>
  <c r="F3" i="12"/>
  <c r="V3" i="12"/>
  <c r="K3" i="12"/>
  <c r="J3" i="12"/>
  <c r="Y3" i="12"/>
  <c r="H3" i="12"/>
  <c r="O3" i="12"/>
  <c r="AA3" i="12"/>
  <c r="D3" i="8"/>
  <c r="C3" i="8"/>
  <c r="A4" i="1" l="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I10" i="1" l="1"/>
  <c r="I9" i="1"/>
  <c r="I8" i="1"/>
  <c r="I7" i="1"/>
  <c r="I6" i="1"/>
  <c r="I5" i="1"/>
  <c r="I4" i="1"/>
  <c r="I3" i="1"/>
  <c r="H162" i="8" l="1"/>
  <c r="H150" i="8"/>
  <c r="H138" i="8"/>
  <c r="H126" i="8"/>
  <c r="H114" i="8"/>
  <c r="H71" i="8"/>
  <c r="H55" i="8"/>
  <c r="I4" i="8"/>
  <c r="I162" i="8"/>
  <c r="I150" i="8"/>
  <c r="I138" i="8"/>
  <c r="I126" i="8"/>
  <c r="I114" i="8"/>
  <c r="I101" i="8"/>
  <c r="I94" i="8"/>
  <c r="I87" i="8"/>
  <c r="I79" i="8"/>
  <c r="I63" i="8"/>
  <c r="I47" i="8"/>
  <c r="I39" i="8"/>
  <c r="I32" i="8"/>
  <c r="I25" i="8"/>
  <c r="I18" i="8"/>
  <c r="I11" i="8"/>
  <c r="H156" i="8"/>
  <c r="H144" i="8"/>
  <c r="H132" i="8"/>
  <c r="H120" i="8"/>
  <c r="K120" i="8" s="1"/>
  <c r="H108" i="8"/>
  <c r="I156" i="8"/>
  <c r="I144" i="8"/>
  <c r="I132" i="8"/>
  <c r="I120" i="8"/>
  <c r="I108" i="8"/>
  <c r="H101" i="8"/>
  <c r="K101" i="8" s="1"/>
  <c r="H94" i="8"/>
  <c r="K94" i="8" s="1"/>
  <c r="H87" i="8"/>
  <c r="I71" i="8"/>
  <c r="I55" i="8"/>
  <c r="H39" i="8"/>
  <c r="K39" i="8" s="1"/>
  <c r="H32" i="8"/>
  <c r="K32" i="8" s="1"/>
  <c r="H25" i="8"/>
  <c r="K25" i="8" s="1"/>
  <c r="H18" i="8"/>
  <c r="K18" i="8" s="1"/>
  <c r="H11" i="8"/>
  <c r="K11" i="8" s="1"/>
  <c r="H4" i="8"/>
  <c r="H47" i="8"/>
  <c r="H63" i="8"/>
  <c r="K63" i="8" s="1"/>
  <c r="H79" i="8"/>
  <c r="K79" i="8" s="1"/>
  <c r="H166" i="8"/>
  <c r="H154" i="8"/>
  <c r="H142" i="8"/>
  <c r="H130" i="8"/>
  <c r="K130" i="8" s="1"/>
  <c r="H118" i="8"/>
  <c r="I76" i="8"/>
  <c r="I60" i="8"/>
  <c r="H44" i="8"/>
  <c r="H8" i="8"/>
  <c r="I166" i="8"/>
  <c r="I154" i="8"/>
  <c r="I142" i="8"/>
  <c r="I130" i="8"/>
  <c r="I118" i="8"/>
  <c r="I105" i="8"/>
  <c r="I98" i="8"/>
  <c r="I91" i="8"/>
  <c r="H76" i="8"/>
  <c r="K76" i="8" s="1"/>
  <c r="H60" i="8"/>
  <c r="K60" i="8" s="1"/>
  <c r="I36" i="8"/>
  <c r="I29" i="8"/>
  <c r="I22" i="8"/>
  <c r="I15" i="8"/>
  <c r="I8" i="8"/>
  <c r="H160" i="8"/>
  <c r="H148" i="8"/>
  <c r="H136" i="8"/>
  <c r="H124" i="8"/>
  <c r="K124" i="8" s="1"/>
  <c r="H112" i="8"/>
  <c r="I160" i="8"/>
  <c r="I148" i="8"/>
  <c r="I136" i="8"/>
  <c r="I124" i="8"/>
  <c r="I112" i="8"/>
  <c r="H105" i="8"/>
  <c r="K105" i="8" s="1"/>
  <c r="H98" i="8"/>
  <c r="K98" i="8" s="1"/>
  <c r="H91" i="8"/>
  <c r="K91" i="8" s="1"/>
  <c r="H84" i="8"/>
  <c r="H68" i="8"/>
  <c r="K68" i="8" s="1"/>
  <c r="H52" i="8"/>
  <c r="K52" i="8" s="1"/>
  <c r="H36" i="8"/>
  <c r="H29" i="8"/>
  <c r="K29" i="8" s="1"/>
  <c r="H22" i="8"/>
  <c r="K22" i="8" s="1"/>
  <c r="H15" i="8"/>
  <c r="K15" i="8" s="1"/>
  <c r="I68" i="8"/>
  <c r="I84" i="8"/>
  <c r="I52" i="8"/>
  <c r="I44" i="8"/>
  <c r="H158" i="8"/>
  <c r="H146" i="8"/>
  <c r="H134" i="8"/>
  <c r="H122" i="8"/>
  <c r="K122" i="8" s="1"/>
  <c r="H110" i="8"/>
  <c r="I82" i="8"/>
  <c r="I66" i="8"/>
  <c r="I50" i="8"/>
  <c r="I42" i="8"/>
  <c r="I158" i="8"/>
  <c r="I146" i="8"/>
  <c r="I134" i="8"/>
  <c r="I122" i="8"/>
  <c r="I110" i="8"/>
  <c r="H103" i="8"/>
  <c r="H96" i="8"/>
  <c r="H89" i="8"/>
  <c r="H82" i="8"/>
  <c r="K82" i="8" s="1"/>
  <c r="H66" i="8"/>
  <c r="K66" i="8" s="1"/>
  <c r="H50" i="8"/>
  <c r="K50" i="8" s="1"/>
  <c r="H34" i="8"/>
  <c r="H27" i="8"/>
  <c r="H20" i="8"/>
  <c r="K20" i="8" s="1"/>
  <c r="H13" i="8"/>
  <c r="K13" i="8" s="1"/>
  <c r="H164" i="8"/>
  <c r="H152" i="8"/>
  <c r="H140" i="8"/>
  <c r="H128" i="8"/>
  <c r="K128" i="8" s="1"/>
  <c r="H116" i="8"/>
  <c r="I164" i="8"/>
  <c r="I152" i="8"/>
  <c r="I140" i="8"/>
  <c r="I128" i="8"/>
  <c r="I116" i="8"/>
  <c r="I103" i="8"/>
  <c r="I96" i="8"/>
  <c r="I89" i="8"/>
  <c r="H74" i="8"/>
  <c r="H58" i="8"/>
  <c r="I34" i="8"/>
  <c r="I27" i="8"/>
  <c r="I20" i="8"/>
  <c r="I13" i="8"/>
  <c r="I6" i="8"/>
  <c r="I74" i="8"/>
  <c r="H42" i="8"/>
  <c r="K42" i="8" s="1"/>
  <c r="H6" i="8"/>
  <c r="I58" i="8"/>
  <c r="I165" i="8"/>
  <c r="I153" i="8"/>
  <c r="I141" i="8"/>
  <c r="I129" i="8"/>
  <c r="I117" i="8"/>
  <c r="I104" i="8"/>
  <c r="I97" i="8"/>
  <c r="I90" i="8"/>
  <c r="H75" i="8"/>
  <c r="H59" i="8"/>
  <c r="I35" i="8"/>
  <c r="I28" i="8"/>
  <c r="I7" i="8"/>
  <c r="H159" i="8"/>
  <c r="H147" i="8"/>
  <c r="H135" i="8"/>
  <c r="K135" i="8" s="1"/>
  <c r="H123" i="8"/>
  <c r="H111" i="8"/>
  <c r="I83" i="8"/>
  <c r="I67" i="8"/>
  <c r="I51" i="8"/>
  <c r="I43" i="8"/>
  <c r="I159" i="8"/>
  <c r="I147" i="8"/>
  <c r="I135" i="8"/>
  <c r="I123" i="8"/>
  <c r="I111" i="8"/>
  <c r="H104" i="8"/>
  <c r="K104" i="8" s="1"/>
  <c r="H97" i="8"/>
  <c r="H90" i="8"/>
  <c r="H165" i="8"/>
  <c r="K165" i="8" s="1"/>
  <c r="H153" i="8"/>
  <c r="K153" i="8" s="1"/>
  <c r="H141" i="8"/>
  <c r="H129" i="8"/>
  <c r="H117" i="8"/>
  <c r="K117" i="8" s="1"/>
  <c r="I75" i="8"/>
  <c r="I59" i="8"/>
  <c r="H43" i="8"/>
  <c r="K43" i="8" s="1"/>
  <c r="H7" i="8"/>
  <c r="K7" i="8" s="1"/>
  <c r="I21" i="8"/>
  <c r="I14" i="8"/>
  <c r="H35" i="8"/>
  <c r="H51" i="8"/>
  <c r="K51" i="8" s="1"/>
  <c r="H14" i="8"/>
  <c r="K14" i="8" s="1"/>
  <c r="H21" i="8"/>
  <c r="H67" i="8"/>
  <c r="H83" i="8"/>
  <c r="K83" i="8" s="1"/>
  <c r="H28" i="8"/>
  <c r="I72" i="8"/>
  <c r="I56" i="8"/>
  <c r="H40" i="8"/>
  <c r="K40" i="8" s="1"/>
  <c r="H33" i="8"/>
  <c r="K33" i="8" s="1"/>
  <c r="H26" i="8"/>
  <c r="H19" i="8"/>
  <c r="H72" i="8"/>
  <c r="K72" i="8" s="1"/>
  <c r="H56" i="8"/>
  <c r="K56" i="8" s="1"/>
  <c r="H5" i="8"/>
  <c r="H80" i="8"/>
  <c r="H64" i="8"/>
  <c r="H48" i="8"/>
  <c r="H12" i="8"/>
  <c r="I80" i="8"/>
  <c r="I33" i="8"/>
  <c r="I48" i="8"/>
  <c r="I40" i="8"/>
  <c r="I12" i="8"/>
  <c r="I64" i="8"/>
  <c r="I19" i="8"/>
  <c r="I5" i="8"/>
  <c r="I26" i="8"/>
  <c r="I157" i="8"/>
  <c r="I145" i="8"/>
  <c r="I133" i="8"/>
  <c r="I121" i="8"/>
  <c r="I109" i="8"/>
  <c r="H102" i="8"/>
  <c r="K102" i="8" s="1"/>
  <c r="H95" i="8"/>
  <c r="H88" i="8"/>
  <c r="K88" i="8" s="1"/>
  <c r="H81" i="8"/>
  <c r="H65" i="8"/>
  <c r="H49" i="8"/>
  <c r="H163" i="8"/>
  <c r="H151" i="8"/>
  <c r="H139" i="8"/>
  <c r="H127" i="8"/>
  <c r="H115" i="8"/>
  <c r="I73" i="8"/>
  <c r="I57" i="8"/>
  <c r="H41" i="8"/>
  <c r="I163" i="8"/>
  <c r="I151" i="8"/>
  <c r="I139" i="8"/>
  <c r="I127" i="8"/>
  <c r="I115" i="8"/>
  <c r="I102" i="8"/>
  <c r="I95" i="8"/>
  <c r="I88" i="8"/>
  <c r="H157" i="8"/>
  <c r="H145" i="8"/>
  <c r="H133" i="8"/>
  <c r="K133" i="8" s="1"/>
  <c r="H121" i="8"/>
  <c r="H109" i="8"/>
  <c r="I81" i="8"/>
  <c r="I65" i="8"/>
  <c r="I49" i="8"/>
  <c r="I41" i="8"/>
  <c r="H57" i="8"/>
  <c r="H73" i="8"/>
  <c r="K73" i="8" s="1"/>
  <c r="H106" i="8"/>
  <c r="H99" i="8"/>
  <c r="H92" i="8"/>
  <c r="K92" i="8" s="1"/>
  <c r="H85" i="8"/>
  <c r="K85" i="8" s="1"/>
  <c r="H69" i="8"/>
  <c r="H53" i="8"/>
  <c r="I45" i="8"/>
  <c r="H37" i="8"/>
  <c r="H30" i="8"/>
  <c r="H23" i="8"/>
  <c r="H16" i="8"/>
  <c r="I77" i="8"/>
  <c r="I61" i="8"/>
  <c r="H9" i="8"/>
  <c r="I106" i="8"/>
  <c r="I99" i="8"/>
  <c r="I92" i="8"/>
  <c r="I85" i="8"/>
  <c r="I69" i="8"/>
  <c r="I53" i="8"/>
  <c r="H45" i="8"/>
  <c r="I23" i="8"/>
  <c r="I30" i="8"/>
  <c r="I37" i="8"/>
  <c r="H61" i="8"/>
  <c r="K61" i="8" s="1"/>
  <c r="H77" i="8"/>
  <c r="I16" i="8"/>
  <c r="I9" i="8"/>
  <c r="H161" i="8"/>
  <c r="H149" i="8"/>
  <c r="H137" i="8"/>
  <c r="H125" i="8"/>
  <c r="H113" i="8"/>
  <c r="I31" i="8"/>
  <c r="H31" i="8"/>
  <c r="I155" i="8"/>
  <c r="I143" i="8"/>
  <c r="I131" i="8"/>
  <c r="I119" i="8"/>
  <c r="I107" i="8"/>
  <c r="I100" i="8"/>
  <c r="I24" i="8"/>
  <c r="I3" i="8"/>
  <c r="H24" i="8"/>
  <c r="H3" i="8"/>
  <c r="H46" i="8"/>
  <c r="H100" i="8"/>
  <c r="I46" i="8"/>
  <c r="I17" i="8"/>
  <c r="H10" i="8"/>
  <c r="H155" i="8"/>
  <c r="H143" i="8"/>
  <c r="H131" i="8"/>
  <c r="H119" i="8"/>
  <c r="H107" i="8"/>
  <c r="I93" i="8"/>
  <c r="H78" i="8"/>
  <c r="I78" i="8"/>
  <c r="H70" i="8"/>
  <c r="I70" i="8"/>
  <c r="H62" i="8"/>
  <c r="I62" i="8"/>
  <c r="H54" i="8"/>
  <c r="I54" i="8"/>
  <c r="H93" i="8"/>
  <c r="H17" i="8"/>
  <c r="I161" i="8"/>
  <c r="I149" i="8"/>
  <c r="I137" i="8"/>
  <c r="I125" i="8"/>
  <c r="I113" i="8"/>
  <c r="I86" i="8"/>
  <c r="I38" i="8"/>
  <c r="I10" i="8"/>
  <c r="H86" i="8"/>
  <c r="H38" i="8"/>
  <c r="K37" i="8" l="1"/>
  <c r="K65" i="8"/>
  <c r="K48" i="8"/>
  <c r="K96" i="8"/>
  <c r="K44" i="8"/>
  <c r="K16" i="8"/>
  <c r="K145" i="8"/>
  <c r="K147" i="8"/>
  <c r="K6" i="8"/>
  <c r="K58" i="8"/>
  <c r="K140" i="8"/>
  <c r="K103" i="8"/>
  <c r="K134" i="8"/>
  <c r="K136" i="8"/>
  <c r="K142" i="8"/>
  <c r="K132" i="8"/>
  <c r="K55" i="8"/>
  <c r="K138" i="8"/>
  <c r="K139" i="8"/>
  <c r="K28" i="8"/>
  <c r="K57" i="8"/>
  <c r="K81" i="8"/>
  <c r="K9" i="8"/>
  <c r="K23" i="8"/>
  <c r="K53" i="8"/>
  <c r="K99" i="8"/>
  <c r="K109" i="8"/>
  <c r="K157" i="8"/>
  <c r="K115" i="8"/>
  <c r="K163" i="8"/>
  <c r="K80" i="8"/>
  <c r="K19" i="8"/>
  <c r="K67" i="8"/>
  <c r="K35" i="8"/>
  <c r="K129" i="8"/>
  <c r="K90" i="8"/>
  <c r="K111" i="8"/>
  <c r="K159" i="8"/>
  <c r="K59" i="8"/>
  <c r="K74" i="8"/>
  <c r="K152" i="8"/>
  <c r="K27" i="8"/>
  <c r="K146" i="8"/>
  <c r="K84" i="8"/>
  <c r="K148" i="8"/>
  <c r="K154" i="8"/>
  <c r="K47" i="8"/>
  <c r="K144" i="8"/>
  <c r="K71" i="8"/>
  <c r="K150" i="8"/>
  <c r="K126" i="8"/>
  <c r="K151" i="8"/>
  <c r="K64" i="8"/>
  <c r="K77" i="8"/>
  <c r="K45" i="8"/>
  <c r="K30" i="8"/>
  <c r="K69" i="8"/>
  <c r="K106" i="8"/>
  <c r="K121" i="8"/>
  <c r="K41" i="8"/>
  <c r="K127" i="8"/>
  <c r="K49" i="8"/>
  <c r="K95" i="8"/>
  <c r="K12" i="8"/>
  <c r="K5" i="8"/>
  <c r="K26" i="8"/>
  <c r="K21" i="8"/>
  <c r="K141" i="8"/>
  <c r="K97" i="8"/>
  <c r="K123" i="8"/>
  <c r="K75" i="8"/>
  <c r="K116" i="8"/>
  <c r="K164" i="8"/>
  <c r="K34" i="8"/>
  <c r="K89" i="8"/>
  <c r="K110" i="8"/>
  <c r="K158" i="8"/>
  <c r="K36" i="8"/>
  <c r="K112" i="8"/>
  <c r="K160" i="8"/>
  <c r="K8" i="8"/>
  <c r="K118" i="8"/>
  <c r="K166" i="8"/>
  <c r="K4" i="8"/>
  <c r="K87" i="8"/>
  <c r="K108" i="8"/>
  <c r="K156" i="8"/>
  <c r="K114" i="8"/>
  <c r="K162" i="8"/>
  <c r="K17" i="8"/>
  <c r="K107" i="8"/>
  <c r="K149" i="8"/>
  <c r="K3" i="8"/>
  <c r="K161" i="8"/>
  <c r="K38" i="8"/>
  <c r="K46" i="8"/>
  <c r="K93" i="8"/>
  <c r="K113" i="8"/>
  <c r="K119" i="8"/>
  <c r="K143" i="8"/>
  <c r="K24" i="8"/>
  <c r="K86" i="8"/>
  <c r="K70" i="8"/>
  <c r="K155" i="8"/>
  <c r="K31" i="8"/>
  <c r="K62" i="8"/>
  <c r="K131" i="8"/>
  <c r="K10" i="8"/>
  <c r="K78" i="8"/>
  <c r="K125" i="8"/>
  <c r="K54" i="8"/>
  <c r="K100" i="8"/>
  <c r="K137" i="8"/>
</calcChain>
</file>

<file path=xl/sharedStrings.xml><?xml version="1.0" encoding="utf-8"?>
<sst xmlns="http://schemas.openxmlformats.org/spreadsheetml/2006/main" count="482" uniqueCount="134">
  <si>
    <t>Bonus Target</t>
  </si>
  <si>
    <t>Number of salary payments</t>
  </si>
  <si>
    <t>Name</t>
  </si>
  <si>
    <t>Employee Group</t>
  </si>
  <si>
    <t>Field Force</t>
  </si>
  <si>
    <t>Administrative</t>
  </si>
  <si>
    <t>IT</t>
  </si>
  <si>
    <t>General Management</t>
  </si>
  <si>
    <t>Date of Entry</t>
  </si>
  <si>
    <t>Date of Exit (if applicable)</t>
  </si>
  <si>
    <t>Employee Name</t>
  </si>
  <si>
    <t>Sales Commission (if applicable)</t>
  </si>
  <si>
    <t>Month</t>
  </si>
  <si>
    <t>Year</t>
  </si>
  <si>
    <t>Annual base salary (100% workload)</t>
  </si>
  <si>
    <t>Workload</t>
  </si>
  <si>
    <t>Monthly gross salary at workload (excl. Commission &amp; bonus)</t>
  </si>
  <si>
    <t>Title</t>
  </si>
  <si>
    <t>Navigation</t>
  </si>
  <si>
    <t>Content</t>
  </si>
  <si>
    <t>Customization difficulty (1-3)</t>
  </si>
  <si>
    <t>Explanation of sheets</t>
  </si>
  <si>
    <t>This template provides an overview over some insightful KPIs in Human Resource Management.</t>
  </si>
  <si>
    <t>Dennis Henderson</t>
  </si>
  <si>
    <t>Sabrina Nielsen</t>
  </si>
  <si>
    <t>Christina Roach</t>
  </si>
  <si>
    <t>Jamie Newman</t>
  </si>
  <si>
    <t>Diana Stuart</t>
  </si>
  <si>
    <t>Steven Lewis</t>
  </si>
  <si>
    <t>John Richardson</t>
  </si>
  <si>
    <t>David Maynard</t>
  </si>
  <si>
    <t>How to customize</t>
  </si>
  <si>
    <t>Employee Database</t>
  </si>
  <si>
    <t>Headcount Overview:</t>
  </si>
  <si>
    <t>Employee Database:</t>
  </si>
  <si>
    <t>Mapping:</t>
  </si>
  <si>
    <t>Maintain this sheet to track the number of people working at your company. A 1 stands for the person actively working there, a 0 stands for a person not working there anymore.</t>
  </si>
  <si>
    <t>This sheet is used to track all relevant information about the employees working at your company, including salary information, date of entry, and bonus eligibility.</t>
  </si>
  <si>
    <t>Payroll:</t>
  </si>
  <si>
    <t>Employee retention rates are automatically calculated each month.</t>
  </si>
  <si>
    <t>This sheet is calculated automatically, and sheds light on the monthly compensation each employee receives, taking into consideration the bonus and commission eligibility.</t>
  </si>
  <si>
    <t>1)</t>
  </si>
  <si>
    <t>this will later help with the calculation of the monthly compensation.</t>
  </si>
  <si>
    <t>It's used to calculate salaries, track headcount and employee retention, as well as the commission to be paid to field based associates.</t>
  </si>
  <si>
    <t>2)</t>
  </si>
  <si>
    <t>Update all relevant information on the sheet "Employee Database", all white cells can be edited.</t>
  </si>
  <si>
    <t>3)</t>
  </si>
  <si>
    <t>4)</t>
  </si>
  <si>
    <t>5)</t>
  </si>
  <si>
    <t>On the "Payroll" sheet, you will find a detailed calculation of each employee's salary entitlement. You can use the drop-down list for a break down by month.</t>
  </si>
  <si>
    <t>6)</t>
  </si>
  <si>
    <t>Human Resource Metrics</t>
  </si>
  <si>
    <t>Human Reources Metrics Dashboard</t>
  </si>
  <si>
    <t>Date</t>
  </si>
  <si>
    <t>New Entry</t>
  </si>
  <si>
    <t>New record</t>
  </si>
  <si>
    <t>Group</t>
  </si>
  <si>
    <t>Revenue generated by employee</t>
  </si>
  <si>
    <t>Base salary</t>
  </si>
  <si>
    <t>Bonus accrual</t>
  </si>
  <si>
    <t>Comission</t>
  </si>
  <si>
    <t>Total Payroll</t>
  </si>
  <si>
    <t>Raw Data</t>
  </si>
  <si>
    <t>Dashboard</t>
  </si>
  <si>
    <t>Sales and Revenue</t>
  </si>
  <si>
    <t xml:space="preserve">This sheet is created for monthly employee raw data entry "Month, Employee name and recorded sales revenue" then other calculations will be reflected from employee database </t>
  </si>
  <si>
    <t>Grand Total</t>
  </si>
  <si>
    <t>Sum of Base salary</t>
  </si>
  <si>
    <t>Sum of Bonus accrual</t>
  </si>
  <si>
    <t>Sum of Comission</t>
  </si>
  <si>
    <t>Sum of Total Payroll</t>
  </si>
  <si>
    <t>2019</t>
  </si>
  <si>
    <t>2019 Total</t>
  </si>
  <si>
    <t>2020</t>
  </si>
  <si>
    <t>2020 Total</t>
  </si>
  <si>
    <t>Jan</t>
  </si>
  <si>
    <t>Feb</t>
  </si>
  <si>
    <t>Mar</t>
  </si>
  <si>
    <t>Apr</t>
  </si>
  <si>
    <t>May</t>
  </si>
  <si>
    <t>Jun</t>
  </si>
  <si>
    <t>Jul</t>
  </si>
  <si>
    <t>Aug</t>
  </si>
  <si>
    <t>Sep</t>
  </si>
  <si>
    <t>Oct</t>
  </si>
  <si>
    <t>Nov</t>
  </si>
  <si>
    <t>Dec</t>
  </si>
  <si>
    <t>Count of Employee Name</t>
  </si>
  <si>
    <t>Total Headcount</t>
  </si>
  <si>
    <t>Employee Retention</t>
  </si>
  <si>
    <t>Row Labels</t>
  </si>
  <si>
    <t>Count of Name</t>
  </si>
  <si>
    <t>Sum of Revenue generated by employee</t>
  </si>
  <si>
    <t>Revenue Generated</t>
  </si>
  <si>
    <t>Base Salaries</t>
  </si>
  <si>
    <t>Bonus</t>
  </si>
  <si>
    <t>TTL Payroll</t>
  </si>
  <si>
    <t>TTL Headcount</t>
  </si>
  <si>
    <t>Years</t>
  </si>
  <si>
    <t>For new entry please follow guide arrow</t>
  </si>
  <si>
    <t>Now Employee database is ready for next step</t>
  </si>
  <si>
    <t>From raw data sheet record your monthly data for each employee.</t>
  </si>
  <si>
    <t>Record Date as mm/yyyy format</t>
  </si>
  <si>
    <t>Selcet employee from dropdown list</t>
  </si>
  <si>
    <t>For each employee record related department then record revenue generated by mentioned employee</t>
  </si>
  <si>
    <t>For new record please follow guide arrow</t>
  </si>
  <si>
    <t>You can use the timeline tool at the top to get a more detailed view on the various components of the salary.</t>
  </si>
  <si>
    <t>Record data only in white cells and not allowed to insert any data in gray cells</t>
  </si>
  <si>
    <t>7)</t>
  </si>
  <si>
    <t>8)</t>
  </si>
  <si>
    <t>9)</t>
  </si>
  <si>
    <t>10)</t>
  </si>
  <si>
    <t>11)</t>
  </si>
  <si>
    <t xml:space="preserve">Dashboard sheet will summarize all Employee data in dynamic dashboard that can be easily manipulate with slicers and support top management in decision making </t>
  </si>
  <si>
    <t>Month Over Month chart show the monthly growth " difference between current month and previous month" in revenue generated</t>
  </si>
  <si>
    <t>12)</t>
  </si>
  <si>
    <t>For sales associates, compensation is linked to a % commission (tracked in the employee database). Enter the monthly revenue generated per each sales associate.</t>
  </si>
  <si>
    <t>This sheet is used to track the months, years and employee groups which will later translate into drop-down lists.</t>
  </si>
  <si>
    <t>Related To Online Templates</t>
  </si>
  <si>
    <t>Our templates is compatible with online service but some templates that including macros feature is still not supported with Excel Online</t>
  </si>
  <si>
    <t>Here is some hints that replace our macros in case of using Online Template</t>
  </si>
  <si>
    <t>Referesh / Update Data</t>
  </si>
  <si>
    <r>
      <t xml:space="preserve">Some of our templates include </t>
    </r>
    <r>
      <rPr>
        <b/>
        <sz val="10"/>
        <color theme="1"/>
        <rFont val="Arial"/>
        <family val="2"/>
      </rPr>
      <t xml:space="preserve">Referesh/Update data </t>
    </r>
    <r>
      <rPr>
        <sz val="10"/>
        <color theme="1"/>
        <rFont val="Arial"/>
        <family val="2"/>
      </rPr>
      <t>macro button that can be replaced with Referesh All tool in Excel Online ribbon</t>
    </r>
  </si>
  <si>
    <t>Full Screen</t>
  </si>
  <si>
    <r>
      <t xml:space="preserve">Some of our templates have </t>
    </r>
    <r>
      <rPr>
        <b/>
        <sz val="10"/>
        <color theme="1"/>
        <rFont val="Arial"/>
        <family val="2"/>
      </rPr>
      <t xml:space="preserve">Full Screen </t>
    </r>
    <r>
      <rPr>
        <sz val="10"/>
        <color theme="1"/>
        <rFont val="Arial"/>
        <family val="2"/>
      </rPr>
      <t xml:space="preserve">macro button that can be replaced with the itself web browser full screen tool </t>
    </r>
  </si>
  <si>
    <t>Other Macros / Buttons</t>
  </si>
  <si>
    <r>
      <t xml:space="preserve">Other macros is applied on less than ~15% of our templats can be overcome by transferring to Desktop App </t>
    </r>
    <r>
      <rPr>
        <b/>
        <sz val="10"/>
        <color theme="1"/>
        <rFont val="Arial"/>
        <family val="2"/>
      </rPr>
      <t>"Open in Desktop App"</t>
    </r>
    <r>
      <rPr>
        <sz val="10"/>
        <color theme="1"/>
        <rFont val="Arial"/>
        <family val="2"/>
      </rPr>
      <t xml:space="preserve"> button</t>
    </r>
  </si>
  <si>
    <t>Open in Desktop App</t>
  </si>
  <si>
    <t>To open online template using Desktop App be sure that you signed in to your Microsoft account / Onedrive account</t>
  </si>
  <si>
    <t>All content is Copyright material of Simple Sheets LLC.</t>
  </si>
  <si>
    <t>http://www.simplesheets.co</t>
  </si>
  <si>
    <t>© 2020 Simple Sheets LLC</t>
  </si>
  <si>
    <t>All rights reserved.  The contents of this publication, including but not limited to all written material, content layout, images, formulas, and code, are protected under international copyright and trademark laws. </t>
  </si>
  <si>
    <t>No part of this publication may be modified, manipulated, reproduced, distributed, or transmitted without prior written permission of the publisher, except in the case of certain noncommercial uses permitted by copyright law.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</si>
</sst>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43" formatCode="_(* #,##0.00_);_(* \(#,##0.00\);_(* &quot;-&quot;??_);_(@_)"/>
    <numFmt numFmtId="164" formatCode="0.0%"/>
    <numFmt numFmtId="165" formatCode="_([$$-409]* #,##0_);_([$$-409]* \(#,##0\);_([$$-409]* &quot;-&quot;??_);_(@_)"/>
    <numFmt numFmtId="166" formatCode="_(&quot;$&quot;* #,##0_);_(&quot;$&quot;* \(#,##0\);_(&quot;$&quot;* &quot;-&quot;??_);_(@_)"/>
    <numFmt numFmtId="167" formatCode="_(* #,##0_);_(* \(#,##0\);_(* &quot;-&quot;??_);_(@_)"/>
    <numFmt numFmtId="168" formatCode="mmm"/>
    <numFmt numFmtId="169" formatCode="yyyy"/>
    <numFmt numFmtId="170" formatCode="[$-409]mmm\-yy;@"/>
  </numFmts>
  <fonts count="33" x14ac:knownFonts="1">
    <font>
      <sz val="10"/>
      <color theme="1"/>
      <name val="Arial"/>
      <family val="2"/>
    </font>
    <font>
      <sz val="11"/>
      <color theme="1"/>
      <name val="Calibri"/>
      <family val="2"/>
      <scheme val="minor"/>
    </font>
    <font>
      <sz val="10"/>
      <color theme="1"/>
      <name val="Arial"/>
      <family val="2"/>
    </font>
    <font>
      <b/>
      <sz val="10"/>
      <color theme="0"/>
      <name val="Arial"/>
      <family val="2"/>
    </font>
    <font>
      <sz val="8"/>
      <name val="Arial"/>
      <family val="2"/>
    </font>
    <font>
      <b/>
      <sz val="10"/>
      <color theme="1"/>
      <name val="Arial"/>
      <family val="2"/>
    </font>
    <font>
      <u/>
      <sz val="10"/>
      <color theme="10"/>
      <name val="Arial"/>
      <family val="2"/>
    </font>
    <font>
      <sz val="12"/>
      <color theme="1"/>
      <name val="Calibri"/>
      <family val="2"/>
      <scheme val="minor"/>
    </font>
    <font>
      <sz val="12"/>
      <color theme="1"/>
      <name val="Arial"/>
      <family val="2"/>
    </font>
    <font>
      <sz val="18"/>
      <color theme="0"/>
      <name val="Arial"/>
      <family val="2"/>
    </font>
    <font>
      <b/>
      <sz val="10"/>
      <color theme="0" tint="-0.499984740745262"/>
      <name val="Arial"/>
      <family val="2"/>
    </font>
    <font>
      <sz val="10"/>
      <color rgb="FF50B47F"/>
      <name val="Arial"/>
      <family val="2"/>
    </font>
    <font>
      <u/>
      <sz val="10"/>
      <color theme="0" tint="-0.499984740745262"/>
      <name val="Arial"/>
      <family val="2"/>
    </font>
    <font>
      <sz val="10"/>
      <color rgb="FFC00000"/>
      <name val="Arial"/>
      <family val="2"/>
    </font>
    <font>
      <sz val="10"/>
      <color rgb="FF8FCFAD"/>
      <name val="Arial"/>
      <family val="2"/>
    </font>
    <font>
      <sz val="10"/>
      <color rgb="FFDAC108"/>
      <name val="Arial"/>
      <family val="2"/>
    </font>
    <font>
      <sz val="10"/>
      <color theme="1" tint="0.499984740745262"/>
      <name val="Arial"/>
      <family val="2"/>
    </font>
    <font>
      <sz val="10"/>
      <color theme="9" tint="0.59999389629810485"/>
      <name val="Arial"/>
      <family val="2"/>
    </font>
    <font>
      <sz val="12"/>
      <color theme="0"/>
      <name val="Arial"/>
      <family val="2"/>
    </font>
    <font>
      <u/>
      <sz val="10"/>
      <color theme="0"/>
      <name val="Arial"/>
      <family val="2"/>
    </font>
    <font>
      <b/>
      <sz val="10"/>
      <color theme="0" tint="-0.34998626667073579"/>
      <name val="Arial"/>
      <family val="2"/>
    </font>
    <font>
      <sz val="10"/>
      <color theme="0" tint="-0.34998626667073579"/>
      <name val="Arial"/>
      <family val="2"/>
    </font>
    <font>
      <b/>
      <sz val="10"/>
      <name val="Arial"/>
      <family val="2"/>
    </font>
    <font>
      <sz val="10"/>
      <name val="Arial"/>
      <family val="2"/>
    </font>
    <font>
      <sz val="10"/>
      <color theme="0"/>
      <name val="Arial"/>
      <family val="2"/>
    </font>
    <font>
      <sz val="14"/>
      <color rgb="FF50B47F"/>
      <name val="Arial"/>
      <family val="2"/>
    </font>
    <font>
      <sz val="36"/>
      <color rgb="FF8FCFAD"/>
      <name val="Arial"/>
      <family val="2"/>
    </font>
    <font>
      <sz val="16"/>
      <color rgb="FF8A0000"/>
      <name val="Arial"/>
      <family val="2"/>
    </font>
    <font>
      <sz val="18"/>
      <color rgb="FF8A0000"/>
      <name val="Arial"/>
      <family val="2"/>
    </font>
    <font>
      <sz val="16"/>
      <color theme="2" tint="-0.499984740745262"/>
      <name val="Arial"/>
      <family val="2"/>
    </font>
    <font>
      <sz val="24"/>
      <color theme="2" tint="-0.499984740745262"/>
      <name val="Arial"/>
      <family val="2"/>
    </font>
    <font>
      <sz val="11"/>
      <color rgb="FF000000"/>
      <name val="Calibri"/>
      <family val="2"/>
    </font>
    <font>
      <sz val="10"/>
      <color rgb="FF000000"/>
      <name val="Arial"/>
      <family val="2"/>
    </font>
  </fonts>
  <fills count="5">
    <fill>
      <patternFill patternType="none"/>
    </fill>
    <fill>
      <patternFill patternType="gray125"/>
    </fill>
    <fill>
      <patternFill patternType="solid">
        <fgColor rgb="FF50B47F"/>
        <bgColor indexed="64"/>
      </patternFill>
    </fill>
    <fill>
      <patternFill patternType="solid">
        <fgColor theme="0" tint="-4.9989318521683403E-2"/>
        <bgColor indexed="64"/>
      </patternFill>
    </fill>
    <fill>
      <patternFill patternType="solid">
        <fgColor theme="0" tint="-0.14999847407452621"/>
        <bgColor indexed="64"/>
      </patternFill>
    </fill>
  </fills>
  <borders count="7">
    <border>
      <left/>
      <right/>
      <top/>
      <bottom/>
      <diagonal/>
    </border>
    <border>
      <left/>
      <right/>
      <top/>
      <bottom style="medium">
        <color theme="0" tint="-0.499984740745262"/>
      </bottom>
      <diagonal/>
    </border>
    <border>
      <left/>
      <right/>
      <top/>
      <bottom style="medium">
        <color theme="0" tint="-0.14996795556505021"/>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medium">
        <color theme="0" tint="-0.499984740745262"/>
      </bottom>
      <diagonal/>
    </border>
    <border>
      <left/>
      <right style="thin">
        <color theme="0" tint="-0.34998626667073579"/>
      </right>
      <top/>
      <bottom style="medium">
        <color theme="0" tint="-0.499984740745262"/>
      </bottom>
      <diagonal/>
    </border>
  </borders>
  <cellStyleXfs count="9">
    <xf numFmtId="0" fontId="0" fillId="0" borderId="0"/>
    <xf numFmtId="44" fontId="2" fillId="0" borderId="0" applyFont="0" applyFill="0" applyBorder="0" applyAlignment="0" applyProtection="0"/>
    <xf numFmtId="9" fontId="2" fillId="0" borderId="0" applyFont="0" applyFill="0" applyBorder="0" applyAlignment="0" applyProtection="0"/>
    <xf numFmtId="0" fontId="6" fillId="0" borderId="0" applyNumberFormat="0" applyFill="0" applyBorder="0" applyAlignment="0" applyProtection="0"/>
    <xf numFmtId="0" fontId="7" fillId="0" borderId="0"/>
    <xf numFmtId="0" fontId="2" fillId="0" borderId="0"/>
    <xf numFmtId="0" fontId="1" fillId="0" borderId="0"/>
    <xf numFmtId="9" fontId="1" fillId="0" borderId="0" applyFont="0" applyFill="0" applyBorder="0" applyAlignment="0" applyProtection="0"/>
    <xf numFmtId="43" fontId="1" fillId="0" borderId="0" applyFont="0" applyFill="0" applyBorder="0" applyAlignment="0" applyProtection="0"/>
  </cellStyleXfs>
  <cellXfs count="98">
    <xf numFmtId="0" fontId="0" fillId="0" borderId="0" xfId="0"/>
    <xf numFmtId="0" fontId="8" fillId="0" borderId="0" xfId="4" applyFont="1"/>
    <xf numFmtId="0" fontId="2" fillId="0" borderId="0" xfId="5"/>
    <xf numFmtId="0" fontId="5" fillId="0" borderId="0" xfId="5" applyFont="1"/>
    <xf numFmtId="0" fontId="5" fillId="0" borderId="0" xfId="5" quotePrefix="1" applyFont="1" applyAlignment="1">
      <alignment horizontal="right"/>
    </xf>
    <xf numFmtId="0" fontId="2" fillId="0" borderId="0" xfId="6" applyFont="1"/>
    <xf numFmtId="167" fontId="2" fillId="0" borderId="0" xfId="6" applyNumberFormat="1" applyFont="1"/>
    <xf numFmtId="0" fontId="3" fillId="0" borderId="0" xfId="6" applyFont="1"/>
    <xf numFmtId="0" fontId="2" fillId="0" borderId="0" xfId="6" applyFont="1" applyFill="1" applyBorder="1"/>
    <xf numFmtId="0" fontId="10" fillId="0" borderId="0" xfId="6" applyFont="1" applyFill="1" applyBorder="1"/>
    <xf numFmtId="0" fontId="12" fillId="0" borderId="0" xfId="6" applyFont="1" applyFill="1" applyBorder="1"/>
    <xf numFmtId="0" fontId="13" fillId="0" borderId="0" xfId="6" applyFont="1" applyFill="1" applyBorder="1"/>
    <xf numFmtId="9" fontId="13" fillId="0" borderId="0" xfId="7" applyFont="1" applyFill="1" applyBorder="1"/>
    <xf numFmtId="0" fontId="11" fillId="0" borderId="0" xfId="6" applyFont="1" applyFill="1" applyBorder="1"/>
    <xf numFmtId="9" fontId="11" fillId="0" borderId="0" xfId="7" applyFont="1" applyFill="1" applyBorder="1"/>
    <xf numFmtId="9" fontId="14" fillId="3" borderId="0" xfId="7" applyFont="1" applyFill="1" applyBorder="1" applyAlignment="1">
      <alignment vertical="center"/>
    </xf>
    <xf numFmtId="167" fontId="15" fillId="3" borderId="0" xfId="8" applyNumberFormat="1" applyFont="1" applyFill="1" applyBorder="1" applyAlignment="1">
      <alignment vertical="center"/>
    </xf>
    <xf numFmtId="0" fontId="11" fillId="3" borderId="1" xfId="6" applyFont="1" applyFill="1" applyBorder="1" applyAlignment="1">
      <alignment vertical="center"/>
    </xf>
    <xf numFmtId="9" fontId="14" fillId="3" borderId="1" xfId="7" applyFont="1" applyFill="1" applyBorder="1" applyAlignment="1">
      <alignment vertical="center"/>
    </xf>
    <xf numFmtId="167" fontId="15" fillId="3" borderId="1" xfId="8" applyNumberFormat="1" applyFont="1" applyFill="1" applyBorder="1" applyAlignment="1">
      <alignment vertical="center"/>
    </xf>
    <xf numFmtId="167" fontId="16" fillId="3" borderId="0" xfId="8" applyNumberFormat="1" applyFont="1" applyFill="1" applyBorder="1" applyAlignment="1">
      <alignment vertical="center"/>
    </xf>
    <xf numFmtId="0" fontId="11" fillId="3" borderId="0" xfId="6" applyFont="1" applyFill="1" applyBorder="1" applyAlignment="1"/>
    <xf numFmtId="0" fontId="11" fillId="3" borderId="0" xfId="6" applyFont="1" applyFill="1" applyBorder="1" applyAlignment="1">
      <alignment vertical="center"/>
    </xf>
    <xf numFmtId="0" fontId="3" fillId="0" borderId="0" xfId="6" applyFont="1" applyFill="1" applyBorder="1" applyAlignment="1"/>
    <xf numFmtId="0" fontId="11" fillId="0" borderId="0" xfId="0" applyFont="1"/>
    <xf numFmtId="0" fontId="18" fillId="2" borderId="0" xfId="4" applyFont="1" applyFill="1"/>
    <xf numFmtId="0" fontId="3" fillId="2" borderId="0" xfId="4" applyFont="1" applyFill="1"/>
    <xf numFmtId="0" fontId="19" fillId="2" borderId="0" xfId="3" applyFont="1" applyFill="1"/>
    <xf numFmtId="0" fontId="11" fillId="0" borderId="0" xfId="0" applyFont="1" applyBorder="1"/>
    <xf numFmtId="0" fontId="0" fillId="0" borderId="0" xfId="0" applyBorder="1"/>
    <xf numFmtId="14" fontId="0" fillId="0" borderId="0" xfId="0" applyNumberFormat="1" applyBorder="1"/>
    <xf numFmtId="165" fontId="0" fillId="0" borderId="0" xfId="0" applyNumberFormat="1" applyBorder="1"/>
    <xf numFmtId="9" fontId="0" fillId="0" borderId="0" xfId="2" applyFont="1" applyBorder="1"/>
    <xf numFmtId="164" fontId="0" fillId="0" borderId="0" xfId="0" applyNumberFormat="1" applyBorder="1"/>
    <xf numFmtId="0" fontId="0" fillId="0" borderId="0" xfId="0" applyAlignment="1">
      <alignment horizontal="center" vertical="center" wrapText="1"/>
    </xf>
    <xf numFmtId="0" fontId="17" fillId="2" borderId="2" xfId="0" applyFont="1" applyFill="1" applyBorder="1" applyAlignment="1">
      <alignment horizontal="center" vertical="center" wrapText="1"/>
    </xf>
    <xf numFmtId="0" fontId="3" fillId="2" borderId="2" xfId="0" applyFont="1" applyFill="1" applyBorder="1" applyAlignment="1">
      <alignment horizontal="center" vertical="center" wrapText="1"/>
    </xf>
    <xf numFmtId="170" fontId="0" fillId="0" borderId="0" xfId="0" applyNumberFormat="1" applyBorder="1" applyAlignment="1">
      <alignment horizontal="center"/>
    </xf>
    <xf numFmtId="0" fontId="0" fillId="0" borderId="0" xfId="0" applyBorder="1" applyAlignment="1">
      <alignment horizontal="left"/>
    </xf>
    <xf numFmtId="168" fontId="0" fillId="3" borderId="0" xfId="0" applyNumberFormat="1" applyFill="1" applyBorder="1" applyAlignment="1">
      <alignment horizontal="center"/>
    </xf>
    <xf numFmtId="169" fontId="0" fillId="3" borderId="0" xfId="0" applyNumberFormat="1" applyFill="1" applyBorder="1" applyAlignment="1">
      <alignment horizontal="center"/>
    </xf>
    <xf numFmtId="0" fontId="0" fillId="3" borderId="0" xfId="0" applyFill="1" applyBorder="1"/>
    <xf numFmtId="165" fontId="0" fillId="3" borderId="0" xfId="0" applyNumberFormat="1" applyFill="1" applyBorder="1"/>
    <xf numFmtId="170" fontId="0" fillId="0" borderId="0" xfId="0" applyNumberFormat="1" applyAlignment="1">
      <alignment horizontal="center"/>
    </xf>
    <xf numFmtId="168" fontId="0" fillId="3" borderId="0" xfId="0" applyNumberFormat="1" applyFill="1" applyAlignment="1">
      <alignment horizontal="center"/>
    </xf>
    <xf numFmtId="169" fontId="0" fillId="3" borderId="0" xfId="0" applyNumberFormat="1" applyFill="1" applyAlignment="1">
      <alignment horizontal="center"/>
    </xf>
    <xf numFmtId="0" fontId="0" fillId="0" borderId="0" xfId="0" applyAlignment="1">
      <alignment horizontal="left"/>
    </xf>
    <xf numFmtId="0" fontId="0" fillId="3" borderId="0" xfId="0" applyFill="1"/>
    <xf numFmtId="166" fontId="0" fillId="3" borderId="0" xfId="1" applyNumberFormat="1" applyFont="1" applyFill="1" applyBorder="1"/>
    <xf numFmtId="166" fontId="0" fillId="3" borderId="0" xfId="1" applyNumberFormat="1" applyFont="1" applyFill="1"/>
    <xf numFmtId="166" fontId="0" fillId="0" borderId="0" xfId="1" applyNumberFormat="1" applyFont="1" applyBorder="1"/>
    <xf numFmtId="166" fontId="0" fillId="0" borderId="0" xfId="1" applyNumberFormat="1" applyFont="1"/>
    <xf numFmtId="0" fontId="20" fillId="0" borderId="0" xfId="5" quotePrefix="1" applyFont="1" applyAlignment="1">
      <alignment horizontal="right"/>
    </xf>
    <xf numFmtId="0" fontId="21" fillId="0" borderId="0" xfId="5" applyFont="1"/>
    <xf numFmtId="0" fontId="22" fillId="0" borderId="0" xfId="5" quotePrefix="1" applyFont="1" applyAlignment="1">
      <alignment horizontal="right"/>
    </xf>
    <xf numFmtId="0" fontId="23" fillId="0" borderId="0" xfId="5" applyFont="1"/>
    <xf numFmtId="0" fontId="0" fillId="0" borderId="0" xfId="0" pivotButton="1"/>
    <xf numFmtId="0" fontId="0" fillId="0" borderId="0" xfId="0" applyNumberFormat="1"/>
    <xf numFmtId="166" fontId="0" fillId="0" borderId="0" xfId="0" applyNumberFormat="1"/>
    <xf numFmtId="170" fontId="0" fillId="0" borderId="0" xfId="0" applyNumberFormat="1"/>
    <xf numFmtId="0" fontId="0" fillId="4" borderId="0" xfId="0" applyFill="1"/>
    <xf numFmtId="0" fontId="0" fillId="0" borderId="0" xfId="0" applyAlignment="1">
      <alignment wrapText="1"/>
    </xf>
    <xf numFmtId="9" fontId="0" fillId="4" borderId="0" xfId="2" applyFont="1" applyFill="1"/>
    <xf numFmtId="0" fontId="0" fillId="0" borderId="0" xfId="0" pivotButton="1" applyAlignment="1">
      <alignment vertical="center"/>
    </xf>
    <xf numFmtId="0" fontId="5" fillId="0" borderId="0" xfId="0" applyFont="1"/>
    <xf numFmtId="0" fontId="24" fillId="2" borderId="0" xfId="0" applyFont="1" applyFill="1"/>
    <xf numFmtId="0" fontId="25" fillId="3" borderId="0" xfId="6" applyFont="1" applyFill="1" applyBorder="1" applyAlignment="1">
      <alignment vertical="center"/>
    </xf>
    <xf numFmtId="167" fontId="0" fillId="0" borderId="0" xfId="0" applyNumberFormat="1"/>
    <xf numFmtId="170" fontId="0" fillId="0" borderId="0" xfId="0" applyNumberFormat="1" applyAlignment="1">
      <alignment horizontal="left" indent="1"/>
    </xf>
    <xf numFmtId="10" fontId="0" fillId="0" borderId="0" xfId="0" applyNumberFormat="1"/>
    <xf numFmtId="0" fontId="11" fillId="3" borderId="3" xfId="6" applyFont="1" applyFill="1" applyBorder="1" applyAlignment="1"/>
    <xf numFmtId="167" fontId="15" fillId="3" borderId="3" xfId="8" applyNumberFormat="1" applyFont="1" applyFill="1" applyBorder="1" applyAlignment="1">
      <alignment vertical="center"/>
    </xf>
    <xf numFmtId="167" fontId="16" fillId="3" borderId="3" xfId="8" applyNumberFormat="1" applyFont="1" applyFill="1" applyBorder="1" applyAlignment="1">
      <alignment vertical="center"/>
    </xf>
    <xf numFmtId="167" fontId="15" fillId="3" borderId="5" xfId="8" applyNumberFormat="1" applyFont="1" applyFill="1" applyBorder="1" applyAlignment="1">
      <alignment vertical="center"/>
    </xf>
    <xf numFmtId="9" fontId="14" fillId="3" borderId="3" xfId="7" applyFont="1" applyFill="1" applyBorder="1" applyAlignment="1">
      <alignment vertical="center"/>
    </xf>
    <xf numFmtId="9" fontId="14" fillId="3" borderId="5" xfId="7" applyFont="1" applyFill="1" applyBorder="1" applyAlignment="1">
      <alignment vertical="center"/>
    </xf>
    <xf numFmtId="0" fontId="27" fillId="3" borderId="0" xfId="6" applyFont="1" applyFill="1" applyBorder="1" applyAlignment="1">
      <alignment horizontal="center"/>
    </xf>
    <xf numFmtId="0" fontId="27" fillId="3" borderId="4" xfId="6" applyFont="1" applyFill="1" applyBorder="1" applyAlignment="1">
      <alignment horizontal="center"/>
    </xf>
    <xf numFmtId="166" fontId="28" fillId="3" borderId="0" xfId="1" applyNumberFormat="1" applyFont="1" applyFill="1" applyBorder="1" applyAlignment="1">
      <alignment horizontal="center" vertical="center"/>
    </xf>
    <xf numFmtId="166" fontId="28" fillId="3" borderId="1" xfId="1" applyNumberFormat="1" applyFont="1" applyFill="1" applyBorder="1" applyAlignment="1">
      <alignment horizontal="center" vertical="center"/>
    </xf>
    <xf numFmtId="166" fontId="28" fillId="3" borderId="4" xfId="1" applyNumberFormat="1" applyFont="1" applyFill="1" applyBorder="1" applyAlignment="1">
      <alignment horizontal="center" vertical="center"/>
    </xf>
    <xf numFmtId="166" fontId="28" fillId="3" borderId="6" xfId="1" applyNumberFormat="1" applyFont="1" applyFill="1" applyBorder="1" applyAlignment="1">
      <alignment horizontal="center" vertical="center"/>
    </xf>
    <xf numFmtId="0" fontId="29" fillId="3" borderId="0" xfId="6" applyFont="1" applyFill="1" applyBorder="1" applyAlignment="1">
      <alignment horizontal="center"/>
    </xf>
    <xf numFmtId="0" fontId="29" fillId="3" borderId="4" xfId="6" applyFont="1" applyFill="1" applyBorder="1" applyAlignment="1">
      <alignment horizontal="center"/>
    </xf>
    <xf numFmtId="166" fontId="30" fillId="3" borderId="0" xfId="1" applyNumberFormat="1" applyFont="1" applyFill="1" applyBorder="1" applyAlignment="1">
      <alignment horizontal="center" vertical="center"/>
    </xf>
    <xf numFmtId="166" fontId="30" fillId="3" borderId="4" xfId="1" applyNumberFormat="1" applyFont="1" applyFill="1" applyBorder="1" applyAlignment="1">
      <alignment horizontal="center" vertical="center"/>
    </xf>
    <xf numFmtId="166" fontId="30" fillId="3" borderId="1" xfId="1" applyNumberFormat="1" applyFont="1" applyFill="1" applyBorder="1" applyAlignment="1">
      <alignment horizontal="center" vertical="center"/>
    </xf>
    <xf numFmtId="166" fontId="30" fillId="3" borderId="6" xfId="1" applyNumberFormat="1" applyFont="1" applyFill="1" applyBorder="1" applyAlignment="1">
      <alignment horizontal="center" vertical="center"/>
    </xf>
    <xf numFmtId="0" fontId="9" fillId="2" borderId="0" xfId="6" applyFont="1" applyFill="1" applyAlignment="1">
      <alignment horizontal="center" vertical="center" wrapText="1"/>
    </xf>
    <xf numFmtId="0" fontId="9" fillId="2" borderId="1" xfId="6" applyFont="1" applyFill="1" applyBorder="1" applyAlignment="1">
      <alignment horizontal="center" vertical="center" wrapText="1"/>
    </xf>
    <xf numFmtId="0" fontId="25" fillId="3" borderId="0" xfId="6" applyFont="1" applyFill="1" applyBorder="1" applyAlignment="1">
      <alignment horizontal="center"/>
    </xf>
    <xf numFmtId="0" fontId="26" fillId="3" borderId="0" xfId="6" applyFont="1" applyFill="1" applyBorder="1" applyAlignment="1">
      <alignment horizontal="right" vertical="center"/>
    </xf>
    <xf numFmtId="0" fontId="26" fillId="3" borderId="1" xfId="6" applyFont="1" applyFill="1" applyBorder="1" applyAlignment="1">
      <alignment horizontal="right" vertical="center"/>
    </xf>
    <xf numFmtId="0" fontId="2" fillId="0" borderId="0" xfId="0" applyFont="1" applyAlignment="1">
      <alignment horizontal="right"/>
    </xf>
    <xf numFmtId="0" fontId="2" fillId="0" borderId="0" xfId="0" applyFont="1" applyAlignment="1">
      <alignment horizontal="left"/>
    </xf>
    <xf numFmtId="0" fontId="2" fillId="0" borderId="0" xfId="0" applyFont="1"/>
    <xf numFmtId="0" fontId="5" fillId="0" borderId="0" xfId="0" applyFont="1" applyAlignment="1">
      <alignment horizontal="right"/>
    </xf>
    <xf numFmtId="0" fontId="6" fillId="0" borderId="0" xfId="3"/>
  </cellXfs>
  <cellStyles count="9">
    <cellStyle name="Comma 2" xfId="8" xr:uid="{70B95B68-42E5-4134-B60C-D53D63EA8C64}"/>
    <cellStyle name="Currency" xfId="1" builtinId="4"/>
    <cellStyle name="Hyperlink" xfId="3" builtinId="8"/>
    <cellStyle name="Normal" xfId="0" builtinId="0"/>
    <cellStyle name="Normal 2" xfId="4" xr:uid="{630AB955-5629-4F25-81F3-D0850CCA2D8B}"/>
    <cellStyle name="Normal 2 2" xfId="5" xr:uid="{BBC0A887-27F1-430C-A62B-8FDD810F3453}"/>
    <cellStyle name="Normal 3" xfId="6" xr:uid="{19553023-A532-4B21-B780-2F68384C80B9}"/>
    <cellStyle name="Percent" xfId="2" builtinId="5"/>
    <cellStyle name="Percent 2" xfId="7" xr:uid="{1D541CDC-ACE8-4B54-AB6D-F143BBC82663}"/>
  </cellStyles>
  <dxfs count="42">
    <dxf>
      <numFmt numFmtId="166" formatCode="_(&quot;$&quot;* #,##0_);_(&quot;$&quot;* \(#,##0\);_(&quot;$&quot;* &quot;-&quot;??_);_(@_)"/>
    </dxf>
    <dxf>
      <alignment vertical="center"/>
    </dxf>
    <dxf>
      <alignment wrapText="1"/>
    </dxf>
    <dxf>
      <numFmt numFmtId="166" formatCode="_(&quot;$&quot;* #,##0_);_(&quot;$&quot;* \(#,##0\);_(&quot;$&quot;* &quot;-&quot;??_);_(@_)"/>
    </dxf>
    <dxf>
      <numFmt numFmtId="166" formatCode="_(&quot;$&quot;* #,##0_);_(&quot;$&quot;* \(#,##0\);_(&quot;$&quot;* &quot;-&quot;??_);_(@_)"/>
      <fill>
        <patternFill patternType="solid">
          <fgColor indexed="64"/>
          <bgColor theme="0" tint="-4.9989318521683403E-2"/>
        </patternFill>
      </fill>
    </dxf>
    <dxf>
      <numFmt numFmtId="166" formatCode="_(&quot;$&quot;* #,##0_);_(&quot;$&quot;* \(#,##0\);_(&quot;$&quot;* &quot;-&quot;??_);_(@_)"/>
      <fill>
        <patternFill patternType="solid">
          <fgColor indexed="64"/>
          <bgColor theme="0" tint="-4.9989318521683403E-2"/>
        </patternFill>
      </fill>
    </dxf>
    <dxf>
      <numFmt numFmtId="166" formatCode="_(&quot;$&quot;* #,##0_);_(&quot;$&quot;* \(#,##0\);_(&quot;$&quot;* &quot;-&quot;??_);_(@_)"/>
      <fill>
        <patternFill patternType="solid">
          <fgColor indexed="64"/>
          <bgColor theme="0" tint="-4.9989318521683403E-2"/>
        </patternFill>
      </fill>
    </dxf>
    <dxf>
      <numFmt numFmtId="166" formatCode="_(&quot;$&quot;* #,##0_);_(&quot;$&quot;* \(#,##0\);_(&quot;$&quot;* &quot;-&quot;??_);_(@_)"/>
      <fill>
        <patternFill patternType="solid">
          <fgColor indexed="64"/>
          <bgColor theme="0" tint="-4.9989318521683403E-2"/>
        </patternFill>
      </fill>
    </dxf>
    <dxf>
      <numFmt numFmtId="166" formatCode="_(&quot;$&quot;* #,##0_);_(&quot;$&quot;* \(#,##0\);_(&quot;$&quot;* &quot;-&quot;??_);_(@_)"/>
    </dxf>
    <dxf>
      <fill>
        <patternFill patternType="solid">
          <fgColor indexed="64"/>
          <bgColor theme="0" tint="-4.9989318521683403E-2"/>
        </patternFill>
      </fill>
    </dxf>
    <dxf>
      <alignment horizontal="left" vertical="bottom" textRotation="0" wrapText="0" indent="0" justifyLastLine="0" shrinkToFit="0" readingOrder="0"/>
    </dxf>
    <dxf>
      <numFmt numFmtId="169" formatCode="yyyy"/>
      <fill>
        <patternFill patternType="solid">
          <fgColor indexed="64"/>
          <bgColor theme="0" tint="-4.9989318521683403E-2"/>
        </patternFill>
      </fill>
      <alignment horizontal="center" vertical="bottom" textRotation="0" wrapText="0" indent="0" justifyLastLine="0" shrinkToFit="0" readingOrder="0"/>
    </dxf>
    <dxf>
      <numFmt numFmtId="168" formatCode="mmm"/>
      <fill>
        <patternFill patternType="solid">
          <fgColor indexed="64"/>
          <bgColor theme="0" tint="-4.9989318521683403E-2"/>
        </patternFill>
      </fill>
      <alignment horizontal="center" vertical="bottom" textRotation="0" wrapText="0" indent="0" justifyLastLine="0" shrinkToFit="0" readingOrder="0"/>
    </dxf>
    <dxf>
      <numFmt numFmtId="170" formatCode="[$-409]mmm\-yy;@"/>
      <alignment horizontal="center" vertical="bottom" textRotation="0" wrapText="0" indent="0" justifyLastLine="0" shrinkToFit="0" readingOrder="0"/>
    </dxf>
    <dxf>
      <border outline="0">
        <left style="thin">
          <color theme="0" tint="-0.499984740745262"/>
        </left>
        <right style="thin">
          <color theme="0" tint="-0.499984740745262"/>
        </right>
        <top style="thin">
          <color theme="0" tint="-0.499984740745262"/>
        </top>
        <bottom style="thin">
          <color theme="0" tint="-0.499984740745262"/>
        </bottom>
      </border>
    </dxf>
    <dxf>
      <border>
        <bottom style="medium">
          <color theme="0" tint="-0.14996795556505021"/>
        </bottom>
      </border>
    </dxf>
    <dxf>
      <font>
        <b/>
        <i val="0"/>
        <strike val="0"/>
        <condense val="0"/>
        <extend val="0"/>
        <outline val="0"/>
        <shadow val="0"/>
        <u val="none"/>
        <vertAlign val="baseline"/>
        <sz val="10"/>
        <color theme="0"/>
        <name val="Arial"/>
        <family val="2"/>
        <scheme val="none"/>
      </font>
      <fill>
        <patternFill patternType="solid">
          <fgColor indexed="64"/>
          <bgColor rgb="FF50B47F"/>
        </patternFill>
      </fill>
      <alignment horizontal="center" vertical="center" textRotation="0" wrapText="1" indent="0" justifyLastLine="0" shrinkToFit="0" readingOrder="0"/>
    </dxf>
    <dxf>
      <numFmt numFmtId="164" formatCode="0.0%"/>
    </dxf>
    <dxf>
      <numFmt numFmtId="164" formatCode="0.0%"/>
    </dxf>
    <dxf>
      <numFmt numFmtId="165" formatCode="_([$$-409]* #,##0_);_([$$-409]* \(#,##0\);_([$$-409]* &quot;-&quot;??_);_(@_)"/>
      <fill>
        <patternFill patternType="solid">
          <fgColor indexed="64"/>
          <bgColor theme="0" tint="-4.9989318521683403E-2"/>
        </patternFill>
      </fill>
    </dxf>
    <dxf>
      <font>
        <b val="0"/>
        <i val="0"/>
        <strike val="0"/>
        <condense val="0"/>
        <extend val="0"/>
        <outline val="0"/>
        <shadow val="0"/>
        <u val="none"/>
        <vertAlign val="baseline"/>
        <sz val="10"/>
        <color theme="1"/>
        <name val="Arial"/>
        <family val="2"/>
        <scheme val="none"/>
      </font>
    </dxf>
    <dxf>
      <numFmt numFmtId="165" formatCode="_([$$-409]* #,##0_);_([$$-409]* \(#,##0\);_([$$-409]* &quot;-&quot;??_);_(@_)"/>
    </dxf>
    <dxf>
      <numFmt numFmtId="19" formatCode="mm/dd/yyyy"/>
    </dxf>
    <dxf>
      <numFmt numFmtId="19" formatCode="mm/dd/yyyy"/>
    </dxf>
    <dxf>
      <border outline="0">
        <left style="thin">
          <color theme="0" tint="-0.34998626667073579"/>
        </left>
        <right style="thin">
          <color theme="0" tint="-0.34998626667073579"/>
        </right>
        <top style="thin">
          <color theme="0" tint="-0.34998626667073579"/>
        </top>
        <bottom style="thin">
          <color theme="0" tint="-0.34998626667073579"/>
        </bottom>
      </border>
    </dxf>
    <dxf>
      <border outline="0">
        <bottom style="medium">
          <color theme="0" tint="-0.14996795556505021"/>
        </bottom>
      </border>
    </dxf>
    <dxf>
      <font>
        <b/>
        <i val="0"/>
        <strike val="0"/>
        <condense val="0"/>
        <extend val="0"/>
        <outline val="0"/>
        <shadow val="0"/>
        <u val="none"/>
        <vertAlign val="baseline"/>
        <sz val="10"/>
        <color theme="0"/>
        <name val="Arial"/>
        <family val="2"/>
        <scheme val="none"/>
      </font>
      <fill>
        <patternFill patternType="solid">
          <fgColor indexed="64"/>
          <bgColor rgb="FF50B47F"/>
        </patternFill>
      </fill>
      <alignment horizontal="center" vertical="center" textRotation="0" wrapText="1" indent="0" justifyLastLine="0" shrinkToFit="0" readingOrder="0"/>
    </dxf>
    <dxf>
      <numFmt numFmtId="167" formatCode="_(* #,##0_);_(* \(#,##0\);_(* &quot;-&quot;??_);_(@_)"/>
    </dxf>
    <dxf>
      <numFmt numFmtId="167" formatCode="_(* #,##0_);_(* \(#,##0\);_(* &quot;-&quot;??_);_(@_)"/>
    </dxf>
    <dxf>
      <numFmt numFmtId="167" formatCode="_(* #,##0_);_(* \(#,##0\);_(* &quot;-&quot;??_);_(@_)"/>
    </dxf>
    <dxf>
      <numFmt numFmtId="14" formatCode="0.00%"/>
    </dxf>
    <dxf>
      <numFmt numFmtId="171" formatCode="&quot;$&quot;#,##0"/>
    </dxf>
    <dxf>
      <numFmt numFmtId="167" formatCode="_(* #,##0_);_(* \(#,##0\);_(* &quot;-&quot;??_);_(@_)"/>
    </dxf>
    <dxf>
      <numFmt numFmtId="167" formatCode="_(* #,##0_);_(* \(#,##0\);_(* &quot;-&quot;??_);_(@_)"/>
    </dxf>
    <dxf>
      <font>
        <b/>
        <sz val="11"/>
        <color theme="1"/>
      </font>
    </dxf>
    <dxf>
      <fill>
        <patternFill patternType="solid">
          <fgColor theme="0"/>
          <bgColor theme="0"/>
        </patternFill>
      </fil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left style="thin">
          <color theme="0" tint="-0.34998626667073579"/>
        </left>
        <right style="thin">
          <color theme="0" tint="-0.34998626667073579"/>
        </right>
        <top style="thin">
          <color theme="0" tint="-0.34998626667073579"/>
        </top>
        <bottom style="thin">
          <color theme="0" tint="-0.34998626667073579"/>
        </bottom>
      </border>
    </dxf>
    <dxf>
      <fill>
        <patternFill>
          <bgColor rgb="FF8FCFAD"/>
        </patternFill>
      </fill>
    </dxf>
    <dxf>
      <fill>
        <patternFill>
          <bgColor rgb="FF8FCFAD"/>
        </patternFill>
      </fill>
    </dxf>
    <dxf>
      <font>
        <color auto="1"/>
      </font>
      <fill>
        <patternFill>
          <bgColor rgb="FF8FCFAD"/>
        </patternFill>
      </fill>
    </dxf>
    <dxf>
      <fill>
        <patternFill>
          <bgColor rgb="FF8FCFAD"/>
        </patternFill>
      </fill>
    </dxf>
    <dxf>
      <fill>
        <patternFill>
          <bgColor rgb="FF8FCFAD"/>
        </patternFill>
      </fill>
    </dxf>
  </dxfs>
  <tableStyles count="4" defaultTableStyle="TableStyleMedium2" defaultPivotStyle="PivotStyleLight16">
    <tableStyle name="Invisible" pivot="0" table="0" count="0" xr9:uid="{30C825EB-9909-44FB-871B-54823BE07F30}"/>
    <tableStyle name="PivotTable Style 1" table="0" count="5" xr9:uid="{3831004B-067D-418F-BD50-A3986E0D4865}">
      <tableStyleElement type="headerRow" dxfId="41"/>
      <tableStyleElement type="totalRow" dxfId="40"/>
      <tableStyleElement type="lastColumn" dxfId="39"/>
      <tableStyleElement type="pageFieldLabels" dxfId="38"/>
      <tableStyleElement type="pageFieldValues" dxfId="37"/>
    </tableStyle>
    <tableStyle name="Slicer Style 1" pivot="0" table="0" count="8" xr9:uid="{6B0103B1-AE5E-4E9B-A35E-CDD51150C899}">
      <tableStyleElement type="wholeTable" dxfId="36"/>
    </tableStyle>
    <tableStyle name="Timeline Style 1" pivot="0" table="0" count="8" xr9:uid="{E7FBEFCC-9E91-45D6-9FD4-D3137AAC2CB6}">
      <tableStyleElement type="wholeTable" dxfId="35"/>
      <tableStyleElement type="headerRow" dxfId="34"/>
    </tableStyle>
  </tableStyles>
  <colors>
    <mruColors>
      <color rgb="FF8A0000"/>
      <color rgb="FF8FCFAD"/>
      <color rgb="FF50B47F"/>
      <color rgb="FFFF9797"/>
      <color rgb="FFAA9722"/>
    </mruColors>
  </colors>
  <extLst>
    <ext xmlns:x14="http://schemas.microsoft.com/office/spreadsheetml/2009/9/main" uri="{46F421CA-312F-682f-3DD2-61675219B42D}">
      <x14:dxfs count="7">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rgb="FF8FCFAD"/>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microsoft.com/office/2011/relationships/timelineCache" Target="timelineCaches/timelineCache2.xml"/><Relationship Id="rId23" Type="http://schemas.microsoft.com/office/2006/relationships/vbaProject" Target="vbaProject.bin"/><Relationship Id="rId10" Type="http://schemas.microsoft.com/office/2007/relationships/slicerCache" Target="slicerCaches/slicerCach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11/relationships/timelineCache" Target="timelineCaches/timelineCache1.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1125331</c:v>
              </c:pt>
              <c:pt idx="1">
                <c:v>491962</c:v>
              </c:pt>
              <c:pt idx="2">
                <c:v>412408</c:v>
              </c:pt>
              <c:pt idx="3">
                <c:v>727148</c:v>
              </c:pt>
              <c:pt idx="4">
                <c:v>565222</c:v>
              </c:pt>
              <c:pt idx="5">
                <c:v>498223</c:v>
              </c:pt>
              <c:pt idx="6">
                <c:v>318931</c:v>
              </c:pt>
              <c:pt idx="7">
                <c:v>290799</c:v>
              </c:pt>
              <c:pt idx="8">
                <c:v>773692</c:v>
              </c:pt>
              <c:pt idx="9">
                <c:v>262908</c:v>
              </c:pt>
              <c:pt idx="10">
                <c:v>486411</c:v>
              </c:pt>
              <c:pt idx="11">
                <c:v>317646</c:v>
              </c:pt>
            </c:numLit>
          </c:val>
          <c:smooth val="0"/>
          <c:extLst>
            <c:ext xmlns:c16="http://schemas.microsoft.com/office/drawing/2014/chart" uri="{C3380CC4-5D6E-409C-BE32-E72D297353CC}">
              <c16:uniqueId val="{00000000-62AB-4FB3-9B92-CC3B67FA3F8F}"/>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518984464"/>
        <c:axId val="1507761312"/>
      </c:lineChart>
      <c:catAx>
        <c:axId val="151898446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07761312"/>
        <c:crosses val="autoZero"/>
        <c:auto val="1"/>
        <c:lblAlgn val="ctr"/>
        <c:lblOffset val="100"/>
        <c:noMultiLvlLbl val="0"/>
      </c:catAx>
      <c:valAx>
        <c:axId val="15077613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18984464"/>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[HR_Metrics_Dashboard v1_0b.xlsm]Sheet1!groups</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FCFAD"/>
          </a:solidFill>
          <a:ln>
            <a:solidFill>
              <a:schemeClr val="bg1">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4798585337267521"/>
          <c:y val="2.5746381218711836E-2"/>
          <c:w val="0.44618585954126272"/>
          <c:h val="0.95375972048836932"/>
        </c:manualLayout>
      </c:layout>
      <c:barChart>
        <c:barDir val="bar"/>
        <c:grouping val="clustered"/>
        <c:varyColors val="0"/>
        <c:ser>
          <c:idx val="0"/>
          <c:order val="0"/>
          <c:tx>
            <c:strRef>
              <c:f>Sheet1!$L$4</c:f>
              <c:strCache>
                <c:ptCount val="1"/>
                <c:pt idx="0">
                  <c:v>Total</c:v>
                </c:pt>
              </c:strCache>
            </c:strRef>
          </c:tx>
          <c:spPr>
            <a:solidFill>
              <a:srgbClr val="8FCFAD"/>
            </a:solidFill>
            <a:ln>
              <a:solidFill>
                <a:schemeClr val="bg1">
                  <a:lumMod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Sheet1!$K$5:$K$9</c:f>
              <c:strCache>
                <c:ptCount val="4"/>
                <c:pt idx="0">
                  <c:v>Administrative</c:v>
                </c:pt>
                <c:pt idx="1">
                  <c:v>Field Force</c:v>
                </c:pt>
                <c:pt idx="2">
                  <c:v>General Management</c:v>
                </c:pt>
                <c:pt idx="3">
                  <c:v>IT</c:v>
                </c:pt>
              </c:strCache>
            </c:strRef>
          </c:cat>
          <c:val>
            <c:numRef>
              <c:f>Sheet1!$L$5:$L$9</c:f>
              <c:numCache>
                <c:formatCode>General</c:formatCode>
                <c:ptCount val="4"/>
                <c:pt idx="0">
                  <c:v>2</c:v>
                </c:pt>
                <c:pt idx="1">
                  <c:v>4</c:v>
                </c:pt>
                <c:pt idx="2">
                  <c:v>1</c:v>
                </c:pt>
                <c:pt idx="3">
                  <c:v>1</c:v>
                </c:pt>
              </c:numCache>
            </c:numRef>
          </c:val>
          <c:extLst>
            <c:ext xmlns:c16="http://schemas.microsoft.com/office/drawing/2014/chart" uri="{C3380CC4-5D6E-409C-BE32-E72D297353CC}">
              <c16:uniqueId val="{00000000-37E6-41FC-9B3A-D1742ADCDAEB}"/>
            </c:ext>
          </c:extLst>
        </c:ser>
        <c:dLbls>
          <c:showLegendKey val="0"/>
          <c:showVal val="0"/>
          <c:showCatName val="0"/>
          <c:showSerName val="0"/>
          <c:showPercent val="0"/>
          <c:showBubbleSize val="0"/>
        </c:dLbls>
        <c:gapWidth val="219"/>
        <c:axId val="236349376"/>
        <c:axId val="97179712"/>
      </c:barChart>
      <c:catAx>
        <c:axId val="2363493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97179712"/>
        <c:crosses val="autoZero"/>
        <c:auto val="1"/>
        <c:lblAlgn val="ctr"/>
        <c:lblOffset val="100"/>
        <c:noMultiLvlLbl val="0"/>
      </c:catAx>
      <c:valAx>
        <c:axId val="97179712"/>
        <c:scaling>
          <c:orientation val="minMax"/>
        </c:scaling>
        <c:delete val="1"/>
        <c:axPos val="b"/>
        <c:majorGridlines>
          <c:spPr>
            <a:ln w="9525" cap="flat" cmpd="sng" algn="ctr">
              <a:noFill/>
              <a:round/>
            </a:ln>
            <a:effectLst/>
          </c:spPr>
        </c:majorGridlines>
        <c:numFmt formatCode="General" sourceLinked="1"/>
        <c:majorTickMark val="none"/>
        <c:minorTickMark val="none"/>
        <c:tickLblPos val="nextTo"/>
        <c:crossAx val="236349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[HR_Metrics_Dashboard v1_0b.xlsm]Sheet1!MOM</c:name>
    <c:fmtId val="4"/>
  </c:pivotSource>
  <c:chart>
    <c:title>
      <c:tx>
        <c:rich>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r>
              <a:rPr lang="en-US">
                <a:solidFill>
                  <a:srgbClr val="50B47F"/>
                </a:solidFill>
                <a:latin typeface="Arial" panose="020B0604020202020204" pitchFamily="34" charset="0"/>
                <a:cs typeface="Arial" panose="020B0604020202020204" pitchFamily="34" charset="0"/>
              </a:rPr>
              <a:t>Month</a:t>
            </a:r>
            <a:r>
              <a:rPr lang="en-US" baseline="0">
                <a:solidFill>
                  <a:srgbClr val="50B47F"/>
                </a:solidFill>
                <a:latin typeface="Arial" panose="020B0604020202020204" pitchFamily="34" charset="0"/>
                <a:cs typeface="Arial" panose="020B0604020202020204" pitchFamily="34" charset="0"/>
              </a:rPr>
              <a:t> Over Month Revenue %</a:t>
            </a:r>
            <a:endParaRPr lang="en-US">
              <a:solidFill>
                <a:srgbClr val="50B47F"/>
              </a:solidFill>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Sheet1!$P$4</c:f>
              <c:strCache>
                <c:ptCount val="1"/>
                <c:pt idx="0">
                  <c:v>Total</c:v>
                </c:pt>
              </c:strCache>
            </c:strRef>
          </c:tx>
          <c:spPr>
            <a:solidFill>
              <a:srgbClr val="8FCFAD"/>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Sheet1!$N$5:$O$31</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2019</c:v>
                  </c:pt>
                  <c:pt idx="12">
                    <c:v>2020</c:v>
                  </c:pt>
                </c:lvl>
              </c:multiLvlStrCache>
            </c:multiLvlStrRef>
          </c:cat>
          <c:val>
            <c:numRef>
              <c:f>Sheet1!$P$5:$P$31</c:f>
              <c:numCache>
                <c:formatCode>0.00%</c:formatCode>
                <c:ptCount val="24"/>
                <c:pt idx="1">
                  <c:v>-0.22690535772709988</c:v>
                </c:pt>
                <c:pt idx="2">
                  <c:v>0.37573560109117737</c:v>
                </c:pt>
                <c:pt idx="3">
                  <c:v>-0.10827787177259443</c:v>
                </c:pt>
                <c:pt idx="4">
                  <c:v>-0.21445620250804159</c:v>
                </c:pt>
                <c:pt idx="5">
                  <c:v>0.36478603262772469</c:v>
                </c:pt>
                <c:pt idx="6">
                  <c:v>0.35041482589487599</c:v>
                </c:pt>
                <c:pt idx="7">
                  <c:v>1.8324784343273344E-2</c:v>
                </c:pt>
                <c:pt idx="8">
                  <c:v>-4.491010390382414E-2</c:v>
                </c:pt>
                <c:pt idx="9">
                  <c:v>-0.13398399608013217</c:v>
                </c:pt>
                <c:pt idx="10">
                  <c:v>0.41571062118426033</c:v>
                </c:pt>
                <c:pt idx="11">
                  <c:v>-0.14660445070924571</c:v>
                </c:pt>
                <c:pt idx="13">
                  <c:v>1.6272502924496949E-2</c:v>
                </c:pt>
                <c:pt idx="14">
                  <c:v>0.14818906356625078</c:v>
                </c:pt>
                <c:pt idx="15">
                  <c:v>-0.20501612534257943</c:v>
                </c:pt>
                <c:pt idx="16">
                  <c:v>-5.7059996783921867E-2</c:v>
                </c:pt>
                <c:pt idx="17">
                  <c:v>0.17989307180703859</c:v>
                </c:pt>
                <c:pt idx="18">
                  <c:v>1.4174470232344669E-3</c:v>
                </c:pt>
                <c:pt idx="19">
                  <c:v>5.9251006507482336E-2</c:v>
                </c:pt>
                <c:pt idx="20">
                  <c:v>6.1695312313245522E-2</c:v>
                </c:pt>
                <c:pt idx="21">
                  <c:v>-9.3862507007941201E-2</c:v>
                </c:pt>
                <c:pt idx="22">
                  <c:v>-0.14032515759682546</c:v>
                </c:pt>
                <c:pt idx="23">
                  <c:v>0.25870794879428399</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AB3D-4A81-86BA-BEEBB0A47334}"/>
            </c:ext>
          </c:extLst>
        </c:ser>
        <c:dLbls>
          <c:dLblPos val="outEnd"/>
          <c:showLegendKey val="0"/>
          <c:showVal val="1"/>
          <c:showCatName val="0"/>
          <c:showSerName val="0"/>
          <c:showPercent val="0"/>
          <c:showBubbleSize val="0"/>
        </c:dLbls>
        <c:gapWidth val="182"/>
        <c:axId val="882365391"/>
        <c:axId val="874481359"/>
      </c:barChart>
      <c:catAx>
        <c:axId val="8823653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874481359"/>
        <c:crosses val="autoZero"/>
        <c:auto val="1"/>
        <c:lblAlgn val="ctr"/>
        <c:lblOffset val="100"/>
        <c:noMultiLvlLbl val="0"/>
      </c:catAx>
      <c:valAx>
        <c:axId val="874481359"/>
        <c:scaling>
          <c:orientation val="minMax"/>
        </c:scaling>
        <c:delete val="1"/>
        <c:axPos val="b"/>
        <c:numFmt formatCode="0.00%" sourceLinked="1"/>
        <c:majorTickMark val="none"/>
        <c:minorTickMark val="none"/>
        <c:tickLblPos val="nextTo"/>
        <c:crossAx val="882365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[HR_Metrics_Dashboard v1_0b.xlsm]Sheet1!revenue timeline</c:name>
    <c:fmtId val="2"/>
  </c:pivotSource>
  <c:chart>
    <c:title>
      <c:tx>
        <c:rich>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r>
              <a:rPr lang="en-US">
                <a:solidFill>
                  <a:srgbClr val="50B47F"/>
                </a:solidFill>
                <a:latin typeface="Arial" panose="020B0604020202020204" pitchFamily="34" charset="0"/>
                <a:cs typeface="Arial" panose="020B0604020202020204" pitchFamily="34" charset="0"/>
              </a:rPr>
              <a:t>Revenue generated by Employee VS Total</a:t>
            </a:r>
            <a:r>
              <a:rPr lang="en-US" baseline="0">
                <a:solidFill>
                  <a:srgbClr val="50B47F"/>
                </a:solidFill>
                <a:latin typeface="Arial" panose="020B0604020202020204" pitchFamily="34" charset="0"/>
                <a:cs typeface="Arial" panose="020B0604020202020204" pitchFamily="34" charset="0"/>
              </a:rPr>
              <a:t> Payroll</a:t>
            </a:r>
            <a:endParaRPr lang="en-US">
              <a:solidFill>
                <a:srgbClr val="50B47F"/>
              </a:solidFill>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lumMod val="40000"/>
              <a:lumOff val="60000"/>
            </a:schemeClr>
          </a:solidFill>
          <a:ln>
            <a:solidFill>
              <a:schemeClr val="bg1">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2906078817584276E-2"/>
          <c:y val="0.10824753069921904"/>
          <c:w val="0.96180536610006973"/>
          <c:h val="0.61142263384130913"/>
        </c:manualLayout>
      </c:layout>
      <c:barChart>
        <c:barDir val="col"/>
        <c:grouping val="clustered"/>
        <c:varyColors val="0"/>
        <c:ser>
          <c:idx val="0"/>
          <c:order val="0"/>
          <c:tx>
            <c:strRef>
              <c:f>Sheet1!$T$4</c:f>
              <c:strCache>
                <c:ptCount val="1"/>
                <c:pt idx="0">
                  <c:v>Sum of Total Payroll</c:v>
                </c:pt>
              </c:strCache>
            </c:strRef>
          </c:tx>
          <c:spPr>
            <a:solidFill>
              <a:schemeClr val="accent4">
                <a:lumMod val="40000"/>
                <a:lumOff val="60000"/>
              </a:schemeClr>
            </a:solidFill>
            <a:ln>
              <a:solidFill>
                <a:schemeClr val="bg1">
                  <a:lumMod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Sheet1!$S$5:$S$31</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2019</c:v>
                  </c:pt>
                  <c:pt idx="12">
                    <c:v>2020</c:v>
                  </c:pt>
                </c:lvl>
              </c:multiLvlStrCache>
            </c:multiLvlStrRef>
          </c:cat>
          <c:val>
            <c:numRef>
              <c:f>Sheet1!$T$5:$T$31</c:f>
              <c:numCache>
                <c:formatCode>_(* #,##0_);_(* \(#,##0\);_(* "-"??_);_(@_)</c:formatCode>
                <c:ptCount val="24"/>
                <c:pt idx="0">
                  <c:v>48330.922538461542</c:v>
                </c:pt>
                <c:pt idx="1">
                  <c:v>47826.116538461538</c:v>
                </c:pt>
                <c:pt idx="2">
                  <c:v>48443.242538461542</c:v>
                </c:pt>
                <c:pt idx="3">
                  <c:v>48198.338538461539</c:v>
                </c:pt>
                <c:pt idx="4">
                  <c:v>47772.824538461537</c:v>
                </c:pt>
                <c:pt idx="5">
                  <c:v>55593.856871794873</c:v>
                </c:pt>
                <c:pt idx="6">
                  <c:v>56478.922871794879</c:v>
                </c:pt>
                <c:pt idx="7">
                  <c:v>56459.476871794868</c:v>
                </c:pt>
                <c:pt idx="8">
                  <c:v>56350.852871794872</c:v>
                </c:pt>
                <c:pt idx="9">
                  <c:v>56014.180871794873</c:v>
                </c:pt>
                <c:pt idx="10">
                  <c:v>56985.358871794881</c:v>
                </c:pt>
                <c:pt idx="11">
                  <c:v>49644.650871794875</c:v>
                </c:pt>
                <c:pt idx="12">
                  <c:v>50478.149871794871</c:v>
                </c:pt>
                <c:pt idx="13">
                  <c:v>50515.549871794872</c:v>
                </c:pt>
                <c:pt idx="14">
                  <c:v>46388.684871794874</c:v>
                </c:pt>
                <c:pt idx="15">
                  <c:v>45515.860871794874</c:v>
                </c:pt>
                <c:pt idx="16">
                  <c:v>45350.809871794874</c:v>
                </c:pt>
                <c:pt idx="17">
                  <c:v>45941.125871794873</c:v>
                </c:pt>
                <c:pt idx="18">
                  <c:v>45982.353871794876</c:v>
                </c:pt>
                <c:pt idx="19">
                  <c:v>46127.655871794872</c:v>
                </c:pt>
                <c:pt idx="20">
                  <c:v>46389.52087179487</c:v>
                </c:pt>
                <c:pt idx="21">
                  <c:v>45975.683871794878</c:v>
                </c:pt>
                <c:pt idx="22">
                  <c:v>45413.661871794873</c:v>
                </c:pt>
                <c:pt idx="23">
                  <c:v>46288.003871794877</c:v>
                </c:pt>
              </c:numCache>
            </c:numRef>
          </c:val>
          <c:extLst>
            <c:ext xmlns:c16="http://schemas.microsoft.com/office/drawing/2014/chart" uri="{C3380CC4-5D6E-409C-BE32-E72D297353CC}">
              <c16:uniqueId val="{00000000-1B23-44C0-BE12-4435C804F326}"/>
            </c:ext>
          </c:extLst>
        </c:ser>
        <c:ser>
          <c:idx val="1"/>
          <c:order val="1"/>
          <c:tx>
            <c:strRef>
              <c:f>Sheet1!$U$4</c:f>
              <c:strCache>
                <c:ptCount val="1"/>
                <c:pt idx="0">
                  <c:v>Sum of Revenue generated by employee</c:v>
                </c:pt>
              </c:strCache>
            </c:strRef>
          </c:tx>
          <c:spPr>
            <a:solidFill>
              <a:srgbClr val="8FCFA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bg1">
                    <a:lumMod val="50000"/>
                  </a:schemeClr>
                </a:solidFill>
                <a:prstDash val="sysDot"/>
              </a:ln>
              <a:effectLst/>
            </c:spPr>
            <c:trendlineType val="movingAvg"/>
            <c:period val="3"/>
            <c:dispRSqr val="0"/>
            <c:dispEq val="0"/>
          </c:trendline>
          <c:cat>
            <c:multiLvlStrRef>
              <c:f>Sheet1!$S$5:$S$31</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2019</c:v>
                  </c:pt>
                  <c:pt idx="12">
                    <c:v>2020</c:v>
                  </c:pt>
                </c:lvl>
              </c:multiLvlStrCache>
            </c:multiLvlStrRef>
          </c:cat>
          <c:val>
            <c:numRef>
              <c:f>Sheet1!$U$5:$U$31</c:f>
              <c:numCache>
                <c:formatCode>_(* #,##0_);_(* \(#,##0\);_(* "-"??_);_(@_)</c:formatCode>
                <c:ptCount val="24"/>
                <c:pt idx="0">
                  <c:v>226178</c:v>
                </c:pt>
                <c:pt idx="1">
                  <c:v>174857</c:v>
                </c:pt>
                <c:pt idx="2">
                  <c:v>240557</c:v>
                </c:pt>
                <c:pt idx="3">
                  <c:v>214510</c:v>
                </c:pt>
                <c:pt idx="4">
                  <c:v>168507</c:v>
                </c:pt>
                <c:pt idx="5">
                  <c:v>229976</c:v>
                </c:pt>
                <c:pt idx="6">
                  <c:v>310563</c:v>
                </c:pt>
                <c:pt idx="7">
                  <c:v>316254</c:v>
                </c:pt>
                <c:pt idx="8">
                  <c:v>302051</c:v>
                </c:pt>
                <c:pt idx="9">
                  <c:v>261581</c:v>
                </c:pt>
                <c:pt idx="10">
                  <c:v>370323</c:v>
                </c:pt>
                <c:pt idx="11">
                  <c:v>316032</c:v>
                </c:pt>
                <c:pt idx="12">
                  <c:v>382117</c:v>
                </c:pt>
                <c:pt idx="13">
                  <c:v>388335</c:v>
                </c:pt>
                <c:pt idx="14">
                  <c:v>445882</c:v>
                </c:pt>
                <c:pt idx="15">
                  <c:v>354469</c:v>
                </c:pt>
                <c:pt idx="16">
                  <c:v>334243</c:v>
                </c:pt>
                <c:pt idx="17">
                  <c:v>394371</c:v>
                </c:pt>
                <c:pt idx="18">
                  <c:v>394930</c:v>
                </c:pt>
                <c:pt idx="19">
                  <c:v>418330</c:v>
                </c:pt>
                <c:pt idx="20">
                  <c:v>444139</c:v>
                </c:pt>
                <c:pt idx="21">
                  <c:v>402451</c:v>
                </c:pt>
                <c:pt idx="22">
                  <c:v>345977</c:v>
                </c:pt>
                <c:pt idx="23">
                  <c:v>435484</c:v>
                </c:pt>
              </c:numCache>
            </c:numRef>
          </c:val>
          <c:extLst>
            <c:ext xmlns:c16="http://schemas.microsoft.com/office/drawing/2014/chart" uri="{C3380CC4-5D6E-409C-BE32-E72D297353CC}">
              <c16:uniqueId val="{00000001-1B23-44C0-BE12-4435C804F326}"/>
            </c:ext>
          </c:extLst>
        </c:ser>
        <c:dLbls>
          <c:showLegendKey val="0"/>
          <c:showVal val="0"/>
          <c:showCatName val="0"/>
          <c:showSerName val="0"/>
          <c:showPercent val="0"/>
          <c:showBubbleSize val="0"/>
        </c:dLbls>
        <c:gapWidth val="150"/>
        <c:axId val="690484335"/>
        <c:axId val="695804175"/>
      </c:barChart>
      <c:catAx>
        <c:axId val="690484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695804175"/>
        <c:crosses val="autoZero"/>
        <c:auto val="1"/>
        <c:lblAlgn val="ctr"/>
        <c:lblOffset val="100"/>
        <c:noMultiLvlLbl val="0"/>
      </c:catAx>
      <c:valAx>
        <c:axId val="695804175"/>
        <c:scaling>
          <c:orientation val="minMax"/>
        </c:scaling>
        <c:delete val="1"/>
        <c:axPos val="l"/>
        <c:majorGridlines>
          <c:spPr>
            <a:ln w="9525" cap="flat" cmpd="sng" algn="ctr">
              <a:noFill/>
              <a:round/>
            </a:ln>
            <a:effectLst/>
          </c:spPr>
        </c:majorGridlines>
        <c:numFmt formatCode="_(* #,##0_);_(* \(#,##0\);_(* &quot;-&quot;??_);_(@_)" sourceLinked="1"/>
        <c:majorTickMark val="none"/>
        <c:minorTickMark val="none"/>
        <c:tickLblPos val="nextTo"/>
        <c:crossAx val="690484335"/>
        <c:crosses val="autoZero"/>
        <c:crossBetween val="between"/>
      </c:valAx>
      <c:spPr>
        <a:noFill/>
        <a:ln>
          <a:noFill/>
        </a:ln>
        <a:effectLst/>
      </c:spPr>
    </c:plotArea>
    <c:legend>
      <c:legendPos val="b"/>
      <c:layout>
        <c:manualLayout>
          <c:xMode val="edge"/>
          <c:yMode val="edge"/>
          <c:x val="9.6320024574848298E-2"/>
          <c:y val="0.91363589967920678"/>
          <c:w val="0.78218772325468733"/>
          <c:h val="6.909367465033888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[HR_Metrics_Dashboard v1_0b.xlsm]Sheet1!group salaries</c:name>
    <c:fmtId val="2"/>
  </c:pivotSource>
  <c:chart>
    <c:title>
      <c:tx>
        <c:rich>
          <a:bodyPr rot="0" spcFirstLastPara="1" vertOverflow="ellipsis" vert="horz" wrap="square" anchor="ctr" anchorCtr="1"/>
          <a:lstStyle/>
          <a:p>
            <a:pPr>
              <a:defRPr sz="1400" b="0" i="0" u="none" strike="noStrike" kern="1200" cap="none" spc="20" baseline="0">
                <a:solidFill>
                  <a:srgbClr val="50B47F"/>
                </a:solidFill>
                <a:latin typeface="Arial" panose="020B0604020202020204" pitchFamily="34" charset="0"/>
                <a:ea typeface="+mn-ea"/>
                <a:cs typeface="Arial" panose="020B0604020202020204" pitchFamily="34" charset="0"/>
              </a:defRPr>
            </a:pPr>
            <a:r>
              <a:rPr lang="en-US">
                <a:solidFill>
                  <a:srgbClr val="50B47F"/>
                </a:solidFill>
                <a:latin typeface="Arial" panose="020B0604020202020204" pitchFamily="34" charset="0"/>
                <a:cs typeface="Arial" panose="020B0604020202020204" pitchFamily="34" charset="0"/>
              </a:rPr>
              <a:t>Total Salaries per Group</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dLbl>
          <c:idx val="0"/>
          <c:showLegendKey val="0"/>
          <c:showVal val="0"/>
          <c:showCatName val="1"/>
          <c:showSerName val="0"/>
          <c:showPercent val="1"/>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2"/>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extLst>
        </c:dLbl>
      </c:pivotFmt>
      <c:pivotFmt>
        <c:idx val="13"/>
        <c:spPr>
          <a:gradFill rotWithShape="1">
            <a:gsLst>
              <a:gs pos="0">
                <a:schemeClr val="accent6">
                  <a:tint val="58000"/>
                  <a:lumMod val="110000"/>
                  <a:satMod val="105000"/>
                  <a:tint val="67000"/>
                </a:schemeClr>
              </a:gs>
              <a:gs pos="50000">
                <a:schemeClr val="accent6">
                  <a:tint val="58000"/>
                  <a:lumMod val="105000"/>
                  <a:satMod val="103000"/>
                  <a:tint val="73000"/>
                </a:schemeClr>
              </a:gs>
              <a:gs pos="100000">
                <a:schemeClr val="accent6">
                  <a:tint val="58000"/>
                  <a:lumMod val="105000"/>
                  <a:satMod val="109000"/>
                  <a:tint val="81000"/>
                </a:schemeClr>
              </a:gs>
            </a:gsLst>
            <a:lin ang="5400000" scaled="0"/>
          </a:gradFill>
          <a:ln w="9525" cap="flat" cmpd="sng" algn="ctr">
            <a:solidFill>
              <a:schemeClr val="accent6">
                <a:tint val="58000"/>
                <a:shade val="95000"/>
              </a:schemeClr>
            </a:solidFill>
            <a:round/>
          </a:ln>
          <a:effectLst/>
        </c:spPr>
      </c:pivotFmt>
      <c:pivotFmt>
        <c:idx val="14"/>
        <c:spPr>
          <a:gradFill rotWithShape="1">
            <a:gsLst>
              <a:gs pos="0">
                <a:schemeClr val="accent6">
                  <a:tint val="86000"/>
                  <a:lumMod val="110000"/>
                  <a:satMod val="105000"/>
                  <a:tint val="67000"/>
                </a:schemeClr>
              </a:gs>
              <a:gs pos="50000">
                <a:schemeClr val="accent6">
                  <a:tint val="86000"/>
                  <a:lumMod val="105000"/>
                  <a:satMod val="103000"/>
                  <a:tint val="73000"/>
                </a:schemeClr>
              </a:gs>
              <a:gs pos="100000">
                <a:schemeClr val="accent6">
                  <a:tint val="86000"/>
                  <a:lumMod val="105000"/>
                  <a:satMod val="109000"/>
                  <a:tint val="81000"/>
                </a:schemeClr>
              </a:gs>
            </a:gsLst>
            <a:lin ang="5400000" scaled="0"/>
          </a:gradFill>
          <a:ln w="9525" cap="flat" cmpd="sng" algn="ctr">
            <a:solidFill>
              <a:schemeClr val="accent6">
                <a:tint val="86000"/>
                <a:shade val="95000"/>
              </a:schemeClr>
            </a:solidFill>
            <a:round/>
          </a:ln>
          <a:effectLst/>
        </c:spPr>
      </c:pivotFmt>
      <c:pivotFmt>
        <c:idx val="15"/>
        <c:spPr>
          <a:gradFill rotWithShape="1">
            <a:gsLst>
              <a:gs pos="0">
                <a:schemeClr val="accent6">
                  <a:shade val="86000"/>
                  <a:lumMod val="110000"/>
                  <a:satMod val="105000"/>
                  <a:tint val="67000"/>
                </a:schemeClr>
              </a:gs>
              <a:gs pos="50000">
                <a:schemeClr val="accent6">
                  <a:shade val="86000"/>
                  <a:lumMod val="105000"/>
                  <a:satMod val="103000"/>
                  <a:tint val="73000"/>
                </a:schemeClr>
              </a:gs>
              <a:gs pos="100000">
                <a:schemeClr val="accent6">
                  <a:shade val="86000"/>
                  <a:lumMod val="105000"/>
                  <a:satMod val="109000"/>
                  <a:tint val="81000"/>
                </a:schemeClr>
              </a:gs>
            </a:gsLst>
            <a:lin ang="5400000" scaled="0"/>
          </a:gradFill>
          <a:ln w="9525" cap="flat" cmpd="sng" algn="ctr">
            <a:solidFill>
              <a:schemeClr val="accent6">
                <a:shade val="86000"/>
                <a:shade val="95000"/>
              </a:schemeClr>
            </a:solidFill>
            <a:round/>
          </a:ln>
          <a:effectLst/>
        </c:spPr>
      </c:pivotFmt>
      <c:pivotFmt>
        <c:idx val="16"/>
        <c:spPr>
          <a:gradFill rotWithShape="1">
            <a:gsLst>
              <a:gs pos="0">
                <a:schemeClr val="accent6">
                  <a:shade val="58000"/>
                  <a:lumMod val="110000"/>
                  <a:satMod val="105000"/>
                  <a:tint val="67000"/>
                </a:schemeClr>
              </a:gs>
              <a:gs pos="50000">
                <a:schemeClr val="accent6">
                  <a:shade val="58000"/>
                  <a:lumMod val="105000"/>
                  <a:satMod val="103000"/>
                  <a:tint val="73000"/>
                </a:schemeClr>
              </a:gs>
              <a:gs pos="100000">
                <a:schemeClr val="accent6">
                  <a:shade val="58000"/>
                  <a:lumMod val="105000"/>
                  <a:satMod val="109000"/>
                  <a:tint val="81000"/>
                </a:schemeClr>
              </a:gs>
            </a:gsLst>
            <a:lin ang="5400000" scaled="0"/>
          </a:gradFill>
          <a:ln w="9525" cap="flat" cmpd="sng" algn="ctr">
            <a:solidFill>
              <a:schemeClr val="accent6">
                <a:shade val="58000"/>
                <a:shade val="95000"/>
              </a:schemeClr>
            </a:solidFill>
            <a:round/>
          </a:ln>
          <a:effectLst/>
        </c:spPr>
      </c:pivotFmt>
    </c:pivotFmts>
    <c:plotArea>
      <c:layout>
        <c:manualLayout>
          <c:layoutTarget val="inner"/>
          <c:xMode val="edge"/>
          <c:yMode val="edge"/>
          <c:x val="0.11725427024476363"/>
          <c:y val="0.10018398966578547"/>
          <c:w val="0.79684989362524361"/>
          <c:h val="0.89359168305562853"/>
        </c:manualLayout>
      </c:layout>
      <c:pieChart>
        <c:varyColors val="1"/>
        <c:ser>
          <c:idx val="0"/>
          <c:order val="0"/>
          <c:tx>
            <c:strRef>
              <c:f>Sheet1!$X$4</c:f>
              <c:strCache>
                <c:ptCount val="1"/>
                <c:pt idx="0">
                  <c:v>Total</c:v>
                </c:pt>
              </c:strCache>
            </c:strRef>
          </c:tx>
          <c:dPt>
            <c:idx val="0"/>
            <c:bubble3D val="0"/>
            <c:spPr>
              <a:gradFill rotWithShape="1">
                <a:gsLst>
                  <a:gs pos="0">
                    <a:schemeClr val="accent6">
                      <a:tint val="58000"/>
                      <a:lumMod val="110000"/>
                      <a:satMod val="105000"/>
                      <a:tint val="67000"/>
                    </a:schemeClr>
                  </a:gs>
                  <a:gs pos="50000">
                    <a:schemeClr val="accent6">
                      <a:tint val="58000"/>
                      <a:lumMod val="105000"/>
                      <a:satMod val="103000"/>
                      <a:tint val="73000"/>
                    </a:schemeClr>
                  </a:gs>
                  <a:gs pos="100000">
                    <a:schemeClr val="accent6">
                      <a:tint val="58000"/>
                      <a:lumMod val="105000"/>
                      <a:satMod val="109000"/>
                      <a:tint val="81000"/>
                    </a:schemeClr>
                  </a:gs>
                </a:gsLst>
                <a:lin ang="5400000" scaled="0"/>
              </a:gradFill>
              <a:ln w="9525" cap="flat" cmpd="sng" algn="ctr">
                <a:solidFill>
                  <a:schemeClr val="accent6">
                    <a:tint val="58000"/>
                    <a:shade val="95000"/>
                  </a:schemeClr>
                </a:solidFill>
                <a:round/>
              </a:ln>
              <a:effectLst/>
            </c:spPr>
            <c:extLst>
              <c:ext xmlns:c16="http://schemas.microsoft.com/office/drawing/2014/chart" uri="{C3380CC4-5D6E-409C-BE32-E72D297353CC}">
                <c16:uniqueId val="{00000001-BF21-45E5-BD84-CFADD4364A98}"/>
              </c:ext>
            </c:extLst>
          </c:dPt>
          <c:dPt>
            <c:idx val="1"/>
            <c:bubble3D val="0"/>
            <c:spPr>
              <a:gradFill rotWithShape="1">
                <a:gsLst>
                  <a:gs pos="0">
                    <a:schemeClr val="accent6">
                      <a:tint val="86000"/>
                      <a:lumMod val="110000"/>
                      <a:satMod val="105000"/>
                      <a:tint val="67000"/>
                    </a:schemeClr>
                  </a:gs>
                  <a:gs pos="50000">
                    <a:schemeClr val="accent6">
                      <a:tint val="86000"/>
                      <a:lumMod val="105000"/>
                      <a:satMod val="103000"/>
                      <a:tint val="73000"/>
                    </a:schemeClr>
                  </a:gs>
                  <a:gs pos="100000">
                    <a:schemeClr val="accent6">
                      <a:tint val="86000"/>
                      <a:lumMod val="105000"/>
                      <a:satMod val="109000"/>
                      <a:tint val="81000"/>
                    </a:schemeClr>
                  </a:gs>
                </a:gsLst>
                <a:lin ang="5400000" scaled="0"/>
              </a:gradFill>
              <a:ln w="9525" cap="flat" cmpd="sng" algn="ctr">
                <a:solidFill>
                  <a:schemeClr val="accent6">
                    <a:tint val="86000"/>
                    <a:shade val="95000"/>
                  </a:schemeClr>
                </a:solidFill>
                <a:round/>
              </a:ln>
              <a:effectLst/>
            </c:spPr>
            <c:extLst>
              <c:ext xmlns:c16="http://schemas.microsoft.com/office/drawing/2014/chart" uri="{C3380CC4-5D6E-409C-BE32-E72D297353CC}">
                <c16:uniqueId val="{00000003-BF21-45E5-BD84-CFADD4364A98}"/>
              </c:ext>
            </c:extLst>
          </c:dPt>
          <c:dPt>
            <c:idx val="2"/>
            <c:bubble3D val="0"/>
            <c:spPr>
              <a:gradFill rotWithShape="1">
                <a:gsLst>
                  <a:gs pos="0">
                    <a:schemeClr val="accent6">
                      <a:shade val="86000"/>
                      <a:lumMod val="110000"/>
                      <a:satMod val="105000"/>
                      <a:tint val="67000"/>
                    </a:schemeClr>
                  </a:gs>
                  <a:gs pos="50000">
                    <a:schemeClr val="accent6">
                      <a:shade val="86000"/>
                      <a:lumMod val="105000"/>
                      <a:satMod val="103000"/>
                      <a:tint val="73000"/>
                    </a:schemeClr>
                  </a:gs>
                  <a:gs pos="100000">
                    <a:schemeClr val="accent6">
                      <a:shade val="86000"/>
                      <a:lumMod val="105000"/>
                      <a:satMod val="109000"/>
                      <a:tint val="81000"/>
                    </a:schemeClr>
                  </a:gs>
                </a:gsLst>
                <a:lin ang="5400000" scaled="0"/>
              </a:gradFill>
              <a:ln w="9525" cap="flat" cmpd="sng" algn="ctr">
                <a:solidFill>
                  <a:schemeClr val="accent6">
                    <a:shade val="86000"/>
                    <a:shade val="95000"/>
                  </a:schemeClr>
                </a:solidFill>
                <a:round/>
              </a:ln>
              <a:effectLst/>
            </c:spPr>
            <c:extLst>
              <c:ext xmlns:c16="http://schemas.microsoft.com/office/drawing/2014/chart" uri="{C3380CC4-5D6E-409C-BE32-E72D297353CC}">
                <c16:uniqueId val="{00000005-BF21-45E5-BD84-CFADD4364A98}"/>
              </c:ext>
            </c:extLst>
          </c:dPt>
          <c:dPt>
            <c:idx val="3"/>
            <c:bubble3D val="0"/>
            <c:spPr>
              <a:gradFill rotWithShape="1">
                <a:gsLst>
                  <a:gs pos="0">
                    <a:schemeClr val="accent6">
                      <a:shade val="58000"/>
                      <a:lumMod val="110000"/>
                      <a:satMod val="105000"/>
                      <a:tint val="67000"/>
                    </a:schemeClr>
                  </a:gs>
                  <a:gs pos="50000">
                    <a:schemeClr val="accent6">
                      <a:shade val="58000"/>
                      <a:lumMod val="105000"/>
                      <a:satMod val="103000"/>
                      <a:tint val="73000"/>
                    </a:schemeClr>
                  </a:gs>
                  <a:gs pos="100000">
                    <a:schemeClr val="accent6">
                      <a:shade val="58000"/>
                      <a:lumMod val="105000"/>
                      <a:satMod val="109000"/>
                      <a:tint val="81000"/>
                    </a:schemeClr>
                  </a:gs>
                </a:gsLst>
                <a:lin ang="5400000" scaled="0"/>
              </a:gradFill>
              <a:ln w="9525" cap="flat" cmpd="sng" algn="ctr">
                <a:solidFill>
                  <a:schemeClr val="accent6">
                    <a:shade val="58000"/>
                    <a:shade val="95000"/>
                  </a:schemeClr>
                </a:solidFill>
                <a:round/>
              </a:ln>
              <a:effectLst/>
            </c:spPr>
            <c:extLst>
              <c:ext xmlns:c16="http://schemas.microsoft.com/office/drawing/2014/chart" uri="{C3380CC4-5D6E-409C-BE32-E72D297353CC}">
                <c16:uniqueId val="{00000007-BF21-45E5-BD84-CFADD4364A98}"/>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dLblPos val="bestFit"/>
            <c:showLegendKey val="0"/>
            <c:showVal val="1"/>
            <c:showCatName val="1"/>
            <c:showSerName val="0"/>
            <c:showPercent val="1"/>
            <c:showBubbleSize val="0"/>
            <c:separator>
</c:separator>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Sheet1!$W$5:$W$9</c:f>
              <c:strCache>
                <c:ptCount val="4"/>
                <c:pt idx="0">
                  <c:v>Administrative</c:v>
                </c:pt>
                <c:pt idx="1">
                  <c:v>Field Force</c:v>
                </c:pt>
                <c:pt idx="2">
                  <c:v>General Management</c:v>
                </c:pt>
                <c:pt idx="3">
                  <c:v>IT</c:v>
                </c:pt>
              </c:strCache>
            </c:strRef>
          </c:cat>
          <c:val>
            <c:numRef>
              <c:f>Sheet1!$X$5:$X$9</c:f>
              <c:numCache>
                <c:formatCode>_(* #,##0_);_(* \(#,##0\);_(* "-"??_);_(@_)</c:formatCode>
                <c:ptCount val="4"/>
                <c:pt idx="0">
                  <c:v>140252.75</c:v>
                </c:pt>
                <c:pt idx="1">
                  <c:v>607680.93933333352</c:v>
                </c:pt>
                <c:pt idx="2">
                  <c:v>279250.11692307674</c:v>
                </c:pt>
                <c:pt idx="3">
                  <c:v>161282</c:v>
                </c:pt>
              </c:numCache>
            </c:numRef>
          </c:val>
          <c:extLst>
            <c:ext xmlns:c16="http://schemas.microsoft.com/office/drawing/2014/chart" uri="{C3380CC4-5D6E-409C-BE32-E72D297353CC}">
              <c16:uniqueId val="{0000000B-50DC-4CA2-BFA7-2B11C5407BF3}"/>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[HR_Metrics_Dashboard v1_0b.xlsm]Sheet1!employee payroll</c:name>
    <c:fmtId val="2"/>
  </c:pivotSource>
  <c:chart>
    <c:title>
      <c:tx>
        <c:rich>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r>
              <a:rPr lang="en-US">
                <a:solidFill>
                  <a:srgbClr val="50B47F"/>
                </a:solidFill>
                <a:latin typeface="Arial" panose="020B0604020202020204" pitchFamily="34" charset="0"/>
                <a:cs typeface="Arial" panose="020B0604020202020204" pitchFamily="34" charset="0"/>
              </a:rPr>
              <a:t>Employees Payroll</a:t>
            </a:r>
          </a:p>
        </c:rich>
      </c:tx>
      <c:layout>
        <c:manualLayout>
          <c:xMode val="edge"/>
          <c:yMode val="edge"/>
          <c:x val="0.37857000473797109"/>
          <c:y val="7.606261570351631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4">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353528235782519"/>
          <c:y val="0.12865830216053453"/>
          <c:w val="0.61473378828938541"/>
          <c:h val="0.8606498721751551"/>
        </c:manualLayout>
      </c:layout>
      <c:barChart>
        <c:barDir val="bar"/>
        <c:grouping val="stacked"/>
        <c:varyColors val="0"/>
        <c:ser>
          <c:idx val="0"/>
          <c:order val="0"/>
          <c:tx>
            <c:strRef>
              <c:f>Sheet1!$AA$4</c:f>
              <c:strCache>
                <c:ptCount val="1"/>
                <c:pt idx="0">
                  <c:v>Sum of Base salary</c:v>
                </c:pt>
              </c:strCache>
            </c:strRef>
          </c:tx>
          <c:spPr>
            <a:solidFill>
              <a:srgbClr val="8FCFA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Sheet1!$Z$5:$Z$13</c:f>
              <c:strCache>
                <c:ptCount val="8"/>
                <c:pt idx="0">
                  <c:v>Christina Roach</c:v>
                </c:pt>
                <c:pt idx="1">
                  <c:v>David Maynard</c:v>
                </c:pt>
                <c:pt idx="2">
                  <c:v>Dennis Henderson</c:v>
                </c:pt>
                <c:pt idx="3">
                  <c:v>Diana Stuart</c:v>
                </c:pt>
                <c:pt idx="4">
                  <c:v>Jamie Newman</c:v>
                </c:pt>
                <c:pt idx="5">
                  <c:v>John Richardson</c:v>
                </c:pt>
                <c:pt idx="6">
                  <c:v>Sabrina Nielsen</c:v>
                </c:pt>
                <c:pt idx="7">
                  <c:v>Steven Lewis</c:v>
                </c:pt>
              </c:strCache>
            </c:strRef>
          </c:cat>
          <c:val>
            <c:numRef>
              <c:f>Sheet1!$AA$5:$AA$13</c:f>
              <c:numCache>
                <c:formatCode>_(* #,##0_);_(* \(#,##0\);_(* "-"??_);_(@_)</c:formatCode>
                <c:ptCount val="8"/>
                <c:pt idx="0">
                  <c:v>68282.5</c:v>
                </c:pt>
                <c:pt idx="1">
                  <c:v>59220</c:v>
                </c:pt>
                <c:pt idx="2">
                  <c:v>147339.19999999998</c:v>
                </c:pt>
                <c:pt idx="3">
                  <c:v>99184.000000000029</c:v>
                </c:pt>
                <c:pt idx="4">
                  <c:v>130303.5833333333</c:v>
                </c:pt>
                <c:pt idx="5">
                  <c:v>249330.46153846144</c:v>
                </c:pt>
                <c:pt idx="6">
                  <c:v>125590.00000000004</c:v>
                </c:pt>
                <c:pt idx="7">
                  <c:v>146620.00000000003</c:v>
                </c:pt>
              </c:numCache>
            </c:numRef>
          </c:val>
          <c:extLst>
            <c:ext xmlns:c16="http://schemas.microsoft.com/office/drawing/2014/chart" uri="{C3380CC4-5D6E-409C-BE32-E72D297353CC}">
              <c16:uniqueId val="{00000000-97D2-4E19-8E72-5CD19B06C00E}"/>
            </c:ext>
          </c:extLst>
        </c:ser>
        <c:ser>
          <c:idx val="1"/>
          <c:order val="1"/>
          <c:tx>
            <c:strRef>
              <c:f>Sheet1!$AB$4</c:f>
              <c:strCache>
                <c:ptCount val="1"/>
                <c:pt idx="0">
                  <c:v>Sum of Bonus accrual</c:v>
                </c:pt>
              </c:strCache>
            </c:strRef>
          </c:tx>
          <c:spPr>
            <a:solidFill>
              <a:schemeClr val="accent4">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Sheet1!$Z$5:$Z$13</c:f>
              <c:strCache>
                <c:ptCount val="8"/>
                <c:pt idx="0">
                  <c:v>Christina Roach</c:v>
                </c:pt>
                <c:pt idx="1">
                  <c:v>David Maynard</c:v>
                </c:pt>
                <c:pt idx="2">
                  <c:v>Dennis Henderson</c:v>
                </c:pt>
                <c:pt idx="3">
                  <c:v>Diana Stuart</c:v>
                </c:pt>
                <c:pt idx="4">
                  <c:v>Jamie Newman</c:v>
                </c:pt>
                <c:pt idx="5">
                  <c:v>John Richardson</c:v>
                </c:pt>
                <c:pt idx="6">
                  <c:v>Sabrina Nielsen</c:v>
                </c:pt>
                <c:pt idx="7">
                  <c:v>Steven Lewis</c:v>
                </c:pt>
              </c:strCache>
            </c:strRef>
          </c:cat>
          <c:val>
            <c:numRef>
              <c:f>Sheet1!$AB$5:$AB$13</c:f>
              <c:numCache>
                <c:formatCode>_(* #,##0_);_(* \(#,##0\);_(* "-"??_);_(@_)</c:formatCode>
                <c:ptCount val="8"/>
                <c:pt idx="0">
                  <c:v>6828.25</c:v>
                </c:pt>
                <c:pt idx="1">
                  <c:v>5922</c:v>
                </c:pt>
                <c:pt idx="2">
                  <c:v>8840.3520000000008</c:v>
                </c:pt>
                <c:pt idx="3">
                  <c:v>5951.04</c:v>
                </c:pt>
                <c:pt idx="4">
                  <c:v>7818.2149999999974</c:v>
                </c:pt>
                <c:pt idx="5">
                  <c:v>29919.655384615384</c:v>
                </c:pt>
                <c:pt idx="6">
                  <c:v>7535.4000000000033</c:v>
                </c:pt>
                <c:pt idx="7">
                  <c:v>14661.999999999996</c:v>
                </c:pt>
              </c:numCache>
            </c:numRef>
          </c:val>
          <c:extLst>
            <c:ext xmlns:c16="http://schemas.microsoft.com/office/drawing/2014/chart" uri="{C3380CC4-5D6E-409C-BE32-E72D297353CC}">
              <c16:uniqueId val="{00000001-97D2-4E19-8E72-5CD19B06C00E}"/>
            </c:ext>
          </c:extLst>
        </c:ser>
        <c:ser>
          <c:idx val="2"/>
          <c:order val="2"/>
          <c:tx>
            <c:strRef>
              <c:f>Sheet1!$AC$4</c:f>
              <c:strCache>
                <c:ptCount val="1"/>
                <c:pt idx="0">
                  <c:v>Sum of Comission</c:v>
                </c:pt>
              </c:strCache>
            </c:strRef>
          </c:tx>
          <c:spPr>
            <a:solidFill>
              <a:schemeClr val="bg1">
                <a:lumMod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Sheet1!$Z$5:$Z$13</c:f>
              <c:strCache>
                <c:ptCount val="8"/>
                <c:pt idx="0">
                  <c:v>Christina Roach</c:v>
                </c:pt>
                <c:pt idx="1">
                  <c:v>David Maynard</c:v>
                </c:pt>
                <c:pt idx="2">
                  <c:v>Dennis Henderson</c:v>
                </c:pt>
                <c:pt idx="3">
                  <c:v>Diana Stuart</c:v>
                </c:pt>
                <c:pt idx="4">
                  <c:v>Jamie Newman</c:v>
                </c:pt>
                <c:pt idx="5">
                  <c:v>John Richardson</c:v>
                </c:pt>
                <c:pt idx="6">
                  <c:v>Sabrina Nielsen</c:v>
                </c:pt>
                <c:pt idx="7">
                  <c:v>Steven Lewis</c:v>
                </c:pt>
              </c:strCache>
            </c:strRef>
          </c:cat>
          <c:val>
            <c:numRef>
              <c:f>Sheet1!$AC$5:$AC$13</c:f>
              <c:numCache>
                <c:formatCode>_(* #,##0_);_(* \(#,##0\);_(* "-"??_);_(@_)</c:formatCode>
                <c:ptCount val="8"/>
                <c:pt idx="0">
                  <c:v>0</c:v>
                </c:pt>
                <c:pt idx="1">
                  <c:v>0</c:v>
                </c:pt>
                <c:pt idx="2">
                  <c:v>19453.567999999999</c:v>
                </c:pt>
                <c:pt idx="3">
                  <c:v>13875.080999999998</c:v>
                </c:pt>
                <c:pt idx="4">
                  <c:v>16851.14</c:v>
                </c:pt>
                <c:pt idx="5">
                  <c:v>0</c:v>
                </c:pt>
                <c:pt idx="6">
                  <c:v>24939.359999999993</c:v>
                </c:pt>
                <c:pt idx="7">
                  <c:v>0</c:v>
                </c:pt>
              </c:numCache>
            </c:numRef>
          </c:val>
          <c:extLst>
            <c:ext xmlns:c16="http://schemas.microsoft.com/office/drawing/2014/chart" uri="{C3380CC4-5D6E-409C-BE32-E72D297353CC}">
              <c16:uniqueId val="{00000002-97D2-4E19-8E72-5CD19B06C00E}"/>
            </c:ext>
          </c:extLst>
        </c:ser>
        <c:dLbls>
          <c:dLblPos val="ctr"/>
          <c:showLegendKey val="0"/>
          <c:showVal val="1"/>
          <c:showCatName val="0"/>
          <c:showSerName val="0"/>
          <c:showPercent val="0"/>
          <c:showBubbleSize val="0"/>
        </c:dLbls>
        <c:gapWidth val="150"/>
        <c:overlap val="100"/>
        <c:axId val="923377471"/>
        <c:axId val="906946223"/>
      </c:barChart>
      <c:catAx>
        <c:axId val="9233774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6946223"/>
        <c:crosses val="autoZero"/>
        <c:auto val="1"/>
        <c:lblAlgn val="ctr"/>
        <c:lblOffset val="100"/>
        <c:noMultiLvlLbl val="0"/>
      </c:catAx>
      <c:valAx>
        <c:axId val="906946223"/>
        <c:scaling>
          <c:orientation val="minMax"/>
        </c:scaling>
        <c:delete val="1"/>
        <c:axPos val="b"/>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crossAx val="9233774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Reversed" id="26">
  <a:schemeClr val="accent6"/>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GIF"/><Relationship Id="rId2" Type="http://schemas.openxmlformats.org/officeDocument/2006/relationships/image" Target="../media/image2.GI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3.xml"/><Relationship Id="rId3" Type="http://schemas.openxmlformats.org/officeDocument/2006/relationships/image" Target="../media/image5.svg"/><Relationship Id="rId7" Type="http://schemas.openxmlformats.org/officeDocument/2006/relationships/image" Target="../media/image8.png"/><Relationship Id="rId2" Type="http://schemas.openxmlformats.org/officeDocument/2006/relationships/image" Target="../media/image4.png"/><Relationship Id="rId1" Type="http://schemas.openxmlformats.org/officeDocument/2006/relationships/chart" Target="../charts/chart1.xml"/><Relationship Id="rId6" Type="http://schemas.openxmlformats.org/officeDocument/2006/relationships/chart" Target="../charts/chart2.xml"/><Relationship Id="rId11" Type="http://schemas.openxmlformats.org/officeDocument/2006/relationships/chart" Target="../charts/chart6.xml"/><Relationship Id="rId5" Type="http://schemas.openxmlformats.org/officeDocument/2006/relationships/image" Target="../media/image7.svg"/><Relationship Id="rId10" Type="http://schemas.openxmlformats.org/officeDocument/2006/relationships/chart" Target="../charts/chart5.xml"/><Relationship Id="rId4" Type="http://schemas.openxmlformats.org/officeDocument/2006/relationships/image" Target="../media/image6.png"/><Relationship Id="rId9"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1378927</xdr:colOff>
      <xdr:row>3</xdr:row>
      <xdr:rowOff>82061</xdr:rowOff>
    </xdr:to>
    <xdr:pic>
      <xdr:nvPicPr>
        <xdr:cNvPr id="2" name="Picture 1" descr="1e20d745-580a-4e67-971f-5ba18a072b23@EURP176">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2988652" cy="6059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47624</xdr:colOff>
      <xdr:row>39</xdr:row>
      <xdr:rowOff>19050</xdr:rowOff>
    </xdr:from>
    <xdr:to>
      <xdr:col>12</xdr:col>
      <xdr:colOff>437029</xdr:colOff>
      <xdr:row>43</xdr:row>
      <xdr:rowOff>38100</xdr:rowOff>
    </xdr:to>
    <xdr:grpSp>
      <xdr:nvGrpSpPr>
        <xdr:cNvPr id="3" name="Group 2">
          <a:extLst>
            <a:ext uri="{FF2B5EF4-FFF2-40B4-BE49-F238E27FC236}">
              <a16:creationId xmlns:a16="http://schemas.microsoft.com/office/drawing/2014/main" id="{58E3B1A0-F0A5-4D5B-A97F-D847C7353BB3}"/>
            </a:ext>
          </a:extLst>
        </xdr:cNvPr>
        <xdr:cNvGrpSpPr/>
      </xdr:nvGrpSpPr>
      <xdr:grpSpPr>
        <a:xfrm>
          <a:off x="4967006" y="7123579"/>
          <a:ext cx="6440582" cy="781050"/>
          <a:chOff x="4257674" y="8324850"/>
          <a:chExt cx="7353301" cy="666750"/>
        </a:xfrm>
      </xdr:grpSpPr>
      <xdr:pic>
        <xdr:nvPicPr>
          <xdr:cNvPr id="4" name="Picture 3">
            <a:extLst>
              <a:ext uri="{FF2B5EF4-FFF2-40B4-BE49-F238E27FC236}">
                <a16:creationId xmlns:a16="http://schemas.microsoft.com/office/drawing/2014/main" id="{C04124E0-E2F5-4AA3-A218-79B4F5308BA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5" name="Rectangle 4">
            <a:extLst>
              <a:ext uri="{FF2B5EF4-FFF2-40B4-BE49-F238E27FC236}">
                <a16:creationId xmlns:a16="http://schemas.microsoft.com/office/drawing/2014/main" id="{1E967ED4-3932-4B9C-A80D-9E56722714B9}"/>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67B628D4-6D1A-4906-88F7-780A4D1A1F71}"/>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66674</xdr:colOff>
      <xdr:row>47</xdr:row>
      <xdr:rowOff>95250</xdr:rowOff>
    </xdr:from>
    <xdr:to>
      <xdr:col>12</xdr:col>
      <xdr:colOff>456079</xdr:colOff>
      <xdr:row>51</xdr:row>
      <xdr:rowOff>114300</xdr:rowOff>
    </xdr:to>
    <xdr:grpSp>
      <xdr:nvGrpSpPr>
        <xdr:cNvPr id="7" name="Group 6">
          <a:extLst>
            <a:ext uri="{FF2B5EF4-FFF2-40B4-BE49-F238E27FC236}">
              <a16:creationId xmlns:a16="http://schemas.microsoft.com/office/drawing/2014/main" id="{D419CBB7-B8D9-4D1E-A0D7-6811408883B9}"/>
            </a:ext>
          </a:extLst>
        </xdr:cNvPr>
        <xdr:cNvGrpSpPr/>
      </xdr:nvGrpSpPr>
      <xdr:grpSpPr>
        <a:xfrm>
          <a:off x="4986056" y="8723779"/>
          <a:ext cx="6440582" cy="781050"/>
          <a:chOff x="4276724" y="9696450"/>
          <a:chExt cx="7353301" cy="666750"/>
        </a:xfrm>
      </xdr:grpSpPr>
      <xdr:pic>
        <xdr:nvPicPr>
          <xdr:cNvPr id="8" name="Picture 7">
            <a:extLst>
              <a:ext uri="{FF2B5EF4-FFF2-40B4-BE49-F238E27FC236}">
                <a16:creationId xmlns:a16="http://schemas.microsoft.com/office/drawing/2014/main" id="{8BC34AD7-1E9C-4FD1-A63E-652F91B838A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9" name="Rectangle 8">
            <a:extLst>
              <a:ext uri="{FF2B5EF4-FFF2-40B4-BE49-F238E27FC236}">
                <a16:creationId xmlns:a16="http://schemas.microsoft.com/office/drawing/2014/main" id="{4C0B6052-9E2B-4B4B-B67E-8DCCB94CAFA0}"/>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85725</xdr:colOff>
      <xdr:row>53</xdr:row>
      <xdr:rowOff>47625</xdr:rowOff>
    </xdr:from>
    <xdr:to>
      <xdr:col>12</xdr:col>
      <xdr:colOff>420024</xdr:colOff>
      <xdr:row>57</xdr:row>
      <xdr:rowOff>133350</xdr:rowOff>
    </xdr:to>
    <xdr:grpSp>
      <xdr:nvGrpSpPr>
        <xdr:cNvPr id="10" name="Group 9">
          <a:extLst>
            <a:ext uri="{FF2B5EF4-FFF2-40B4-BE49-F238E27FC236}">
              <a16:creationId xmlns:a16="http://schemas.microsoft.com/office/drawing/2014/main" id="{2D9ABD98-2D8F-4E1A-BF44-DAEE0C0D5A43}"/>
            </a:ext>
          </a:extLst>
        </xdr:cNvPr>
        <xdr:cNvGrpSpPr/>
      </xdr:nvGrpSpPr>
      <xdr:grpSpPr>
        <a:xfrm>
          <a:off x="5005107" y="9819154"/>
          <a:ext cx="6385476" cy="847725"/>
          <a:chOff x="4295775" y="10620375"/>
          <a:chExt cx="7334250" cy="733425"/>
        </a:xfrm>
      </xdr:grpSpPr>
      <xdr:pic>
        <xdr:nvPicPr>
          <xdr:cNvPr id="11" name="Picture 10">
            <a:extLst>
              <a:ext uri="{FF2B5EF4-FFF2-40B4-BE49-F238E27FC236}">
                <a16:creationId xmlns:a16="http://schemas.microsoft.com/office/drawing/2014/main" id="{5F02A026-E2BB-4368-ACA8-97C448D26DCD}"/>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8333"/>
          <a:stretch/>
        </xdr:blipFill>
        <xdr:spPr>
          <a:xfrm>
            <a:off x="4295775" y="10620375"/>
            <a:ext cx="7334250" cy="733425"/>
          </a:xfrm>
          <a:prstGeom prst="rect">
            <a:avLst/>
          </a:prstGeom>
        </xdr:spPr>
      </xdr:pic>
      <xdr:sp macro="" textlink="">
        <xdr:nvSpPr>
          <xdr:cNvPr id="12" name="Rectangle 11">
            <a:extLst>
              <a:ext uri="{FF2B5EF4-FFF2-40B4-BE49-F238E27FC236}">
                <a16:creationId xmlns:a16="http://schemas.microsoft.com/office/drawing/2014/main" id="{EC383ED8-C14C-402D-B458-0C68F898EC91}"/>
              </a:ext>
            </a:extLst>
          </xdr:cNvPr>
          <xdr:cNvSpPr/>
        </xdr:nvSpPr>
        <xdr:spPr>
          <a:xfrm>
            <a:off x="10848975" y="10648949"/>
            <a:ext cx="762000" cy="2381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16384</xdr:col>
      <xdr:colOff>6381750</xdr:colOff>
      <xdr:row>5</xdr:row>
      <xdr:rowOff>4762</xdr:rowOff>
    </xdr:from>
    <xdr:to>
      <xdr:col>16384</xdr:col>
      <xdr:colOff>10953750</xdr:colOff>
      <xdr:row>20</xdr:row>
      <xdr:rowOff>157162</xdr:rowOff>
    </xdr:to>
    <xdr:graphicFrame macro="">
      <xdr:nvGraphicFramePr>
        <xdr:cNvPr id="2" name="Chart 2">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47625</xdr:colOff>
          <xdr:row>6</xdr:row>
          <xdr:rowOff>9525</xdr:rowOff>
        </xdr:from>
        <xdr:to>
          <xdr:col>1</xdr:col>
          <xdr:colOff>352425</xdr:colOff>
          <xdr:row>7</xdr:row>
          <xdr:rowOff>104775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6</xdr:row>
          <xdr:rowOff>9525</xdr:rowOff>
        </xdr:from>
        <xdr:to>
          <xdr:col>2</xdr:col>
          <xdr:colOff>609600</xdr:colOff>
          <xdr:row>7</xdr:row>
          <xdr:rowOff>104775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Full Screen</a:t>
              </a:r>
            </a:p>
          </xdr:txBody>
        </xdr:sp>
        <xdr:clientData fPrintsWithSheet="0"/>
      </xdr:twoCellAnchor>
    </mc:Choice>
    <mc:Fallback/>
  </mc:AlternateContent>
  <xdr:twoCellAnchor editAs="oneCell">
    <xdr:from>
      <xdr:col>3</xdr:col>
      <xdr:colOff>358588</xdr:colOff>
      <xdr:row>0</xdr:row>
      <xdr:rowOff>252650</xdr:rowOff>
    </xdr:from>
    <xdr:to>
      <xdr:col>5</xdr:col>
      <xdr:colOff>54348</xdr:colOff>
      <xdr:row>5</xdr:row>
      <xdr:rowOff>134179</xdr:rowOff>
    </xdr:to>
    <xdr:pic>
      <xdr:nvPicPr>
        <xdr:cNvPr id="5" name="Graphic 4" descr="Users">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241176" y="252650"/>
          <a:ext cx="733425" cy="762760"/>
        </a:xfrm>
        <a:prstGeom prst="rect">
          <a:avLst/>
        </a:prstGeom>
      </xdr:spPr>
    </xdr:pic>
    <xdr:clientData/>
  </xdr:twoCellAnchor>
  <xdr:twoCellAnchor editAs="oneCell">
    <xdr:from>
      <xdr:col>13</xdr:col>
      <xdr:colOff>313764</xdr:colOff>
      <xdr:row>0</xdr:row>
      <xdr:rowOff>225016</xdr:rowOff>
    </xdr:from>
    <xdr:to>
      <xdr:col>14</xdr:col>
      <xdr:colOff>473235</xdr:colOff>
      <xdr:row>4</xdr:row>
      <xdr:rowOff>129878</xdr:rowOff>
    </xdr:to>
    <xdr:pic>
      <xdr:nvPicPr>
        <xdr:cNvPr id="6" name="Graphic 5" descr="Coins">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964705" y="225016"/>
          <a:ext cx="631799" cy="638735"/>
        </a:xfrm>
        <a:prstGeom prst="rect">
          <a:avLst/>
        </a:prstGeom>
      </xdr:spPr>
    </xdr:pic>
    <xdr:clientData/>
  </xdr:twoCellAnchor>
  <xdr:twoCellAnchor>
    <xdr:from>
      <xdr:col>5</xdr:col>
      <xdr:colOff>627531</xdr:colOff>
      <xdr:row>0</xdr:row>
      <xdr:rowOff>0</xdr:rowOff>
    </xdr:from>
    <xdr:to>
      <xdr:col>9</xdr:col>
      <xdr:colOff>224118</xdr:colOff>
      <xdr:row>5</xdr:row>
      <xdr:rowOff>134470</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9</xdr:col>
      <xdr:colOff>392205</xdr:colOff>
      <xdr:row>0</xdr:row>
      <xdr:rowOff>18803</xdr:rowOff>
    </xdr:from>
    <xdr:to>
      <xdr:col>10</xdr:col>
      <xdr:colOff>57821</xdr:colOff>
      <xdr:row>4</xdr:row>
      <xdr:rowOff>53814</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duotone>
            <a:prstClr val="black"/>
            <a:srgbClr val="D9C3A5">
              <a:tint val="50000"/>
              <a:satMod val="180000"/>
            </a:srgbClr>
          </a:duotone>
        </a:blip>
        <a:stretch>
          <a:fillRect/>
        </a:stretch>
      </xdr:blipFill>
      <xdr:spPr>
        <a:xfrm>
          <a:off x="6062381" y="18803"/>
          <a:ext cx="748553" cy="782219"/>
        </a:xfrm>
        <a:prstGeom prst="rect">
          <a:avLst/>
        </a:prstGeom>
      </xdr:spPr>
    </xdr:pic>
    <xdr:clientData/>
  </xdr:twoCellAnchor>
  <xdr:twoCellAnchor editAs="oneCell">
    <xdr:from>
      <xdr:col>0</xdr:col>
      <xdr:colOff>0</xdr:colOff>
      <xdr:row>7</xdr:row>
      <xdr:rowOff>123266</xdr:rowOff>
    </xdr:from>
    <xdr:to>
      <xdr:col>2</xdr:col>
      <xdr:colOff>588533</xdr:colOff>
      <xdr:row>24</xdr:row>
      <xdr:rowOff>22412</xdr:rowOff>
    </xdr:to>
    <mc:AlternateContent xmlns:mc="http://schemas.openxmlformats.org/markup-compatibility/2006" xmlns:a14="http://schemas.microsoft.com/office/drawing/2010/main">
      <mc:Choice Requires="a14">
        <xdr:graphicFrame macro="">
          <xdr:nvGraphicFramePr>
            <xdr:cNvPr id="9" name="Employee Name">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microsoft.com/office/drawing/2010/slicer">
              <sle:slicer xmlns:sle="http://schemas.microsoft.com/office/drawing/2010/slicer" name="Employee Name"/>
            </a:graphicData>
          </a:graphic>
        </xdr:graphicFrame>
      </mc:Choice>
      <mc:Fallback xmlns="">
        <xdr:sp macro="" textlink="">
          <xdr:nvSpPr>
            <xdr:cNvPr id="0" name=""/>
            <xdr:cNvSpPr>
              <a:spLocks noTextEdit="1"/>
            </xdr:cNvSpPr>
          </xdr:nvSpPr>
          <xdr:spPr>
            <a:xfrm>
              <a:off x="0" y="1333501"/>
              <a:ext cx="1828800" cy="25661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24</xdr:row>
      <xdr:rowOff>44823</xdr:rowOff>
    </xdr:from>
    <xdr:to>
      <xdr:col>2</xdr:col>
      <xdr:colOff>588533</xdr:colOff>
      <xdr:row>35</xdr:row>
      <xdr:rowOff>112059</xdr:rowOff>
    </xdr:to>
    <mc:AlternateContent xmlns:mc="http://schemas.openxmlformats.org/markup-compatibility/2006" xmlns:a14="http://schemas.microsoft.com/office/drawing/2010/main">
      <mc:Choice Requires="a14">
        <xdr:graphicFrame macro="">
          <xdr:nvGraphicFramePr>
            <xdr:cNvPr id="10" name="Group">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microsoft.com/office/drawing/2010/slicer">
              <sle:slicer xmlns:sle="http://schemas.microsoft.com/office/drawing/2010/slicer" name="Group"/>
            </a:graphicData>
          </a:graphic>
        </xdr:graphicFrame>
      </mc:Choice>
      <mc:Fallback xmlns="">
        <xdr:sp macro="" textlink="">
          <xdr:nvSpPr>
            <xdr:cNvPr id="0" name=""/>
            <xdr:cNvSpPr>
              <a:spLocks noTextEdit="1"/>
            </xdr:cNvSpPr>
          </xdr:nvSpPr>
          <xdr:spPr>
            <a:xfrm>
              <a:off x="0" y="3922058"/>
              <a:ext cx="1828800" cy="179294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35</xdr:row>
      <xdr:rowOff>123264</xdr:rowOff>
    </xdr:from>
    <xdr:to>
      <xdr:col>2</xdr:col>
      <xdr:colOff>588533</xdr:colOff>
      <xdr:row>41</xdr:row>
      <xdr:rowOff>97268</xdr:rowOff>
    </xdr:to>
    <mc:AlternateContent xmlns:mc="http://schemas.openxmlformats.org/markup-compatibility/2006" xmlns:a14="http://schemas.microsoft.com/office/drawing/2010/main">
      <mc:Choice Requires="a14">
        <xdr:graphicFrame macro="">
          <xdr:nvGraphicFramePr>
            <xdr:cNvPr id="11" name="Workload">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microsoft.com/office/drawing/2010/slicer">
              <sle:slicer xmlns:sle="http://schemas.microsoft.com/office/drawing/2010/slicer" name="Workload"/>
            </a:graphicData>
          </a:graphic>
        </xdr:graphicFrame>
      </mc:Choice>
      <mc:Fallback xmlns="">
        <xdr:sp macro="" textlink="">
          <xdr:nvSpPr>
            <xdr:cNvPr id="0" name=""/>
            <xdr:cNvSpPr>
              <a:spLocks noTextEdit="1"/>
            </xdr:cNvSpPr>
          </xdr:nvSpPr>
          <xdr:spPr>
            <a:xfrm>
              <a:off x="0" y="5726205"/>
              <a:ext cx="1828800" cy="9076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41</xdr:row>
      <xdr:rowOff>100854</xdr:rowOff>
    </xdr:from>
    <xdr:to>
      <xdr:col>2</xdr:col>
      <xdr:colOff>588533</xdr:colOff>
      <xdr:row>49</xdr:row>
      <xdr:rowOff>0</xdr:rowOff>
    </xdr:to>
    <mc:AlternateContent xmlns:mc="http://schemas.openxmlformats.org/markup-compatibility/2006" xmlns:a14="http://schemas.microsoft.com/office/drawing/2010/main">
      <mc:Choice Requires="a14">
        <xdr:graphicFrame macro="">
          <xdr:nvGraphicFramePr>
            <xdr:cNvPr id="12" name="Bonus Target">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microsoft.com/office/drawing/2010/slicer">
              <sle:slicer xmlns:sle="http://schemas.microsoft.com/office/drawing/2010/slicer" name="Bonus Target"/>
            </a:graphicData>
          </a:graphic>
        </xdr:graphicFrame>
      </mc:Choice>
      <mc:Fallback xmlns="">
        <xdr:sp macro="" textlink="">
          <xdr:nvSpPr>
            <xdr:cNvPr id="0" name=""/>
            <xdr:cNvSpPr>
              <a:spLocks noTextEdit="1"/>
            </xdr:cNvSpPr>
          </xdr:nvSpPr>
          <xdr:spPr>
            <a:xfrm>
              <a:off x="0" y="6645089"/>
              <a:ext cx="1828800" cy="11542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72838</xdr:colOff>
      <xdr:row>6</xdr:row>
      <xdr:rowOff>0</xdr:rowOff>
    </xdr:from>
    <xdr:to>
      <xdr:col>22</xdr:col>
      <xdr:colOff>664733</xdr:colOff>
      <xdr:row>14</xdr:row>
      <xdr:rowOff>116541</xdr:rowOff>
    </xdr:to>
    <mc:AlternateContent xmlns:mc="http://schemas.openxmlformats.org/markup-compatibility/2006" xmlns:tsle="http://schemas.microsoft.com/office/drawing/2012/timeslicer">
      <mc:Choice Requires="tsle">
        <xdr:graphicFrame macro="">
          <xdr:nvGraphicFramePr>
            <xdr:cNvPr id="13" name="Date">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11738162" y="1053353"/>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18</xdr:col>
      <xdr:colOff>89647</xdr:colOff>
      <xdr:row>14</xdr:row>
      <xdr:rowOff>145676</xdr:rowOff>
    </xdr:from>
    <xdr:to>
      <xdr:col>22</xdr:col>
      <xdr:colOff>671791</xdr:colOff>
      <xdr:row>48</xdr:row>
      <xdr:rowOff>156881</xdr:rowOff>
    </xdr:to>
    <xdr:graphicFrame macro="">
      <xdr:nvGraphicFramePr>
        <xdr:cNvPr id="14" name="Chart 13">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616326</xdr:colOff>
      <xdr:row>6</xdr:row>
      <xdr:rowOff>0</xdr:rowOff>
    </xdr:from>
    <xdr:to>
      <xdr:col>18</xdr:col>
      <xdr:colOff>100854</xdr:colOff>
      <xdr:row>25</xdr:row>
      <xdr:rowOff>121024</xdr:rowOff>
    </xdr:to>
    <xdr:graphicFrame macro="">
      <xdr:nvGraphicFramePr>
        <xdr:cNvPr id="15" name="Chart 14">
          <a:extLst>
            <a:ext uri="{FF2B5EF4-FFF2-40B4-BE49-F238E27FC236}">
              <a16:creationId xmlns:a16="http://schemas.microsoft.com/office/drawing/2014/main" id="{00000000-0008-0000-0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537883</xdr:colOff>
      <xdr:row>26</xdr:row>
      <xdr:rowOff>22412</xdr:rowOff>
    </xdr:from>
    <xdr:to>
      <xdr:col>18</xdr:col>
      <xdr:colOff>89647</xdr:colOff>
      <xdr:row>48</xdr:row>
      <xdr:rowOff>78442</xdr:rowOff>
    </xdr:to>
    <xdr:graphicFrame macro="">
      <xdr:nvGraphicFramePr>
        <xdr:cNvPr id="16" name="Chart 15">
          <a:extLst>
            <a:ext uri="{FF2B5EF4-FFF2-40B4-BE49-F238E27FC236}">
              <a16:creationId xmlns:a16="http://schemas.microsoft.com/office/drawing/2014/main" id="{00000000-0008-0000-0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638735</xdr:colOff>
      <xdr:row>26</xdr:row>
      <xdr:rowOff>33619</xdr:rowOff>
    </xdr:from>
    <xdr:to>
      <xdr:col>12</xdr:col>
      <xdr:colOff>280147</xdr:colOff>
      <xdr:row>48</xdr:row>
      <xdr:rowOff>145677</xdr:rowOff>
    </xdr:to>
    <xdr:graphicFrame macro="">
      <xdr:nvGraphicFramePr>
        <xdr:cNvPr id="17" name="Chart 16">
          <a:extLst>
            <a:ext uri="{FF2B5EF4-FFF2-40B4-BE49-F238E27FC236}">
              <a16:creationId xmlns:a16="http://schemas.microsoft.com/office/drawing/2014/main"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180975</xdr:colOff>
          <xdr:row>3</xdr:row>
          <xdr:rowOff>114300</xdr:rowOff>
        </xdr:from>
        <xdr:to>
          <xdr:col>1</xdr:col>
          <xdr:colOff>723900</xdr:colOff>
          <xdr:row>4</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742950</xdr:colOff>
          <xdr:row>3</xdr:row>
          <xdr:rowOff>114300</xdr:rowOff>
        </xdr:from>
        <xdr:to>
          <xdr:col>1</xdr:col>
          <xdr:colOff>1476375</xdr:colOff>
          <xdr:row>4</xdr:row>
          <xdr:rowOff>152400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Resize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24847</xdr:colOff>
      <xdr:row>0</xdr:row>
      <xdr:rowOff>49697</xdr:rowOff>
    </xdr:from>
    <xdr:to>
      <xdr:col>6</xdr:col>
      <xdr:colOff>8282</xdr:colOff>
      <xdr:row>8</xdr:row>
      <xdr:rowOff>41414</xdr:rowOff>
    </xdr:to>
    <mc:AlternateContent xmlns:mc="http://schemas.openxmlformats.org/markup-compatibility/2006" xmlns:tsle="http://schemas.microsoft.com/office/drawing/2012/timeslicer">
      <mc:Choice Requires="tsle">
        <xdr:graphicFrame macro="">
          <xdr:nvGraphicFramePr>
            <xdr:cNvPr id="2" name="Month">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2/timeslicer">
              <tsle:timeslicer name="Month"/>
            </a:graphicData>
          </a:graphic>
        </xdr:graphicFrame>
      </mc:Choice>
      <mc:Fallback xmlns="">
        <xdr:sp macro="" textlink="">
          <xdr:nvSpPr>
            <xdr:cNvPr id="0" name=""/>
            <xdr:cNvSpPr>
              <a:spLocks noTextEdit="1"/>
            </xdr:cNvSpPr>
          </xdr:nvSpPr>
          <xdr:spPr>
            <a:xfrm>
              <a:off x="124238" y="1"/>
              <a:ext cx="5922066" cy="136663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mc:AlternateContent xmlns:mc="http://schemas.openxmlformats.org/markup-compatibility/2006">
    <mc:Choice xmlns:a14="http://schemas.microsoft.com/office/drawing/2010/main" Requires="a14">
      <xdr:twoCellAnchor>
        <xdr:from>
          <xdr:col>1</xdr:col>
          <xdr:colOff>0</xdr:colOff>
          <xdr:row>8</xdr:row>
          <xdr:rowOff>95250</xdr:rowOff>
        </xdr:from>
        <xdr:to>
          <xdr:col>1</xdr:col>
          <xdr:colOff>733425</xdr:colOff>
          <xdr:row>9</xdr:row>
          <xdr:rowOff>142875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752475</xdr:colOff>
          <xdr:row>8</xdr:row>
          <xdr:rowOff>95250</xdr:rowOff>
        </xdr:from>
        <xdr:to>
          <xdr:col>2</xdr:col>
          <xdr:colOff>342900</xdr:colOff>
          <xdr:row>9</xdr:row>
          <xdr:rowOff>142875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Resize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160.939367939813" createdVersion="6" refreshedVersion="6" minRefreshableVersion="3" recordCount="164" xr:uid="{A4874D9C-7197-4BAC-B398-26FE4AF875B9}">
  <cacheSource type="worksheet">
    <worksheetSource name="hrm"/>
  </cacheSource>
  <cacheFields count="11">
    <cacheField name="Date" numFmtId="170">
      <sharedItems containsSemiMixedTypes="0" containsNonDate="0" containsDate="1" containsString="0" minDate="2019-01-01T00:00:00" maxDate="2020-12-02T00:00:00" count="24">
        <d v="2019-01-01T00:00:00"/>
        <d v="2019-02-01T00:00:00"/>
        <d v="2019-03-01T00:00:00"/>
        <d v="2019-04-01T00:00:00"/>
        <d v="2019-05-01T00:00:00"/>
        <d v="2019-06-01T00:00:00"/>
        <d v="2019-07-01T00:00:00"/>
        <d v="2019-08-01T00:00:00"/>
        <d v="2019-09-01T00:00:00"/>
        <d v="2019-10-01T00:00:00"/>
        <d v="2019-11-01T00:00:00"/>
        <d v="2019-12-01T00:00:00"/>
        <d v="2020-01-01T00:00:00"/>
        <d v="2020-02-01T00:00:00"/>
        <d v="2020-03-01T00:00:00"/>
        <d v="2020-04-01T00:00:00"/>
        <d v="2020-05-01T00:00:00"/>
        <d v="2020-06-01T00:00:00"/>
        <d v="2020-07-01T00:00:00"/>
        <d v="2020-08-01T00:00:00"/>
        <d v="2020-09-01T00:00:00"/>
        <d v="2020-10-01T00:00:00"/>
        <d v="2020-11-01T00:00:00"/>
        <d v="2020-12-01T00:00:00"/>
      </sharedItems>
      <fieldGroup par="10" base="0">
        <rangePr groupBy="months" startDate="2019-01-01T00:00:00" endDate="2020-12-02T00:00:00"/>
        <groupItems count="14">
          <s v="&lt;01/01/2019"/>
          <s v="Jan"/>
          <s v="Feb"/>
          <s v="Mar"/>
          <s v="Apr"/>
          <s v="May"/>
          <s v="Jun"/>
          <s v="Jul"/>
          <s v="Aug"/>
          <s v="Sep"/>
          <s v="Oct"/>
          <s v="Nov"/>
          <s v="Dec"/>
          <s v="&gt;12/02/2020"/>
        </groupItems>
      </fieldGroup>
    </cacheField>
    <cacheField name="Month" numFmtId="168">
      <sharedItems containsSemiMixedTypes="0" containsNonDate="0" containsDate="1" containsString="0" minDate="2019-01-01T00:00:00" maxDate="2020-12-02T00:00:00" count="24">
        <d v="2019-01-01T00:00:00"/>
        <d v="2019-02-01T00:00:00"/>
        <d v="2019-03-01T00:00:00"/>
        <d v="2019-04-01T00:00:00"/>
        <d v="2019-05-01T00:00:00"/>
        <d v="2019-06-01T00:00:00"/>
        <d v="2019-07-01T00:00:00"/>
        <d v="2019-08-01T00:00:00"/>
        <d v="2019-09-01T00:00:00"/>
        <d v="2019-10-01T00:00:00"/>
        <d v="2019-11-01T00:00:00"/>
        <d v="2019-12-01T00:00:00"/>
        <d v="2020-01-01T00:00:00"/>
        <d v="2020-02-01T00:00:00"/>
        <d v="2020-03-01T00:00:00"/>
        <d v="2020-04-01T00:00:00"/>
        <d v="2020-05-01T00:00:00"/>
        <d v="2020-06-01T00:00:00"/>
        <d v="2020-07-01T00:00:00"/>
        <d v="2020-08-01T00:00:00"/>
        <d v="2020-09-01T00:00:00"/>
        <d v="2020-10-01T00:00:00"/>
        <d v="2020-11-01T00:00:00"/>
        <d v="2020-12-01T00:00:00"/>
      </sharedItems>
    </cacheField>
    <cacheField name="Year" numFmtId="169">
      <sharedItems containsSemiMixedTypes="0" containsNonDate="0" containsDate="1" containsString="0" minDate="2019-01-01T00:00:00" maxDate="2020-12-02T00:00:00"/>
    </cacheField>
    <cacheField name="Employee Name" numFmtId="0">
      <sharedItems count="8">
        <s v="Dennis Henderson"/>
        <s v="Sabrina Nielsen"/>
        <s v="Christina Roach"/>
        <s v="Diana Stuart"/>
        <s v="Steven Lewis"/>
        <s v="John Richardson"/>
        <s v="David Maynard"/>
        <s v="Jamie Newman"/>
      </sharedItems>
    </cacheField>
    <cacheField name="Group" numFmtId="0">
      <sharedItems count="4">
        <s v="Field Force"/>
        <s v="Administrative"/>
        <s v="IT"/>
        <s v="General Management"/>
      </sharedItems>
    </cacheField>
    <cacheField name="Revenue generated by employee" numFmtId="166">
      <sharedItems containsSemiMixedTypes="0" containsString="0" containsNumber="1" containsInteger="1" minValue="0" maxValue="129597"/>
    </cacheField>
    <cacheField name="Base salary" numFmtId="166">
      <sharedItems containsSemiMixedTypes="0" containsString="0" containsNumber="1" minValue="4132.666666666667" maxValue="10388.76923076923"/>
    </cacheField>
    <cacheField name="Bonus accrual" numFmtId="166">
      <sharedItems containsSemiMixedTypes="0" containsString="0" containsNumber="1" minValue="247.96" maxValue="1246.6523076923077"/>
    </cacheField>
    <cacheField name="Comission" numFmtId="166">
      <sharedItems containsSemiMixedTypes="0" containsString="0" containsNumber="1" minValue="0" maxValue="1410.4089999999999"/>
    </cacheField>
    <cacheField name="Total Payroll" numFmtId="166">
      <sharedItems containsSemiMixedTypes="0" containsString="0" containsNumber="1" minValue="4380.626666666667" maxValue="11635.421538461538"/>
    </cacheField>
    <cacheField name="Years" numFmtId="0" databaseField="0">
      <fieldGroup base="0">
        <rangePr groupBy="years" startDate="2019-01-01T00:00:00" endDate="2020-12-02T00:00:00"/>
        <groupItems count="4">
          <s v="&lt;01/01/2019"/>
          <s v="2019"/>
          <s v="2020"/>
          <s v="&gt;12/02/2020"/>
        </groupItems>
      </fieldGroup>
    </cacheField>
  </cacheFields>
  <extLst>
    <ext xmlns:x14="http://schemas.microsoft.com/office/spreadsheetml/2009/9/main" uri="{725AE2AE-9491-48be-B2B4-4EB974FC3084}">
      <x14:pivotCacheDefinition pivotCacheId="39976768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160.939368287036" createdVersion="6" refreshedVersion="6" minRefreshableVersion="3" recordCount="8" xr:uid="{FF6734BD-CBFF-4464-957D-A9897A40B27B}">
  <cacheSource type="worksheet">
    <worksheetSource name="_xlnm.Database"/>
  </cacheSource>
  <cacheFields count="10">
    <cacheField name="Name" numFmtId="0">
      <sharedItems/>
    </cacheField>
    <cacheField name="Employee Group" numFmtId="0">
      <sharedItems count="4">
        <s v="Field Force"/>
        <s v="Administrative"/>
        <s v="IT"/>
        <s v="General Management"/>
      </sharedItems>
    </cacheField>
    <cacheField name="Date of Entry" numFmtId="14">
      <sharedItems containsSemiMixedTypes="0" containsNonDate="0" containsDate="1" containsString="0" minDate="2012-07-01T00:00:00" maxDate="2020-01-02T00:00:00"/>
    </cacheField>
    <cacheField name="Date of Exit (if applicable)" numFmtId="14">
      <sharedItems containsNonDate="0" containsDate="1" containsString="0" containsBlank="1" minDate="2019-12-01T00:00:00" maxDate="2020-03-02T00:00:00"/>
    </cacheField>
    <cacheField name="Number of salary payments" numFmtId="0">
      <sharedItems containsSemiMixedTypes="0" containsString="0" containsNumber="1" containsInteger="1" minValue="12" maxValue="13"/>
    </cacheField>
    <cacheField name="Annual base salary (100% workload)" numFmtId="165">
      <sharedItems containsSemiMixedTypes="0" containsString="0" containsNumber="1" containsInteger="1" minValue="61990" maxValue="135054"/>
    </cacheField>
    <cacheField name="Workload" numFmtId="9">
      <sharedItems containsSemiMixedTypes="0" containsString="0" containsNumber="1" minValue="0.8" maxValue="1" count="2">
        <n v="0.8"/>
        <n v="1"/>
      </sharedItems>
    </cacheField>
    <cacheField name="Monthly gross salary at workload (excl. Commission &amp; bonus)" numFmtId="165">
      <sharedItems containsSemiMixedTypes="0" containsString="0" containsNumber="1" minValue="4132.666666666667" maxValue="10388.76923076923"/>
    </cacheField>
    <cacheField name="Bonus Target" numFmtId="164">
      <sharedItems containsSemiMixedTypes="0" containsString="0" containsNumber="1" minValue="0.06" maxValue="0.12" count="3">
        <n v="0.06"/>
        <n v="0.1"/>
        <n v="0.12"/>
      </sharedItems>
    </cacheField>
    <cacheField name="Sales Commission (if applicable)" numFmtId="164">
      <sharedItems containsSemiMixedTypes="0" containsString="0" containsNumber="1" minValue="0" maxValue="1.0999999999999999E-2"/>
    </cacheField>
  </cacheFields>
  <extLst>
    <ext xmlns:x14="http://schemas.microsoft.com/office/spreadsheetml/2009/9/main" uri="{725AE2AE-9491-48be-B2B4-4EB974FC3084}">
      <x14:pivotCacheDefinition pivotCacheId="62014006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4">
  <r>
    <x v="0"/>
    <x v="0"/>
    <d v="2019-01-01T00:00:00"/>
    <x v="0"/>
    <x v="0"/>
    <n v="101306"/>
    <n v="6139.1333333333341"/>
    <n v="368.34800000000001"/>
    <n v="810.44799999999998"/>
    <n v="7317.9293333333344"/>
  </r>
  <r>
    <x v="0"/>
    <x v="0"/>
    <d v="2019-01-01T00:00:00"/>
    <x v="1"/>
    <x v="0"/>
    <n v="124872"/>
    <n v="5232.916666666667"/>
    <n v="313.97500000000002"/>
    <n v="1248.72"/>
    <n v="6795.6116666666676"/>
  </r>
  <r>
    <x v="0"/>
    <x v="0"/>
    <d v="2019-01-01T00:00:00"/>
    <x v="2"/>
    <x v="1"/>
    <n v="0"/>
    <n v="6207.5"/>
    <n v="620.75"/>
    <n v="0"/>
    <n v="6828.25"/>
  </r>
  <r>
    <x v="0"/>
    <x v="0"/>
    <d v="2019-01-01T00:00:00"/>
    <x v="3"/>
    <x v="0"/>
    <n v="0"/>
    <n v="4132.666666666667"/>
    <n v="247.96"/>
    <n v="0"/>
    <n v="4380.626666666667"/>
  </r>
  <r>
    <x v="0"/>
    <x v="0"/>
    <d v="2019-01-01T00:00:00"/>
    <x v="4"/>
    <x v="2"/>
    <n v="0"/>
    <n v="6109.166666666667"/>
    <n v="610.91666666666674"/>
    <n v="0"/>
    <n v="6720.0833333333339"/>
  </r>
  <r>
    <x v="0"/>
    <x v="0"/>
    <d v="2019-01-01T00:00:00"/>
    <x v="5"/>
    <x v="3"/>
    <n v="0"/>
    <n v="10388.76923076923"/>
    <n v="1246.6523076923077"/>
    <n v="0"/>
    <n v="11635.421538461538"/>
  </r>
  <r>
    <x v="0"/>
    <x v="0"/>
    <d v="2019-01-01T00:00:00"/>
    <x v="6"/>
    <x v="1"/>
    <n v="0"/>
    <n v="4230"/>
    <n v="423"/>
    <n v="0"/>
    <n v="4653"/>
  </r>
  <r>
    <x v="1"/>
    <x v="1"/>
    <d v="2019-02-01T00:00:00"/>
    <x v="0"/>
    <x v="0"/>
    <n v="97104"/>
    <n v="6139.1333333333341"/>
    <n v="368.34800000000001"/>
    <n v="776.83199999999999"/>
    <n v="7284.3133333333344"/>
  </r>
  <r>
    <x v="1"/>
    <x v="1"/>
    <d v="2019-02-01T00:00:00"/>
    <x v="1"/>
    <x v="0"/>
    <n v="77753"/>
    <n v="5232.916666666667"/>
    <n v="313.97500000000002"/>
    <n v="777.53"/>
    <n v="6324.4216666666671"/>
  </r>
  <r>
    <x v="1"/>
    <x v="1"/>
    <d v="2019-02-01T00:00:00"/>
    <x v="2"/>
    <x v="1"/>
    <n v="0"/>
    <n v="6207.5"/>
    <n v="620.75"/>
    <n v="0"/>
    <n v="6828.25"/>
  </r>
  <r>
    <x v="1"/>
    <x v="1"/>
    <d v="2019-02-01T00:00:00"/>
    <x v="3"/>
    <x v="0"/>
    <n v="0"/>
    <n v="4132.666666666667"/>
    <n v="247.96"/>
    <n v="0"/>
    <n v="4380.626666666667"/>
  </r>
  <r>
    <x v="1"/>
    <x v="1"/>
    <d v="2019-02-01T00:00:00"/>
    <x v="4"/>
    <x v="2"/>
    <n v="0"/>
    <n v="6109.166666666667"/>
    <n v="610.91666666666674"/>
    <n v="0"/>
    <n v="6720.0833333333339"/>
  </r>
  <r>
    <x v="1"/>
    <x v="1"/>
    <d v="2019-02-01T00:00:00"/>
    <x v="5"/>
    <x v="3"/>
    <n v="0"/>
    <n v="10388.76923076923"/>
    <n v="1246.6523076923077"/>
    <n v="0"/>
    <n v="11635.421538461538"/>
  </r>
  <r>
    <x v="1"/>
    <x v="1"/>
    <d v="2019-02-01T00:00:00"/>
    <x v="6"/>
    <x v="1"/>
    <n v="0"/>
    <n v="4230"/>
    <n v="423"/>
    <n v="0"/>
    <n v="4653"/>
  </r>
  <r>
    <x v="2"/>
    <x v="2"/>
    <d v="2019-03-01T00:00:00"/>
    <x v="0"/>
    <x v="0"/>
    <n v="117041"/>
    <n v="6139.1333333333341"/>
    <n v="368.34800000000001"/>
    <n v="936.32799999999997"/>
    <n v="7443.8093333333345"/>
  </r>
  <r>
    <x v="2"/>
    <x v="2"/>
    <d v="2019-03-01T00:00:00"/>
    <x v="1"/>
    <x v="0"/>
    <n v="123516"/>
    <n v="5232.916666666667"/>
    <n v="313.97500000000002"/>
    <n v="1235.1600000000001"/>
    <n v="6782.0516666666672"/>
  </r>
  <r>
    <x v="2"/>
    <x v="2"/>
    <d v="2019-03-01T00:00:00"/>
    <x v="2"/>
    <x v="1"/>
    <n v="0"/>
    <n v="6207.5"/>
    <n v="620.75"/>
    <n v="0"/>
    <n v="6828.25"/>
  </r>
  <r>
    <x v="2"/>
    <x v="2"/>
    <d v="2019-03-01T00:00:00"/>
    <x v="3"/>
    <x v="0"/>
    <n v="0"/>
    <n v="4132.666666666667"/>
    <n v="247.96"/>
    <n v="0"/>
    <n v="4380.626666666667"/>
  </r>
  <r>
    <x v="2"/>
    <x v="2"/>
    <d v="2019-03-01T00:00:00"/>
    <x v="4"/>
    <x v="2"/>
    <n v="0"/>
    <n v="6109.166666666667"/>
    <n v="610.91666666666674"/>
    <n v="0"/>
    <n v="6720.0833333333339"/>
  </r>
  <r>
    <x v="2"/>
    <x v="2"/>
    <d v="2019-03-01T00:00:00"/>
    <x v="5"/>
    <x v="3"/>
    <n v="0"/>
    <n v="10388.76923076923"/>
    <n v="1246.6523076923077"/>
    <n v="0"/>
    <n v="11635.421538461538"/>
  </r>
  <r>
    <x v="2"/>
    <x v="2"/>
    <d v="2019-03-01T00:00:00"/>
    <x v="6"/>
    <x v="1"/>
    <n v="0"/>
    <n v="4230"/>
    <n v="423"/>
    <n v="0"/>
    <n v="4653"/>
  </r>
  <r>
    <x v="3"/>
    <x v="3"/>
    <d v="2019-04-01T00:00:00"/>
    <x v="0"/>
    <x v="0"/>
    <n v="109258"/>
    <n v="6139.1333333333341"/>
    <n v="368.34800000000001"/>
    <n v="874.06399999999996"/>
    <n v="7381.5453333333344"/>
  </r>
  <r>
    <x v="3"/>
    <x v="3"/>
    <d v="2019-04-01T00:00:00"/>
    <x v="1"/>
    <x v="0"/>
    <n v="105252"/>
    <n v="5232.916666666667"/>
    <n v="313.97500000000002"/>
    <n v="1052.52"/>
    <n v="6599.4116666666669"/>
  </r>
  <r>
    <x v="3"/>
    <x v="3"/>
    <d v="2019-04-01T00:00:00"/>
    <x v="2"/>
    <x v="1"/>
    <n v="0"/>
    <n v="6207.5"/>
    <n v="620.75"/>
    <n v="0"/>
    <n v="6828.25"/>
  </r>
  <r>
    <x v="3"/>
    <x v="3"/>
    <d v="2019-04-01T00:00:00"/>
    <x v="3"/>
    <x v="0"/>
    <n v="0"/>
    <n v="4132.666666666667"/>
    <n v="247.96"/>
    <n v="0"/>
    <n v="4380.626666666667"/>
  </r>
  <r>
    <x v="3"/>
    <x v="3"/>
    <d v="2019-04-01T00:00:00"/>
    <x v="4"/>
    <x v="2"/>
    <n v="0"/>
    <n v="6109.166666666667"/>
    <n v="610.91666666666674"/>
    <n v="0"/>
    <n v="6720.0833333333339"/>
  </r>
  <r>
    <x v="3"/>
    <x v="3"/>
    <d v="2019-04-01T00:00:00"/>
    <x v="5"/>
    <x v="3"/>
    <n v="0"/>
    <n v="10388.76923076923"/>
    <n v="1246.6523076923077"/>
    <n v="0"/>
    <n v="11635.421538461538"/>
  </r>
  <r>
    <x v="3"/>
    <x v="3"/>
    <d v="2019-04-01T00:00:00"/>
    <x v="6"/>
    <x v="1"/>
    <n v="0"/>
    <n v="4230"/>
    <n v="423"/>
    <n v="0"/>
    <n v="4653"/>
  </r>
  <r>
    <x v="4"/>
    <x v="4"/>
    <d v="2019-05-01T00:00:00"/>
    <x v="0"/>
    <x v="0"/>
    <n v="92000"/>
    <n v="6139.1333333333341"/>
    <n v="368.34800000000001"/>
    <n v="736"/>
    <n v="7243.4813333333341"/>
  </r>
  <r>
    <x v="4"/>
    <x v="4"/>
    <d v="2019-05-01T00:00:00"/>
    <x v="1"/>
    <x v="0"/>
    <n v="76507"/>
    <n v="5232.916666666667"/>
    <n v="313.97500000000002"/>
    <n v="765.07"/>
    <n v="6311.961666666667"/>
  </r>
  <r>
    <x v="4"/>
    <x v="4"/>
    <d v="2019-05-01T00:00:00"/>
    <x v="2"/>
    <x v="1"/>
    <n v="0"/>
    <n v="6207.5"/>
    <n v="620.75"/>
    <n v="0"/>
    <n v="6828.25"/>
  </r>
  <r>
    <x v="4"/>
    <x v="4"/>
    <d v="2019-05-01T00:00:00"/>
    <x v="3"/>
    <x v="0"/>
    <n v="0"/>
    <n v="4132.666666666667"/>
    <n v="247.96"/>
    <n v="0"/>
    <n v="4380.626666666667"/>
  </r>
  <r>
    <x v="4"/>
    <x v="4"/>
    <d v="2019-05-01T00:00:00"/>
    <x v="4"/>
    <x v="2"/>
    <n v="0"/>
    <n v="6109.166666666667"/>
    <n v="610.91666666666674"/>
    <n v="0"/>
    <n v="6720.0833333333339"/>
  </r>
  <r>
    <x v="4"/>
    <x v="4"/>
    <d v="2019-05-01T00:00:00"/>
    <x v="5"/>
    <x v="3"/>
    <n v="0"/>
    <n v="10388.76923076923"/>
    <n v="1246.6523076923077"/>
    <n v="0"/>
    <n v="11635.421538461538"/>
  </r>
  <r>
    <x v="4"/>
    <x v="4"/>
    <d v="2019-05-01T00:00:00"/>
    <x v="6"/>
    <x v="1"/>
    <n v="0"/>
    <n v="4230"/>
    <n v="423"/>
    <n v="0"/>
    <n v="4653"/>
  </r>
  <r>
    <x v="5"/>
    <x v="5"/>
    <d v="2019-06-01T00:00:00"/>
    <x v="0"/>
    <x v="0"/>
    <n v="123613"/>
    <n v="6139.1333333333341"/>
    <n v="368.34800000000001"/>
    <n v="988.904"/>
    <n v="7496.3853333333336"/>
  </r>
  <r>
    <x v="5"/>
    <x v="5"/>
    <d v="2019-06-01T00:00:00"/>
    <x v="1"/>
    <x v="0"/>
    <n v="106363"/>
    <n v="5232.916666666667"/>
    <n v="313.97500000000002"/>
    <n v="1063.6300000000001"/>
    <n v="6610.5216666666674"/>
  </r>
  <r>
    <x v="5"/>
    <x v="5"/>
    <d v="2019-06-01T00:00:00"/>
    <x v="2"/>
    <x v="1"/>
    <n v="0"/>
    <n v="6207.5"/>
    <n v="620.75"/>
    <n v="0"/>
    <n v="6828.25"/>
  </r>
  <r>
    <x v="5"/>
    <x v="5"/>
    <d v="2019-06-01T00:00:00"/>
    <x v="7"/>
    <x v="0"/>
    <n v="0"/>
    <n v="6858.083333333333"/>
    <n v="411.48499999999996"/>
    <n v="0"/>
    <n v="7269.5683333333327"/>
  </r>
  <r>
    <x v="5"/>
    <x v="5"/>
    <d v="2019-06-01T00:00:00"/>
    <x v="3"/>
    <x v="0"/>
    <n v="0"/>
    <n v="4132.666666666667"/>
    <n v="247.96"/>
    <n v="0"/>
    <n v="4380.626666666667"/>
  </r>
  <r>
    <x v="5"/>
    <x v="5"/>
    <d v="2019-06-01T00:00:00"/>
    <x v="4"/>
    <x v="2"/>
    <n v="0"/>
    <n v="6109.166666666667"/>
    <n v="610.91666666666674"/>
    <n v="0"/>
    <n v="6720.0833333333339"/>
  </r>
  <r>
    <x v="5"/>
    <x v="5"/>
    <d v="2019-06-01T00:00:00"/>
    <x v="5"/>
    <x v="3"/>
    <n v="0"/>
    <n v="10388.76923076923"/>
    <n v="1246.6523076923077"/>
    <n v="0"/>
    <n v="11635.421538461538"/>
  </r>
  <r>
    <x v="5"/>
    <x v="5"/>
    <d v="2019-06-01T00:00:00"/>
    <x v="6"/>
    <x v="1"/>
    <n v="0"/>
    <n v="4230"/>
    <n v="423"/>
    <n v="0"/>
    <n v="4653"/>
  </r>
  <r>
    <x v="6"/>
    <x v="6"/>
    <d v="2019-07-01T00:00:00"/>
    <x v="0"/>
    <x v="0"/>
    <n v="84015"/>
    <n v="6139.1333333333341"/>
    <n v="368.34800000000001"/>
    <n v="672.12"/>
    <n v="7179.601333333334"/>
  </r>
  <r>
    <x v="6"/>
    <x v="6"/>
    <d v="2019-07-01T00:00:00"/>
    <x v="1"/>
    <x v="0"/>
    <n v="117475"/>
    <n v="5232.916666666667"/>
    <n v="313.97500000000002"/>
    <n v="1174.75"/>
    <n v="6721.6416666666673"/>
  </r>
  <r>
    <x v="6"/>
    <x v="6"/>
    <d v="2019-07-01T00:00:00"/>
    <x v="2"/>
    <x v="1"/>
    <n v="0"/>
    <n v="6207.5"/>
    <n v="620.75"/>
    <n v="0"/>
    <n v="6828.25"/>
  </r>
  <r>
    <x v="6"/>
    <x v="6"/>
    <d v="2019-07-01T00:00:00"/>
    <x v="7"/>
    <x v="0"/>
    <n v="109073"/>
    <n v="6858.083333333333"/>
    <n v="411.48499999999996"/>
    <n v="1090.73"/>
    <n v="8360.2983333333323"/>
  </r>
  <r>
    <x v="6"/>
    <x v="6"/>
    <d v="2019-07-01T00:00:00"/>
    <x v="3"/>
    <x v="0"/>
    <n v="0"/>
    <n v="4132.666666666667"/>
    <n v="247.96"/>
    <n v="0"/>
    <n v="4380.626666666667"/>
  </r>
  <r>
    <x v="6"/>
    <x v="6"/>
    <d v="2019-07-01T00:00:00"/>
    <x v="4"/>
    <x v="2"/>
    <n v="0"/>
    <n v="6109.166666666667"/>
    <n v="610.91666666666674"/>
    <n v="0"/>
    <n v="6720.0833333333339"/>
  </r>
  <r>
    <x v="6"/>
    <x v="6"/>
    <d v="2019-07-01T00:00:00"/>
    <x v="5"/>
    <x v="3"/>
    <n v="0"/>
    <n v="10388.76923076923"/>
    <n v="1246.6523076923077"/>
    <n v="0"/>
    <n v="11635.421538461538"/>
  </r>
  <r>
    <x v="6"/>
    <x v="6"/>
    <d v="2019-07-01T00:00:00"/>
    <x v="6"/>
    <x v="1"/>
    <n v="0"/>
    <n v="4230"/>
    <n v="423"/>
    <n v="0"/>
    <n v="4653"/>
  </r>
  <r>
    <x v="7"/>
    <x v="7"/>
    <d v="2019-08-01T00:00:00"/>
    <x v="0"/>
    <x v="0"/>
    <n v="122193"/>
    <n v="6139.1333333333341"/>
    <n v="368.34800000000001"/>
    <n v="977.54399999999998"/>
    <n v="7485.0253333333339"/>
  </r>
  <r>
    <x v="7"/>
    <x v="7"/>
    <d v="2019-08-01T00:00:00"/>
    <x v="1"/>
    <x v="0"/>
    <n v="100685"/>
    <n v="5232.916666666667"/>
    <n v="313.97500000000002"/>
    <n v="1006.85"/>
    <n v="6553.7416666666677"/>
  </r>
  <r>
    <x v="7"/>
    <x v="7"/>
    <d v="2019-08-01T00:00:00"/>
    <x v="2"/>
    <x v="1"/>
    <n v="0"/>
    <n v="6207.5"/>
    <n v="620.75"/>
    <n v="0"/>
    <n v="6828.25"/>
  </r>
  <r>
    <x v="7"/>
    <x v="7"/>
    <d v="2019-08-01T00:00:00"/>
    <x v="7"/>
    <x v="0"/>
    <n v="93376"/>
    <n v="6858.083333333333"/>
    <n v="411.48499999999996"/>
    <n v="933.76"/>
    <n v="8203.3283333333329"/>
  </r>
  <r>
    <x v="7"/>
    <x v="7"/>
    <d v="2019-08-01T00:00:00"/>
    <x v="3"/>
    <x v="0"/>
    <n v="0"/>
    <n v="4132.666666666667"/>
    <n v="247.96"/>
    <n v="0"/>
    <n v="4380.626666666667"/>
  </r>
  <r>
    <x v="7"/>
    <x v="7"/>
    <d v="2019-08-01T00:00:00"/>
    <x v="4"/>
    <x v="2"/>
    <n v="0"/>
    <n v="6109.166666666667"/>
    <n v="610.91666666666674"/>
    <n v="0"/>
    <n v="6720.0833333333339"/>
  </r>
  <r>
    <x v="7"/>
    <x v="7"/>
    <d v="2019-08-01T00:00:00"/>
    <x v="5"/>
    <x v="3"/>
    <n v="0"/>
    <n v="10388.76923076923"/>
    <n v="1246.6523076923077"/>
    <n v="0"/>
    <n v="11635.421538461538"/>
  </r>
  <r>
    <x v="7"/>
    <x v="7"/>
    <d v="2019-08-01T00:00:00"/>
    <x v="6"/>
    <x v="1"/>
    <n v="0"/>
    <n v="4230"/>
    <n v="423"/>
    <n v="0"/>
    <n v="4653"/>
  </r>
  <r>
    <x v="8"/>
    <x v="8"/>
    <d v="2019-09-01T00:00:00"/>
    <x v="0"/>
    <x v="0"/>
    <n v="105490"/>
    <n v="6139.1333333333341"/>
    <n v="368.34800000000001"/>
    <n v="843.92000000000007"/>
    <n v="7351.4013333333342"/>
  </r>
  <r>
    <x v="8"/>
    <x v="8"/>
    <d v="2019-09-01T00:00:00"/>
    <x v="1"/>
    <x v="0"/>
    <n v="124771"/>
    <n v="5232.916666666667"/>
    <n v="313.97500000000002"/>
    <n v="1247.71"/>
    <n v="6794.6016666666674"/>
  </r>
  <r>
    <x v="8"/>
    <x v="8"/>
    <d v="2019-09-01T00:00:00"/>
    <x v="2"/>
    <x v="1"/>
    <n v="0"/>
    <n v="6207.5"/>
    <n v="620.75"/>
    <n v="0"/>
    <n v="6828.25"/>
  </r>
  <r>
    <x v="8"/>
    <x v="8"/>
    <d v="2019-09-01T00:00:00"/>
    <x v="7"/>
    <x v="0"/>
    <n v="71790"/>
    <n v="6858.083333333333"/>
    <n v="411.48499999999996"/>
    <n v="717.9"/>
    <n v="7987.4683333333323"/>
  </r>
  <r>
    <x v="8"/>
    <x v="8"/>
    <d v="2019-09-01T00:00:00"/>
    <x v="3"/>
    <x v="0"/>
    <n v="0"/>
    <n v="4132.666666666667"/>
    <n v="247.96"/>
    <n v="0"/>
    <n v="4380.626666666667"/>
  </r>
  <r>
    <x v="8"/>
    <x v="8"/>
    <d v="2019-09-01T00:00:00"/>
    <x v="4"/>
    <x v="2"/>
    <n v="0"/>
    <n v="6109.166666666667"/>
    <n v="610.91666666666674"/>
    <n v="0"/>
    <n v="6720.0833333333339"/>
  </r>
  <r>
    <x v="8"/>
    <x v="8"/>
    <d v="2019-09-01T00:00:00"/>
    <x v="5"/>
    <x v="3"/>
    <n v="0"/>
    <n v="10388.76923076923"/>
    <n v="1246.6523076923077"/>
    <n v="0"/>
    <n v="11635.421538461538"/>
  </r>
  <r>
    <x v="8"/>
    <x v="8"/>
    <d v="2019-09-01T00:00:00"/>
    <x v="6"/>
    <x v="1"/>
    <n v="0"/>
    <n v="4230"/>
    <n v="423"/>
    <n v="0"/>
    <n v="4653"/>
  </r>
  <r>
    <x v="9"/>
    <x v="9"/>
    <d v="2019-10-01T00:00:00"/>
    <x v="0"/>
    <x v="0"/>
    <n v="71476"/>
    <n v="6139.1333333333341"/>
    <n v="368.34800000000001"/>
    <n v="571.80799999999999"/>
    <n v="7079.2893333333341"/>
  </r>
  <r>
    <x v="9"/>
    <x v="9"/>
    <d v="2019-10-01T00:00:00"/>
    <x v="1"/>
    <x v="0"/>
    <n v="85955"/>
    <n v="5232.916666666667"/>
    <n v="313.97500000000002"/>
    <n v="859.55000000000007"/>
    <n v="6406.4416666666675"/>
  </r>
  <r>
    <x v="9"/>
    <x v="9"/>
    <d v="2019-10-01T00:00:00"/>
    <x v="2"/>
    <x v="1"/>
    <n v="0"/>
    <n v="6207.5"/>
    <n v="620.75"/>
    <n v="0"/>
    <n v="6828.25"/>
  </r>
  <r>
    <x v="9"/>
    <x v="9"/>
    <d v="2019-10-01T00:00:00"/>
    <x v="7"/>
    <x v="0"/>
    <n v="104150"/>
    <n v="6858.083333333333"/>
    <n v="411.48499999999996"/>
    <n v="1041.5"/>
    <n v="8311.0683333333327"/>
  </r>
  <r>
    <x v="9"/>
    <x v="9"/>
    <d v="2019-10-01T00:00:00"/>
    <x v="3"/>
    <x v="0"/>
    <n v="0"/>
    <n v="4132.666666666667"/>
    <n v="247.96"/>
    <n v="0"/>
    <n v="4380.626666666667"/>
  </r>
  <r>
    <x v="9"/>
    <x v="9"/>
    <d v="2019-10-01T00:00:00"/>
    <x v="4"/>
    <x v="2"/>
    <n v="0"/>
    <n v="6109.166666666667"/>
    <n v="610.91666666666674"/>
    <n v="0"/>
    <n v="6720.0833333333339"/>
  </r>
  <r>
    <x v="9"/>
    <x v="9"/>
    <d v="2019-10-01T00:00:00"/>
    <x v="5"/>
    <x v="3"/>
    <n v="0"/>
    <n v="10388.76923076923"/>
    <n v="1246.6523076923077"/>
    <n v="0"/>
    <n v="11635.421538461538"/>
  </r>
  <r>
    <x v="9"/>
    <x v="9"/>
    <d v="2019-10-01T00:00:00"/>
    <x v="6"/>
    <x v="1"/>
    <n v="0"/>
    <n v="4230"/>
    <n v="423"/>
    <n v="0"/>
    <n v="4653"/>
  </r>
  <r>
    <x v="10"/>
    <x v="10"/>
    <d v="2019-11-01T00:00:00"/>
    <x v="0"/>
    <x v="0"/>
    <n v="129597"/>
    <n v="6139.1333333333341"/>
    <n v="368.34800000000001"/>
    <n v="1036.7760000000001"/>
    <n v="7544.2573333333339"/>
  </r>
  <r>
    <x v="10"/>
    <x v="10"/>
    <d v="2019-11-01T00:00:00"/>
    <x v="1"/>
    <x v="0"/>
    <n v="129366"/>
    <n v="5232.916666666667"/>
    <n v="313.97500000000002"/>
    <n v="1293.6600000000001"/>
    <n v="6840.5516666666672"/>
  </r>
  <r>
    <x v="10"/>
    <x v="10"/>
    <d v="2019-11-01T00:00:00"/>
    <x v="2"/>
    <x v="1"/>
    <n v="0"/>
    <n v="6207.5"/>
    <n v="620.75"/>
    <n v="0"/>
    <n v="6828.25"/>
  </r>
  <r>
    <x v="10"/>
    <x v="10"/>
    <d v="2019-11-01T00:00:00"/>
    <x v="7"/>
    <x v="0"/>
    <n v="111360"/>
    <n v="6858.083333333333"/>
    <n v="411.48499999999996"/>
    <n v="1113.6000000000001"/>
    <n v="8383.1683333333331"/>
  </r>
  <r>
    <x v="10"/>
    <x v="10"/>
    <d v="2019-11-01T00:00:00"/>
    <x v="3"/>
    <x v="0"/>
    <n v="0"/>
    <n v="4132.666666666667"/>
    <n v="247.96"/>
    <n v="0"/>
    <n v="4380.626666666667"/>
  </r>
  <r>
    <x v="10"/>
    <x v="10"/>
    <d v="2019-11-01T00:00:00"/>
    <x v="4"/>
    <x v="2"/>
    <n v="0"/>
    <n v="6109.166666666667"/>
    <n v="610.91666666666674"/>
    <n v="0"/>
    <n v="6720.0833333333339"/>
  </r>
  <r>
    <x v="10"/>
    <x v="10"/>
    <d v="2019-11-01T00:00:00"/>
    <x v="5"/>
    <x v="3"/>
    <n v="0"/>
    <n v="10388.76923076923"/>
    <n v="1246.6523076923077"/>
    <n v="0"/>
    <n v="11635.421538461538"/>
  </r>
  <r>
    <x v="10"/>
    <x v="10"/>
    <d v="2019-11-01T00:00:00"/>
    <x v="6"/>
    <x v="1"/>
    <n v="0"/>
    <n v="4230"/>
    <n v="423"/>
    <n v="0"/>
    <n v="4653"/>
  </r>
  <r>
    <x v="11"/>
    <x v="11"/>
    <d v="2019-12-01T00:00:00"/>
    <x v="0"/>
    <x v="0"/>
    <n v="114371"/>
    <n v="6139.1333333333341"/>
    <n v="368.34800000000001"/>
    <n v="914.96800000000007"/>
    <n v="7422.4493333333339"/>
  </r>
  <r>
    <x v="11"/>
    <x v="11"/>
    <d v="2019-12-01T00:00:00"/>
    <x v="1"/>
    <x v="0"/>
    <n v="122224"/>
    <n v="5232.916666666667"/>
    <n v="313.97500000000002"/>
    <n v="1222.24"/>
    <n v="6769.1316666666671"/>
  </r>
  <r>
    <x v="11"/>
    <x v="11"/>
    <d v="2019-12-01T00:00:00"/>
    <x v="7"/>
    <x v="0"/>
    <n v="79437"/>
    <n v="6858.083333333333"/>
    <n v="411.48499999999996"/>
    <n v="794.37"/>
    <n v="8063.9383333333326"/>
  </r>
  <r>
    <x v="11"/>
    <x v="11"/>
    <d v="2019-12-01T00:00:00"/>
    <x v="3"/>
    <x v="0"/>
    <n v="0"/>
    <n v="4132.666666666667"/>
    <n v="247.96"/>
    <n v="0"/>
    <n v="4380.626666666667"/>
  </r>
  <r>
    <x v="11"/>
    <x v="11"/>
    <d v="2019-12-01T00:00:00"/>
    <x v="4"/>
    <x v="2"/>
    <n v="0"/>
    <n v="6109.166666666667"/>
    <n v="610.91666666666674"/>
    <n v="0"/>
    <n v="6720.0833333333339"/>
  </r>
  <r>
    <x v="11"/>
    <x v="11"/>
    <d v="2019-12-01T00:00:00"/>
    <x v="5"/>
    <x v="3"/>
    <n v="0"/>
    <n v="10388.76923076923"/>
    <n v="1246.6523076923077"/>
    <n v="0"/>
    <n v="11635.421538461538"/>
  </r>
  <r>
    <x v="11"/>
    <x v="11"/>
    <d v="2019-12-01T00:00:00"/>
    <x v="6"/>
    <x v="1"/>
    <n v="0"/>
    <n v="4230"/>
    <n v="423"/>
    <n v="0"/>
    <n v="4653"/>
  </r>
  <r>
    <x v="12"/>
    <x v="12"/>
    <d v="2020-01-01T00:00:00"/>
    <x v="0"/>
    <x v="0"/>
    <n v="81336"/>
    <n v="6139.1333333333341"/>
    <n v="368.34800000000001"/>
    <n v="650.68799999999999"/>
    <n v="7158.1693333333342"/>
  </r>
  <r>
    <x v="12"/>
    <x v="12"/>
    <d v="2020-01-01T00:00:00"/>
    <x v="1"/>
    <x v="0"/>
    <n v="107847"/>
    <n v="5232.916666666667"/>
    <n v="313.97500000000002"/>
    <n v="1078.47"/>
    <n v="6625.3616666666676"/>
  </r>
  <r>
    <x v="12"/>
    <x v="12"/>
    <d v="2020-01-01T00:00:00"/>
    <x v="7"/>
    <x v="0"/>
    <n v="86355"/>
    <n v="6858.083333333333"/>
    <n v="411.48499999999996"/>
    <n v="863.55000000000007"/>
    <n v="8133.1183333333329"/>
  </r>
  <r>
    <x v="12"/>
    <x v="12"/>
    <d v="2020-01-01T00:00:00"/>
    <x v="3"/>
    <x v="0"/>
    <n v="106579"/>
    <n v="4132.666666666667"/>
    <n v="247.96"/>
    <n v="1172.3689999999999"/>
    <n v="5552.9956666666667"/>
  </r>
  <r>
    <x v="12"/>
    <x v="12"/>
    <d v="2020-01-01T00:00:00"/>
    <x v="4"/>
    <x v="2"/>
    <n v="0"/>
    <n v="6109.166666666667"/>
    <n v="610.91666666666674"/>
    <n v="0"/>
    <n v="6720.0833333333339"/>
  </r>
  <r>
    <x v="12"/>
    <x v="12"/>
    <d v="2020-01-01T00:00:00"/>
    <x v="5"/>
    <x v="3"/>
    <n v="0"/>
    <n v="10388.76923076923"/>
    <n v="1246.6523076923077"/>
    <n v="0"/>
    <n v="11635.421538461538"/>
  </r>
  <r>
    <x v="12"/>
    <x v="12"/>
    <d v="2020-01-01T00:00:00"/>
    <x v="6"/>
    <x v="1"/>
    <n v="0"/>
    <n v="4230"/>
    <n v="423"/>
    <n v="0"/>
    <n v="4653"/>
  </r>
  <r>
    <x v="13"/>
    <x v="13"/>
    <d v="2020-02-01T00:00:00"/>
    <x v="0"/>
    <x v="0"/>
    <n v="98421"/>
    <n v="6139.1333333333341"/>
    <n v="368.34800000000001"/>
    <n v="787.36800000000005"/>
    <n v="7294.8493333333345"/>
  </r>
  <r>
    <x v="13"/>
    <x v="13"/>
    <d v="2020-02-01T00:00:00"/>
    <x v="1"/>
    <x v="0"/>
    <n v="78654"/>
    <n v="5232.916666666667"/>
    <n v="313.97500000000002"/>
    <n v="786.54"/>
    <n v="6333.4316666666673"/>
  </r>
  <r>
    <x v="13"/>
    <x v="13"/>
    <d v="2020-02-01T00:00:00"/>
    <x v="7"/>
    <x v="0"/>
    <n v="95291"/>
    <n v="6858.083333333333"/>
    <n v="411.48499999999996"/>
    <n v="952.91"/>
    <n v="8222.4783333333326"/>
  </r>
  <r>
    <x v="13"/>
    <x v="13"/>
    <d v="2020-02-01T00:00:00"/>
    <x v="3"/>
    <x v="0"/>
    <n v="115969"/>
    <n v="4132.666666666667"/>
    <n v="247.96"/>
    <n v="1275.6589999999999"/>
    <n v="5656.2856666666667"/>
  </r>
  <r>
    <x v="13"/>
    <x v="13"/>
    <d v="2020-02-01T00:00:00"/>
    <x v="4"/>
    <x v="2"/>
    <n v="0"/>
    <n v="6109.166666666667"/>
    <n v="610.91666666666674"/>
    <n v="0"/>
    <n v="6720.0833333333339"/>
  </r>
  <r>
    <x v="13"/>
    <x v="13"/>
    <d v="2020-02-01T00:00:00"/>
    <x v="5"/>
    <x v="3"/>
    <n v="0"/>
    <n v="10388.76923076923"/>
    <n v="1246.6523076923077"/>
    <n v="0"/>
    <n v="11635.421538461538"/>
  </r>
  <r>
    <x v="13"/>
    <x v="13"/>
    <d v="2020-02-01T00:00:00"/>
    <x v="6"/>
    <x v="1"/>
    <n v="0"/>
    <n v="4230"/>
    <n v="423"/>
    <n v="0"/>
    <n v="4653"/>
  </r>
  <r>
    <x v="14"/>
    <x v="14"/>
    <d v="2020-03-01T00:00:00"/>
    <x v="0"/>
    <x v="0"/>
    <n v="124473"/>
    <n v="6139.1333333333341"/>
    <n v="368.34800000000001"/>
    <n v="995.78399999999999"/>
    <n v="7503.2653333333337"/>
  </r>
  <r>
    <x v="14"/>
    <x v="14"/>
    <d v="2020-03-01T00:00:00"/>
    <x v="1"/>
    <x v="0"/>
    <n v="120815"/>
    <n v="5232.916666666667"/>
    <n v="313.97500000000002"/>
    <n v="1208.1500000000001"/>
    <n v="6755.0416666666679"/>
  </r>
  <r>
    <x v="14"/>
    <x v="14"/>
    <d v="2020-03-01T00:00:00"/>
    <x v="7"/>
    <x v="0"/>
    <n v="81856"/>
    <n v="6858.083333333333"/>
    <n v="411.48499999999996"/>
    <n v="818.56000000000006"/>
    <n v="8088.1283333333331"/>
  </r>
  <r>
    <x v="14"/>
    <x v="14"/>
    <d v="2020-03-01T00:00:00"/>
    <x v="3"/>
    <x v="0"/>
    <n v="118738"/>
    <n v="4132.666666666667"/>
    <n v="247.96"/>
    <n v="1306.1179999999999"/>
    <n v="5686.7446666666674"/>
  </r>
  <r>
    <x v="14"/>
    <x v="14"/>
    <d v="2020-03-01T00:00:00"/>
    <x v="4"/>
    <x v="2"/>
    <n v="0"/>
    <n v="6109.166666666667"/>
    <n v="610.91666666666674"/>
    <n v="0"/>
    <n v="6720.0833333333339"/>
  </r>
  <r>
    <x v="14"/>
    <x v="14"/>
    <d v="2020-03-01T00:00:00"/>
    <x v="5"/>
    <x v="3"/>
    <n v="0"/>
    <n v="10388.76923076923"/>
    <n v="1246.6523076923077"/>
    <n v="0"/>
    <n v="11635.421538461538"/>
  </r>
  <r>
    <x v="15"/>
    <x v="15"/>
    <d v="2020-04-01T00:00:00"/>
    <x v="0"/>
    <x v="0"/>
    <n v="89372"/>
    <n v="6139.1333333333341"/>
    <n v="368.34800000000001"/>
    <n v="714.976"/>
    <n v="7222.4573333333337"/>
  </r>
  <r>
    <x v="15"/>
    <x v="15"/>
    <d v="2020-04-01T00:00:00"/>
    <x v="1"/>
    <x v="0"/>
    <n v="77568"/>
    <n v="5232.916666666667"/>
    <n v="313.97500000000002"/>
    <n v="775.68000000000006"/>
    <n v="6322.5716666666676"/>
  </r>
  <r>
    <x v="15"/>
    <x v="15"/>
    <d v="2020-04-01T00:00:00"/>
    <x v="7"/>
    <x v="0"/>
    <n v="97687"/>
    <n v="6858.083333333333"/>
    <n v="411.48499999999996"/>
    <n v="976.87"/>
    <n v="8246.4383333333335"/>
  </r>
  <r>
    <x v="15"/>
    <x v="15"/>
    <d v="2020-04-01T00:00:00"/>
    <x v="3"/>
    <x v="0"/>
    <n v="89842"/>
    <n v="4132.666666666667"/>
    <n v="247.96"/>
    <n v="988.26199999999994"/>
    <n v="5368.8886666666667"/>
  </r>
  <r>
    <x v="15"/>
    <x v="15"/>
    <d v="2020-04-01T00:00:00"/>
    <x v="4"/>
    <x v="2"/>
    <n v="0"/>
    <n v="6109.166666666667"/>
    <n v="610.91666666666674"/>
    <n v="0"/>
    <n v="6720.0833333333339"/>
  </r>
  <r>
    <x v="15"/>
    <x v="15"/>
    <d v="2020-04-01T00:00:00"/>
    <x v="5"/>
    <x v="3"/>
    <n v="0"/>
    <n v="10388.76923076923"/>
    <n v="1246.6523076923077"/>
    <n v="0"/>
    <n v="11635.421538461538"/>
  </r>
  <r>
    <x v="16"/>
    <x v="16"/>
    <d v="2020-05-01T00:00:00"/>
    <x v="0"/>
    <x v="0"/>
    <n v="79873"/>
    <n v="6139.1333333333341"/>
    <n v="368.34800000000001"/>
    <n v="638.98400000000004"/>
    <n v="7146.4653333333345"/>
  </r>
  <r>
    <x v="16"/>
    <x v="16"/>
    <d v="2020-05-01T00:00:00"/>
    <x v="1"/>
    <x v="0"/>
    <n v="75698"/>
    <n v="5232.916666666667"/>
    <n v="313.97500000000002"/>
    <n v="756.98"/>
    <n v="6303.8716666666678"/>
  </r>
  <r>
    <x v="16"/>
    <x v="16"/>
    <d v="2020-05-01T00:00:00"/>
    <x v="7"/>
    <x v="0"/>
    <n v="70619"/>
    <n v="6858.083333333333"/>
    <n v="411.48499999999996"/>
    <n v="706.19"/>
    <n v="7975.7583333333332"/>
  </r>
  <r>
    <x v="16"/>
    <x v="16"/>
    <d v="2020-05-01T00:00:00"/>
    <x v="3"/>
    <x v="0"/>
    <n v="108053"/>
    <n v="4132.666666666667"/>
    <n v="247.96"/>
    <n v="1188.5829999999999"/>
    <n v="5569.2096666666666"/>
  </r>
  <r>
    <x v="16"/>
    <x v="16"/>
    <d v="2020-05-01T00:00:00"/>
    <x v="4"/>
    <x v="2"/>
    <n v="0"/>
    <n v="6109.166666666667"/>
    <n v="610.91666666666674"/>
    <n v="0"/>
    <n v="6720.0833333333339"/>
  </r>
  <r>
    <x v="16"/>
    <x v="16"/>
    <d v="2020-05-01T00:00:00"/>
    <x v="5"/>
    <x v="3"/>
    <n v="0"/>
    <n v="10388.76923076923"/>
    <n v="1246.6523076923077"/>
    <n v="0"/>
    <n v="11635.421538461538"/>
  </r>
  <r>
    <x v="17"/>
    <x v="17"/>
    <d v="2020-06-01T00:00:00"/>
    <x v="0"/>
    <x v="0"/>
    <n v="75324"/>
    <n v="6139.1333333333341"/>
    <n v="368.34800000000001"/>
    <n v="602.59199999999998"/>
    <n v="7110.0733333333337"/>
  </r>
  <r>
    <x v="17"/>
    <x v="17"/>
    <d v="2020-06-01T00:00:00"/>
    <x v="1"/>
    <x v="0"/>
    <n v="123158"/>
    <n v="5232.916666666667"/>
    <n v="313.97500000000002"/>
    <n v="1231.58"/>
    <n v="6778.4716666666673"/>
  </r>
  <r>
    <x v="17"/>
    <x v="17"/>
    <d v="2020-06-01T00:00:00"/>
    <x v="7"/>
    <x v="0"/>
    <n v="107898"/>
    <n v="6858.083333333333"/>
    <n v="411.48499999999996"/>
    <n v="1078.98"/>
    <n v="8348.5483333333323"/>
  </r>
  <r>
    <x v="17"/>
    <x v="17"/>
    <d v="2020-06-01T00:00:00"/>
    <x v="3"/>
    <x v="0"/>
    <n v="87991"/>
    <n v="4132.666666666667"/>
    <n v="247.96"/>
    <n v="967.90099999999995"/>
    <n v="5348.5276666666668"/>
  </r>
  <r>
    <x v="17"/>
    <x v="17"/>
    <d v="2020-06-01T00:00:00"/>
    <x v="4"/>
    <x v="2"/>
    <n v="0"/>
    <n v="6109.166666666667"/>
    <n v="610.91666666666674"/>
    <n v="0"/>
    <n v="6720.0833333333339"/>
  </r>
  <r>
    <x v="17"/>
    <x v="17"/>
    <d v="2020-06-01T00:00:00"/>
    <x v="5"/>
    <x v="3"/>
    <n v="0"/>
    <n v="10388.76923076923"/>
    <n v="1246.6523076923077"/>
    <n v="0"/>
    <n v="11635.421538461538"/>
  </r>
  <r>
    <x v="18"/>
    <x v="18"/>
    <d v="2020-07-01T00:00:00"/>
    <x v="0"/>
    <x v="0"/>
    <n v="74488"/>
    <n v="6139.1333333333341"/>
    <n v="368.34800000000001"/>
    <n v="595.904"/>
    <n v="7103.3853333333336"/>
  </r>
  <r>
    <x v="18"/>
    <x v="18"/>
    <d v="2020-07-01T00:00:00"/>
    <x v="1"/>
    <x v="0"/>
    <n v="89293"/>
    <n v="5232.916666666667"/>
    <n v="313.97500000000002"/>
    <n v="892.93000000000006"/>
    <n v="6439.8216666666676"/>
  </r>
  <r>
    <x v="18"/>
    <x v="18"/>
    <d v="2020-07-01T00:00:00"/>
    <x v="7"/>
    <x v="0"/>
    <n v="109192"/>
    <n v="6858.083333333333"/>
    <n v="411.48499999999996"/>
    <n v="1091.92"/>
    <n v="8361.4883333333328"/>
  </r>
  <r>
    <x v="18"/>
    <x v="18"/>
    <d v="2020-07-01T00:00:00"/>
    <x v="3"/>
    <x v="0"/>
    <n v="121957"/>
    <n v="4132.666666666667"/>
    <n v="247.96"/>
    <n v="1341.5269999999998"/>
    <n v="5722.153666666667"/>
  </r>
  <r>
    <x v="18"/>
    <x v="18"/>
    <d v="2020-07-01T00:00:00"/>
    <x v="4"/>
    <x v="2"/>
    <n v="0"/>
    <n v="6109.166666666667"/>
    <n v="610.91666666666674"/>
    <n v="0"/>
    <n v="6720.0833333333339"/>
  </r>
  <r>
    <x v="18"/>
    <x v="18"/>
    <d v="2020-07-01T00:00:00"/>
    <x v="5"/>
    <x v="3"/>
    <n v="0"/>
    <n v="10388.76923076923"/>
    <n v="1246.6523076923077"/>
    <n v="0"/>
    <n v="11635.421538461538"/>
  </r>
  <r>
    <x v="19"/>
    <x v="19"/>
    <d v="2020-08-01T00:00:00"/>
    <x v="0"/>
    <x v="0"/>
    <n v="121968"/>
    <n v="6139.1333333333341"/>
    <n v="368.34800000000001"/>
    <n v="975.74400000000003"/>
    <n v="7483.2253333333338"/>
  </r>
  <r>
    <x v="19"/>
    <x v="19"/>
    <d v="2020-08-01T00:00:00"/>
    <x v="1"/>
    <x v="0"/>
    <n v="84044"/>
    <n v="5232.916666666667"/>
    <n v="313.97500000000002"/>
    <n v="840.44"/>
    <n v="6387.3316666666669"/>
  </r>
  <r>
    <x v="19"/>
    <x v="19"/>
    <d v="2020-08-01T00:00:00"/>
    <x v="7"/>
    <x v="0"/>
    <n v="84099"/>
    <n v="6858.083333333333"/>
    <n v="411.48499999999996"/>
    <n v="840.99"/>
    <n v="8110.5583333333325"/>
  </r>
  <r>
    <x v="19"/>
    <x v="19"/>
    <d v="2020-08-01T00:00:00"/>
    <x v="3"/>
    <x v="0"/>
    <n v="128219"/>
    <n v="4132.666666666667"/>
    <n v="247.96"/>
    <n v="1410.4089999999999"/>
    <n v="5791.0356666666667"/>
  </r>
  <r>
    <x v="19"/>
    <x v="19"/>
    <d v="2020-08-01T00:00:00"/>
    <x v="4"/>
    <x v="2"/>
    <n v="0"/>
    <n v="6109.166666666667"/>
    <n v="610.91666666666674"/>
    <n v="0"/>
    <n v="6720.0833333333339"/>
  </r>
  <r>
    <x v="19"/>
    <x v="19"/>
    <d v="2020-08-01T00:00:00"/>
    <x v="5"/>
    <x v="3"/>
    <n v="0"/>
    <n v="10388.76923076923"/>
    <n v="1246.6523076923077"/>
    <n v="0"/>
    <n v="11635.421538461538"/>
  </r>
  <r>
    <x v="20"/>
    <x v="20"/>
    <d v="2020-09-01T00:00:00"/>
    <x v="0"/>
    <x v="0"/>
    <n v="106836"/>
    <n v="6139.1333333333341"/>
    <n v="368.34800000000001"/>
    <n v="854.68799999999999"/>
    <n v="7362.1693333333342"/>
  </r>
  <r>
    <x v="20"/>
    <x v="20"/>
    <d v="2020-09-01T00:00:00"/>
    <x v="1"/>
    <x v="0"/>
    <n v="118609"/>
    <n v="5232.916666666667"/>
    <n v="313.97500000000002"/>
    <n v="1186.0899999999999"/>
    <n v="6732.9816666666675"/>
  </r>
  <r>
    <x v="20"/>
    <x v="20"/>
    <d v="2020-09-01T00:00:00"/>
    <x v="7"/>
    <x v="0"/>
    <n v="116964"/>
    <n v="6858.083333333333"/>
    <n v="411.48499999999996"/>
    <n v="1169.6400000000001"/>
    <n v="8439.2083333333321"/>
  </r>
  <r>
    <x v="20"/>
    <x v="20"/>
    <d v="2020-09-01T00:00:00"/>
    <x v="3"/>
    <x v="0"/>
    <n v="101730"/>
    <n v="4132.666666666667"/>
    <n v="247.96"/>
    <n v="1119.03"/>
    <n v="5499.6566666666668"/>
  </r>
  <r>
    <x v="20"/>
    <x v="20"/>
    <d v="2020-09-01T00:00:00"/>
    <x v="4"/>
    <x v="2"/>
    <n v="0"/>
    <n v="6109.166666666667"/>
    <n v="610.91666666666674"/>
    <n v="0"/>
    <n v="6720.0833333333339"/>
  </r>
  <r>
    <x v="20"/>
    <x v="20"/>
    <d v="2020-09-01T00:00:00"/>
    <x v="5"/>
    <x v="3"/>
    <n v="0"/>
    <n v="10388.76923076923"/>
    <n v="1246.6523076923077"/>
    <n v="0"/>
    <n v="11635.421538461538"/>
  </r>
  <r>
    <x v="21"/>
    <x v="21"/>
    <d v="2020-10-01T00:00:00"/>
    <x v="0"/>
    <x v="0"/>
    <n v="102745"/>
    <n v="6139.1333333333341"/>
    <n v="368.34800000000001"/>
    <n v="821.96"/>
    <n v="7329.4413333333341"/>
  </r>
  <r>
    <x v="21"/>
    <x v="21"/>
    <d v="2020-10-01T00:00:00"/>
    <x v="1"/>
    <x v="0"/>
    <n v="125515"/>
    <n v="5232.916666666667"/>
    <n v="313.97500000000002"/>
    <n v="1255.1500000000001"/>
    <n v="6802.0416666666679"/>
  </r>
  <r>
    <x v="21"/>
    <x v="21"/>
    <d v="2020-10-01T00:00:00"/>
    <x v="7"/>
    <x v="0"/>
    <n v="77600"/>
    <n v="6858.083333333333"/>
    <n v="411.48499999999996"/>
    <n v="776"/>
    <n v="8045.5683333333327"/>
  </r>
  <r>
    <x v="21"/>
    <x v="21"/>
    <d v="2020-10-01T00:00:00"/>
    <x v="3"/>
    <x v="0"/>
    <n v="96591"/>
    <n v="4132.666666666667"/>
    <n v="247.96"/>
    <n v="1062.501"/>
    <n v="5443.1276666666672"/>
  </r>
  <r>
    <x v="21"/>
    <x v="21"/>
    <d v="2020-10-01T00:00:00"/>
    <x v="4"/>
    <x v="2"/>
    <n v="0"/>
    <n v="6109.166666666667"/>
    <n v="610.91666666666674"/>
    <n v="0"/>
    <n v="6720.0833333333339"/>
  </r>
  <r>
    <x v="21"/>
    <x v="21"/>
    <d v="2020-10-01T00:00:00"/>
    <x v="5"/>
    <x v="3"/>
    <n v="0"/>
    <n v="10388.76923076923"/>
    <n v="1246.6523076923077"/>
    <n v="0"/>
    <n v="11635.421538461538"/>
  </r>
  <r>
    <x v="22"/>
    <x v="22"/>
    <d v="2020-11-01T00:00:00"/>
    <x v="0"/>
    <x v="0"/>
    <n v="89191"/>
    <n v="6139.1333333333341"/>
    <n v="368.34800000000001"/>
    <n v="713.52800000000002"/>
    <n v="7221.0093333333343"/>
  </r>
  <r>
    <x v="22"/>
    <x v="22"/>
    <d v="2020-11-01T00:00:00"/>
    <x v="1"/>
    <x v="0"/>
    <n v="99589"/>
    <n v="5232.916666666667"/>
    <n v="313.97500000000002"/>
    <n v="995.89"/>
    <n v="6542.7816666666677"/>
  </r>
  <r>
    <x v="22"/>
    <x v="22"/>
    <d v="2020-11-01T00:00:00"/>
    <x v="7"/>
    <x v="0"/>
    <n v="84996"/>
    <n v="6858.083333333333"/>
    <n v="411.48499999999996"/>
    <n v="849.96"/>
    <n v="8119.5283333333327"/>
  </r>
  <r>
    <x v="22"/>
    <x v="22"/>
    <d v="2020-11-01T00:00:00"/>
    <x v="3"/>
    <x v="0"/>
    <n v="72201"/>
    <n v="4132.666666666667"/>
    <n v="247.96"/>
    <n v="794.2109999999999"/>
    <n v="5174.8376666666672"/>
  </r>
  <r>
    <x v="22"/>
    <x v="22"/>
    <d v="2020-11-01T00:00:00"/>
    <x v="4"/>
    <x v="2"/>
    <n v="0"/>
    <n v="6109.166666666667"/>
    <n v="610.91666666666674"/>
    <n v="0"/>
    <n v="6720.0833333333339"/>
  </r>
  <r>
    <x v="22"/>
    <x v="22"/>
    <d v="2020-11-01T00:00:00"/>
    <x v="5"/>
    <x v="3"/>
    <n v="0"/>
    <n v="10388.76923076923"/>
    <n v="1246.6523076923077"/>
    <n v="0"/>
    <n v="11635.421538461538"/>
  </r>
  <r>
    <x v="23"/>
    <x v="23"/>
    <d v="2020-12-01T00:00:00"/>
    <x v="0"/>
    <x v="0"/>
    <n v="120205"/>
    <n v="6139.1333333333341"/>
    <n v="368.34800000000001"/>
    <n v="961.64"/>
    <n v="7469.1213333333344"/>
  </r>
  <r>
    <x v="23"/>
    <x v="23"/>
    <d v="2020-12-01T00:00:00"/>
    <x v="1"/>
    <x v="0"/>
    <n v="98407"/>
    <n v="5232.916666666667"/>
    <n v="313.97500000000002"/>
    <n v="984.07"/>
    <n v="6530.961666666667"/>
  </r>
  <r>
    <x v="23"/>
    <x v="23"/>
    <d v="2020-12-01T00:00:00"/>
    <x v="7"/>
    <x v="0"/>
    <n v="103371"/>
    <n v="6858.083333333333"/>
    <n v="411.48499999999996"/>
    <n v="1033.71"/>
    <n v="8303.2783333333318"/>
  </r>
  <r>
    <x v="23"/>
    <x v="23"/>
    <d v="2020-12-01T00:00:00"/>
    <x v="3"/>
    <x v="0"/>
    <n v="113501"/>
    <n v="4132.666666666667"/>
    <n v="247.96"/>
    <n v="1248.511"/>
    <n v="5629.1376666666674"/>
  </r>
  <r>
    <x v="23"/>
    <x v="23"/>
    <d v="2020-12-01T00:00:00"/>
    <x v="4"/>
    <x v="2"/>
    <n v="0"/>
    <n v="6109.166666666667"/>
    <n v="610.91666666666674"/>
    <n v="0"/>
    <n v="6720.0833333333339"/>
  </r>
  <r>
    <x v="23"/>
    <x v="23"/>
    <d v="2020-12-01T00:00:00"/>
    <x v="5"/>
    <x v="3"/>
    <n v="0"/>
    <n v="10388.76923076923"/>
    <n v="1246.6523076923077"/>
    <n v="0"/>
    <n v="11635.42153846153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s v="Dennis Henderson"/>
    <x v="0"/>
    <d v="2017-03-01T00:00:00"/>
    <m/>
    <n v="12"/>
    <n v="92087"/>
    <x v="0"/>
    <n v="6139.1333333333341"/>
    <x v="0"/>
    <n v="8.0000000000000002E-3"/>
  </r>
  <r>
    <s v="Sabrina Nielsen"/>
    <x v="0"/>
    <d v="2016-03-01T00:00:00"/>
    <m/>
    <n v="12"/>
    <n v="62795"/>
    <x v="1"/>
    <n v="5232.916666666667"/>
    <x v="0"/>
    <n v="0.01"/>
  </r>
  <r>
    <s v="Christina Roach"/>
    <x v="1"/>
    <d v="2015-01-01T00:00:00"/>
    <d v="2019-12-01T00:00:00"/>
    <n v="12"/>
    <n v="74490"/>
    <x v="1"/>
    <n v="6207.5"/>
    <x v="1"/>
    <n v="0"/>
  </r>
  <r>
    <s v="Jamie Newman"/>
    <x v="0"/>
    <d v="2019-06-01T00:00:00"/>
    <m/>
    <n v="12"/>
    <n v="82297"/>
    <x v="1"/>
    <n v="6858.083333333333"/>
    <x v="0"/>
    <n v="0.01"/>
  </r>
  <r>
    <s v="Diana Stuart"/>
    <x v="0"/>
    <d v="2020-01-01T00:00:00"/>
    <m/>
    <n v="12"/>
    <n v="61990"/>
    <x v="0"/>
    <n v="4132.666666666667"/>
    <x v="0"/>
    <n v="1.0999999999999999E-2"/>
  </r>
  <r>
    <s v="Steven Lewis"/>
    <x v="2"/>
    <d v="2015-05-01T00:00:00"/>
    <m/>
    <n v="12"/>
    <n v="73310"/>
    <x v="1"/>
    <n v="6109.166666666667"/>
    <x v="1"/>
    <n v="0"/>
  </r>
  <r>
    <s v="John Richardson"/>
    <x v="3"/>
    <d v="2012-07-01T00:00:00"/>
    <m/>
    <n v="13"/>
    <n v="135054"/>
    <x v="1"/>
    <n v="10388.76923076923"/>
    <x v="2"/>
    <n v="1.0999999999999999E-2"/>
  </r>
  <r>
    <s v="David Maynard"/>
    <x v="1"/>
    <d v="2017-05-01T00:00:00"/>
    <d v="2020-03-01T00:00:00"/>
    <n v="12"/>
    <n v="63450"/>
    <x v="0"/>
    <n v="4230"/>
    <x v="1"/>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0D58425-E7DC-4781-BAE2-FB172C54968A}" name="revenue and salaries" cacheId="3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location ref="D4:I13" firstHeaderRow="0" firstDataRow="1" firstDataCol="1"/>
  <pivotFields count="11">
    <pivotField numFmtId="170" showAll="0">
      <items count="15">
        <item x="0"/>
        <item x="1"/>
        <item x="2"/>
        <item x="3"/>
        <item x="4"/>
        <item x="5"/>
        <item x="6"/>
        <item x="7"/>
        <item x="8"/>
        <item x="9"/>
        <item x="10"/>
        <item x="11"/>
        <item x="12"/>
        <item x="13"/>
        <item t="default"/>
      </items>
    </pivotField>
    <pivotField numFmtId="168" showAll="0"/>
    <pivotField numFmtId="169" showAll="0"/>
    <pivotField axis="axisRow" showAll="0">
      <items count="9">
        <item x="2"/>
        <item x="6"/>
        <item x="0"/>
        <item x="3"/>
        <item x="7"/>
        <item x="5"/>
        <item x="1"/>
        <item x="4"/>
        <item t="default"/>
      </items>
    </pivotField>
    <pivotField showAll="0">
      <items count="5">
        <item x="1"/>
        <item x="0"/>
        <item x="3"/>
        <item x="2"/>
        <item t="default"/>
      </items>
    </pivotField>
    <pivotField dataField="1" numFmtId="166" showAll="0"/>
    <pivotField dataField="1" numFmtId="166" showAll="0"/>
    <pivotField dataField="1" numFmtId="166" showAll="0"/>
    <pivotField dataField="1" numFmtId="166" showAll="0"/>
    <pivotField dataField="1" numFmtId="166" showAll="0"/>
    <pivotField showAll="0">
      <items count="5">
        <item x="0"/>
        <item x="1"/>
        <item x="2"/>
        <item x="3"/>
        <item t="default"/>
      </items>
    </pivotField>
  </pivotFields>
  <rowFields count="1">
    <field x="3"/>
  </rowFields>
  <rowItems count="9">
    <i>
      <x/>
    </i>
    <i>
      <x v="1"/>
    </i>
    <i>
      <x v="2"/>
    </i>
    <i>
      <x v="3"/>
    </i>
    <i>
      <x v="4"/>
    </i>
    <i>
      <x v="5"/>
    </i>
    <i>
      <x v="6"/>
    </i>
    <i>
      <x v="7"/>
    </i>
    <i t="grand">
      <x/>
    </i>
  </rowItems>
  <colFields count="1">
    <field x="-2"/>
  </colFields>
  <colItems count="5">
    <i>
      <x/>
    </i>
    <i i="1">
      <x v="1"/>
    </i>
    <i i="2">
      <x v="2"/>
    </i>
    <i i="3">
      <x v="3"/>
    </i>
    <i i="4">
      <x v="4"/>
    </i>
  </colItems>
  <dataFields count="5">
    <dataField name="Sum of Revenue generated by employee" fld="5" baseField="0" baseItem="0" numFmtId="167"/>
    <dataField name="Sum of Base salary" fld="6" baseField="0" baseItem="0" numFmtId="167"/>
    <dataField name="Sum of Bonus accrual" fld="7" baseField="0" baseItem="0" numFmtId="167"/>
    <dataField name="Sum of Comission" fld="8" baseField="0" baseItem="0" numFmtId="167"/>
    <dataField name="Sum of Total Payroll" fld="9" baseField="0" baseItem="0" numFmtId="167"/>
  </dataFields>
  <formats count="2">
    <format dxfId="28">
      <pivotArea outline="0" collapsedLevelsAreSubtotals="1" fieldPosition="0"/>
    </format>
    <format dxfId="27">
      <pivotArea outline="0" collapsedLevelsAreSubtotals="1" fieldPosition="0">
        <references count="1">
          <reference field="4294967294" count="4" selected="0">
            <x v="1"/>
            <x v="2"/>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D13E6AD-5AF5-4223-BC3B-21B3465842AE}" name="revenue timeline" cacheId="3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3">
  <location ref="S4:U31" firstHeaderRow="0" firstDataRow="1" firstDataCol="1"/>
  <pivotFields count="11">
    <pivotField axis="axisRow" numFmtId="170" showAll="0">
      <items count="15">
        <item x="0"/>
        <item x="1"/>
        <item x="2"/>
        <item x="3"/>
        <item x="4"/>
        <item x="5"/>
        <item x="6"/>
        <item x="7"/>
        <item x="8"/>
        <item x="9"/>
        <item x="10"/>
        <item x="11"/>
        <item x="12"/>
        <item x="13"/>
        <item t="default"/>
      </items>
    </pivotField>
    <pivotField numFmtId="168" showAll="0"/>
    <pivotField numFmtId="169" showAll="0"/>
    <pivotField showAll="0">
      <items count="9">
        <item x="2"/>
        <item x="6"/>
        <item x="0"/>
        <item x="3"/>
        <item x="7"/>
        <item x="5"/>
        <item x="1"/>
        <item x="4"/>
        <item t="default"/>
      </items>
    </pivotField>
    <pivotField showAll="0">
      <items count="5">
        <item x="1"/>
        <item x="0"/>
        <item x="3"/>
        <item x="2"/>
        <item t="default"/>
      </items>
    </pivotField>
    <pivotField dataField="1" numFmtId="166" showAll="0"/>
    <pivotField numFmtId="166" showAll="0"/>
    <pivotField numFmtId="166" showAll="0"/>
    <pivotField numFmtId="166" showAll="0"/>
    <pivotField dataField="1" numFmtId="166" showAll="0"/>
    <pivotField axis="axisRow" showAll="0">
      <items count="5">
        <item x="0"/>
        <item x="1"/>
        <item x="2"/>
        <item x="3"/>
        <item t="default"/>
      </items>
    </pivotField>
  </pivotFields>
  <rowFields count="2">
    <field x="10"/>
    <field x="0"/>
  </rowFields>
  <rowItems count="27">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t="grand">
      <x/>
    </i>
  </rowItems>
  <colFields count="1">
    <field x="-2"/>
  </colFields>
  <colItems count="2">
    <i>
      <x/>
    </i>
    <i i="1">
      <x v="1"/>
    </i>
  </colItems>
  <dataFields count="2">
    <dataField name="Sum of Total Payroll" fld="9" baseField="0" baseItem="0"/>
    <dataField name="Sum of Revenue generated by employee" fld="5" baseField="0" baseItem="0"/>
  </dataFields>
  <formats count="1">
    <format dxfId="29">
      <pivotArea outline="0" collapsedLevelsAreSubtotals="1" fieldPosition="0"/>
    </format>
  </format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279B49E-D8E0-47BF-9318-EB1BC4FEC686}" name="MOM" cacheId="3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chartFormat="5">
  <location ref="N4:P31" firstHeaderRow="1" firstDataRow="1" firstDataCol="2"/>
  <pivotFields count="11">
    <pivotField axis="axisRow" compact="0" numFmtId="170" outline="0" showAll="0">
      <items count="15">
        <item x="0"/>
        <item x="1"/>
        <item x="2"/>
        <item x="3"/>
        <item x="4"/>
        <item x="5"/>
        <item x="6"/>
        <item x="7"/>
        <item x="8"/>
        <item x="9"/>
        <item x="10"/>
        <item x="11"/>
        <item x="12"/>
        <item x="13"/>
        <item t="default"/>
      </items>
    </pivotField>
    <pivotField compact="0" numFmtId="168" outline="0" showAll="0"/>
    <pivotField compact="0" numFmtId="169" outline="0" showAll="0"/>
    <pivotField compact="0" outline="0" showAll="0">
      <items count="9">
        <item x="2"/>
        <item x="6"/>
        <item x="0"/>
        <item x="3"/>
        <item x="7"/>
        <item x="5"/>
        <item x="1"/>
        <item x="4"/>
        <item t="default"/>
      </items>
    </pivotField>
    <pivotField compact="0" outline="0" showAll="0">
      <items count="5">
        <item x="1"/>
        <item x="0"/>
        <item x="3"/>
        <item x="2"/>
        <item t="default"/>
      </items>
    </pivotField>
    <pivotField dataField="1" compact="0" numFmtId="166" outline="0" showAll="0"/>
    <pivotField compact="0" numFmtId="166" outline="0" showAll="0"/>
    <pivotField compact="0" numFmtId="166" outline="0" showAll="0"/>
    <pivotField compact="0" numFmtId="166" outline="0" showAll="0"/>
    <pivotField compact="0" numFmtId="166" outline="0" showAll="0"/>
    <pivotField axis="axisRow" compact="0" outline="0" showAll="0">
      <items count="5">
        <item x="0"/>
        <item x="1"/>
        <item x="2"/>
        <item x="3"/>
        <item t="default"/>
      </items>
    </pivotField>
  </pivotFields>
  <rowFields count="2">
    <field x="10"/>
    <field x="0"/>
  </rowFields>
  <rowItems count="27">
    <i>
      <x v="1"/>
      <x v="1"/>
    </i>
    <i r="1">
      <x v="2"/>
    </i>
    <i r="1">
      <x v="3"/>
    </i>
    <i r="1">
      <x v="4"/>
    </i>
    <i r="1">
      <x v="5"/>
    </i>
    <i r="1">
      <x v="6"/>
    </i>
    <i r="1">
      <x v="7"/>
    </i>
    <i r="1">
      <x v="8"/>
    </i>
    <i r="1">
      <x v="9"/>
    </i>
    <i r="1">
      <x v="10"/>
    </i>
    <i r="1">
      <x v="11"/>
    </i>
    <i r="1">
      <x v="12"/>
    </i>
    <i t="default">
      <x v="1"/>
    </i>
    <i>
      <x v="2"/>
      <x v="1"/>
    </i>
    <i r="1">
      <x v="2"/>
    </i>
    <i r="1">
      <x v="3"/>
    </i>
    <i r="1">
      <x v="4"/>
    </i>
    <i r="1">
      <x v="5"/>
    </i>
    <i r="1">
      <x v="6"/>
    </i>
    <i r="1">
      <x v="7"/>
    </i>
    <i r="1">
      <x v="8"/>
    </i>
    <i r="1">
      <x v="9"/>
    </i>
    <i r="1">
      <x v="10"/>
    </i>
    <i r="1">
      <x v="11"/>
    </i>
    <i r="1">
      <x v="12"/>
    </i>
    <i t="default">
      <x v="2"/>
    </i>
    <i t="grand">
      <x/>
    </i>
  </rowItems>
  <colItems count="1">
    <i/>
  </colItems>
  <dataFields count="1">
    <dataField name="Sum of Revenue generated by employee" fld="5" showDataAs="percentDiff" baseField="0" baseItem="1048828" numFmtId="10"/>
  </dataFields>
  <formats count="2">
    <format dxfId="31">
      <pivotArea outline="0" collapsedLevelsAreSubtotals="1" fieldPosition="0"/>
    </format>
    <format dxfId="30">
      <pivotArea outline="0" fieldPosition="0">
        <references count="1">
          <reference field="4294967294" count="1">
            <x v="0"/>
          </reference>
        </references>
      </pivotArea>
    </format>
  </formats>
  <chartFormats count="1">
    <chartFormat chart="4"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0EE8489-3616-4CAE-BE43-F55F7B9D2441}" name="TTL employee" cacheId="31"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location ref="B4:B12" firstHeaderRow="1" firstDataRow="1" firstDataCol="1"/>
  <pivotFields count="11">
    <pivotField numFmtId="170" showAll="0">
      <items count="15">
        <item x="0"/>
        <item x="1"/>
        <item x="2"/>
        <item x="3"/>
        <item x="4"/>
        <item x="5"/>
        <item x="6"/>
        <item x="7"/>
        <item x="8"/>
        <item x="9"/>
        <item x="10"/>
        <item x="11"/>
        <item x="12"/>
        <item x="13"/>
        <item t="default"/>
      </items>
    </pivotField>
    <pivotField numFmtId="168" showAll="0"/>
    <pivotField numFmtId="169" showAll="0"/>
    <pivotField axis="axisRow" showAll="0">
      <items count="9">
        <item x="2"/>
        <item x="6"/>
        <item x="0"/>
        <item x="3"/>
        <item x="7"/>
        <item x="5"/>
        <item x="1"/>
        <item x="4"/>
        <item t="default"/>
      </items>
    </pivotField>
    <pivotField showAll="0">
      <items count="5">
        <item x="1"/>
        <item x="0"/>
        <item x="3"/>
        <item x="2"/>
        <item t="default"/>
      </items>
    </pivotField>
    <pivotField numFmtId="166" showAll="0"/>
    <pivotField numFmtId="166" showAll="0"/>
    <pivotField numFmtId="166" showAll="0"/>
    <pivotField numFmtId="166" showAll="0"/>
    <pivotField numFmtId="166" showAll="0"/>
    <pivotField showAll="0">
      <items count="5">
        <item x="0"/>
        <item x="1"/>
        <item x="2"/>
        <item x="3"/>
        <item t="default"/>
      </items>
    </pivotField>
  </pivotFields>
  <rowFields count="1">
    <field x="3"/>
  </rowFields>
  <rowItems count="8">
    <i>
      <x/>
    </i>
    <i>
      <x v="1"/>
    </i>
    <i>
      <x v="2"/>
    </i>
    <i>
      <x v="3"/>
    </i>
    <i>
      <x v="4"/>
    </i>
    <i>
      <x v="5"/>
    </i>
    <i>
      <x v="6"/>
    </i>
    <i>
      <x v="7"/>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D21EB5D-1F5A-415D-8615-E8B9B67A6054}" name="group salaries" cacheId="3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3">
  <location ref="W4:X9" firstHeaderRow="1" firstDataRow="1" firstDataCol="1"/>
  <pivotFields count="11">
    <pivotField numFmtId="170" showAll="0">
      <items count="15">
        <item x="0"/>
        <item x="1"/>
        <item x="2"/>
        <item x="3"/>
        <item x="4"/>
        <item x="5"/>
        <item x="6"/>
        <item x="7"/>
        <item x="8"/>
        <item x="9"/>
        <item x="10"/>
        <item x="11"/>
        <item x="12"/>
        <item x="13"/>
        <item t="default"/>
      </items>
    </pivotField>
    <pivotField numFmtId="168" showAll="0"/>
    <pivotField numFmtId="169" showAll="0"/>
    <pivotField showAll="0"/>
    <pivotField axis="axisRow" showAll="0">
      <items count="5">
        <item x="1"/>
        <item x="0"/>
        <item x="3"/>
        <item x="2"/>
        <item t="default"/>
      </items>
    </pivotField>
    <pivotField numFmtId="166" showAll="0"/>
    <pivotField numFmtId="166" showAll="0"/>
    <pivotField numFmtId="166" showAll="0"/>
    <pivotField numFmtId="166" showAll="0"/>
    <pivotField dataField="1" numFmtId="166" showAll="0"/>
    <pivotField showAll="0" defaultSubtotal="0"/>
  </pivotFields>
  <rowFields count="1">
    <field x="4"/>
  </rowFields>
  <rowItems count="5">
    <i>
      <x/>
    </i>
    <i>
      <x v="1"/>
    </i>
    <i>
      <x v="2"/>
    </i>
    <i>
      <x v="3"/>
    </i>
    <i t="grand">
      <x/>
    </i>
  </rowItems>
  <colItems count="1">
    <i/>
  </colItems>
  <dataFields count="1">
    <dataField name="Sum of Total Payroll" fld="9" baseField="0" baseItem="0"/>
  </dataFields>
  <formats count="1">
    <format dxfId="32">
      <pivotArea outline="0" collapsedLevelsAreSubtotals="1" fieldPosition="0"/>
    </format>
  </formats>
  <chartFormats count="5">
    <chartFormat chart="2" format="12" series="1">
      <pivotArea type="data" outline="0" fieldPosition="0">
        <references count="1">
          <reference field="4294967294" count="1" selected="0">
            <x v="0"/>
          </reference>
        </references>
      </pivotArea>
    </chartFormat>
    <chartFormat chart="2" format="13">
      <pivotArea type="data" outline="0" fieldPosition="0">
        <references count="2">
          <reference field="4294967294" count="1" selected="0">
            <x v="0"/>
          </reference>
          <reference field="4" count="1" selected="0">
            <x v="0"/>
          </reference>
        </references>
      </pivotArea>
    </chartFormat>
    <chartFormat chart="2" format="14">
      <pivotArea type="data" outline="0" fieldPosition="0">
        <references count="2">
          <reference field="4294967294" count="1" selected="0">
            <x v="0"/>
          </reference>
          <reference field="4" count="1" selected="0">
            <x v="1"/>
          </reference>
        </references>
      </pivotArea>
    </chartFormat>
    <chartFormat chart="2" format="15">
      <pivotArea type="data" outline="0" fieldPosition="0">
        <references count="2">
          <reference field="4294967294" count="1" selected="0">
            <x v="0"/>
          </reference>
          <reference field="4" count="1" selected="0">
            <x v="2"/>
          </reference>
        </references>
      </pivotArea>
    </chartFormat>
    <chartFormat chart="2" format="16">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CFC80B1-D80C-4977-8108-13337C17E540}" name="employee payroll" cacheId="3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3">
  <location ref="Z4:AC13" firstHeaderRow="0" firstDataRow="1" firstDataCol="1"/>
  <pivotFields count="11">
    <pivotField numFmtId="170" showAll="0">
      <items count="15">
        <item x="0"/>
        <item x="1"/>
        <item x="2"/>
        <item x="3"/>
        <item x="4"/>
        <item x="5"/>
        <item x="6"/>
        <item x="7"/>
        <item x="8"/>
        <item x="9"/>
        <item x="10"/>
        <item x="11"/>
        <item x="12"/>
        <item x="13"/>
        <item t="default"/>
      </items>
    </pivotField>
    <pivotField numFmtId="168" showAll="0"/>
    <pivotField numFmtId="169" showAll="0"/>
    <pivotField axis="axisRow" showAll="0">
      <items count="9">
        <item x="2"/>
        <item x="6"/>
        <item x="0"/>
        <item x="3"/>
        <item x="7"/>
        <item x="5"/>
        <item x="1"/>
        <item x="4"/>
        <item t="default"/>
      </items>
    </pivotField>
    <pivotField showAll="0">
      <items count="5">
        <item x="1"/>
        <item x="0"/>
        <item x="3"/>
        <item x="2"/>
        <item t="default"/>
      </items>
    </pivotField>
    <pivotField numFmtId="166" showAll="0"/>
    <pivotField dataField="1" numFmtId="166" showAll="0"/>
    <pivotField dataField="1" numFmtId="166" showAll="0"/>
    <pivotField dataField="1" numFmtId="166" showAll="0"/>
    <pivotField numFmtId="166" showAll="0"/>
    <pivotField showAll="0" defaultSubtotal="0"/>
  </pivotFields>
  <rowFields count="1">
    <field x="3"/>
  </rowFields>
  <rowItems count="9">
    <i>
      <x/>
    </i>
    <i>
      <x v="1"/>
    </i>
    <i>
      <x v="2"/>
    </i>
    <i>
      <x v="3"/>
    </i>
    <i>
      <x v="4"/>
    </i>
    <i>
      <x v="5"/>
    </i>
    <i>
      <x v="6"/>
    </i>
    <i>
      <x v="7"/>
    </i>
    <i t="grand">
      <x/>
    </i>
  </rowItems>
  <colFields count="1">
    <field x="-2"/>
  </colFields>
  <colItems count="3">
    <i>
      <x/>
    </i>
    <i i="1">
      <x v="1"/>
    </i>
    <i i="2">
      <x v="2"/>
    </i>
  </colItems>
  <dataFields count="3">
    <dataField name="Sum of Base salary" fld="6" baseField="0" baseItem="0"/>
    <dataField name="Sum of Bonus accrual" fld="7" baseField="0" baseItem="0"/>
    <dataField name="Sum of Comission" fld="8" baseField="0" baseItem="0"/>
  </dataFields>
  <formats count="1">
    <format dxfId="33">
      <pivotArea outline="0" collapsedLevelsAreSubtotals="1" fieldPosition="0"/>
    </format>
  </formats>
  <chartFormats count="6">
    <chartFormat chart="1" format="3" series="1">
      <pivotArea type="data" outline="0" fieldPosition="0">
        <references count="1">
          <reference field="4294967294" count="1" selected="0">
            <x v="0"/>
          </reference>
        </references>
      </pivotArea>
    </chartFormat>
    <chartFormat chart="1" format="4" series="1">
      <pivotArea type="data" outline="0" fieldPosition="0">
        <references count="1">
          <reference field="4294967294" count="1" selected="0">
            <x v="1"/>
          </reference>
        </references>
      </pivotArea>
    </chartFormat>
    <chartFormat chart="1" format="5" series="1">
      <pivotArea type="data" outline="0" fieldPosition="0">
        <references count="1">
          <reference field="4294967294" count="1" selected="0">
            <x v="2"/>
          </reference>
        </references>
      </pivotArea>
    </chartFormat>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2"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0053936-AB12-45AD-9E59-7D12ACD7AF19}" name="groups"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K4:L9" firstHeaderRow="1" firstDataRow="1" firstDataCol="1"/>
  <pivotFields count="10">
    <pivotField dataField="1" showAll="0"/>
    <pivotField axis="axisRow" showAll="0">
      <items count="5">
        <item x="1"/>
        <item x="0"/>
        <item x="3"/>
        <item x="2"/>
        <item t="default"/>
      </items>
    </pivotField>
    <pivotField numFmtId="14" showAll="0"/>
    <pivotField showAll="0"/>
    <pivotField showAll="0"/>
    <pivotField numFmtId="165" showAll="0"/>
    <pivotField numFmtId="9" showAll="0">
      <items count="3">
        <item x="0"/>
        <item x="1"/>
        <item t="default"/>
      </items>
    </pivotField>
    <pivotField numFmtId="165" showAll="0"/>
    <pivotField numFmtId="164" showAll="0">
      <items count="4">
        <item x="0"/>
        <item x="1"/>
        <item x="2"/>
        <item t="default"/>
      </items>
    </pivotField>
    <pivotField numFmtId="164" showAll="0"/>
  </pivotFields>
  <rowFields count="1">
    <field x="1"/>
  </rowFields>
  <rowItems count="5">
    <i>
      <x/>
    </i>
    <i>
      <x v="1"/>
    </i>
    <i>
      <x v="2"/>
    </i>
    <i>
      <x v="3"/>
    </i>
    <i t="grand">
      <x/>
    </i>
  </rowItems>
  <colItems count="1">
    <i/>
  </colItems>
  <dataFields count="1">
    <dataField name="Count of Name" fld="0" subtotal="count"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9FB70BB-D59F-437B-839D-0277B934AE86}" name="headcount sheet" cacheId="31" applyNumberFormats="0" applyBorderFormats="0" applyFontFormats="0" applyPatternFormats="0" applyAlignmentFormats="0" applyWidthHeightFormats="1" dataCaption="Values" updatedVersion="6" minRefreshableVersion="3" useAutoFormatting="1" colGrandTotals="0" itemPrintTitles="1" createdVersion="6" indent="0" showHeaders="0" outline="1" outlineData="1" multipleFieldFilters="0">
  <location ref="B6:AB17" firstHeaderRow="1" firstDataRow="3" firstDataCol="1"/>
  <pivotFields count="11">
    <pivotField axis="axisCol" numFmtId="170" showAll="0">
      <items count="15">
        <item x="0"/>
        <item x="1"/>
        <item x="2"/>
        <item x="3"/>
        <item x="4"/>
        <item x="5"/>
        <item x="6"/>
        <item x="7"/>
        <item x="8"/>
        <item x="9"/>
        <item x="10"/>
        <item x="11"/>
        <item x="12"/>
        <item x="13"/>
        <item t="default"/>
      </items>
    </pivotField>
    <pivotField numFmtId="168" showAll="0"/>
    <pivotField numFmtId="169" showAll="0"/>
    <pivotField axis="axisRow" dataField="1" showAll="0">
      <items count="9">
        <item x="2"/>
        <item x="6"/>
        <item x="0"/>
        <item x="3"/>
        <item x="7"/>
        <item x="5"/>
        <item x="1"/>
        <item x="4"/>
        <item t="default"/>
      </items>
    </pivotField>
    <pivotField showAll="0"/>
    <pivotField numFmtId="166" showAll="0"/>
    <pivotField numFmtId="166" showAll="0"/>
    <pivotField numFmtId="166" showAll="0"/>
    <pivotField numFmtId="166" showAll="0"/>
    <pivotField numFmtId="166" showAll="0"/>
    <pivotField axis="axisCol" showAll="0">
      <items count="5">
        <item x="0"/>
        <item x="1"/>
        <item x="2"/>
        <item x="3"/>
        <item t="default"/>
      </items>
    </pivotField>
  </pivotFields>
  <rowFields count="1">
    <field x="3"/>
  </rowFields>
  <rowItems count="9">
    <i>
      <x/>
    </i>
    <i>
      <x v="1"/>
    </i>
    <i>
      <x v="2"/>
    </i>
    <i>
      <x v="3"/>
    </i>
    <i>
      <x v="4"/>
    </i>
    <i>
      <x v="5"/>
    </i>
    <i>
      <x v="6"/>
    </i>
    <i>
      <x v="7"/>
    </i>
    <i t="grand">
      <x/>
    </i>
  </rowItems>
  <colFields count="2">
    <field x="10"/>
    <field x="0"/>
  </colFields>
  <colItems count="26">
    <i>
      <x v="1"/>
      <x v="1"/>
    </i>
    <i r="1">
      <x v="2"/>
    </i>
    <i r="1">
      <x v="3"/>
    </i>
    <i r="1">
      <x v="4"/>
    </i>
    <i r="1">
      <x v="5"/>
    </i>
    <i r="1">
      <x v="6"/>
    </i>
    <i r="1">
      <x v="7"/>
    </i>
    <i r="1">
      <x v="8"/>
    </i>
    <i r="1">
      <x v="9"/>
    </i>
    <i r="1">
      <x v="10"/>
    </i>
    <i r="1">
      <x v="11"/>
    </i>
    <i r="1">
      <x v="12"/>
    </i>
    <i t="default">
      <x v="1"/>
    </i>
    <i>
      <x v="2"/>
      <x v="1"/>
    </i>
    <i r="1">
      <x v="2"/>
    </i>
    <i r="1">
      <x v="3"/>
    </i>
    <i r="1">
      <x v="4"/>
    </i>
    <i r="1">
      <x v="5"/>
    </i>
    <i r="1">
      <x v="6"/>
    </i>
    <i r="1">
      <x v="7"/>
    </i>
    <i r="1">
      <x v="8"/>
    </i>
    <i r="1">
      <x v="9"/>
    </i>
    <i r="1">
      <x v="10"/>
    </i>
    <i r="1">
      <x v="11"/>
    </i>
    <i r="1">
      <x v="12"/>
    </i>
    <i t="default">
      <x v="2"/>
    </i>
  </colItems>
  <dataFields count="1">
    <dataField name="Count of Employee Name" fld="3" subtotal="count"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4990691-7A8E-43E9-93AD-8A7AB95A5EA4}" name="Payroll sheet 2" cacheId="31" applyNumberFormats="0" applyBorderFormats="0" applyFontFormats="0" applyPatternFormats="0" applyAlignmentFormats="0" applyWidthHeightFormats="1" dataCaption="Values" updatedVersion="6" minRefreshableVersion="3" useAutoFormatting="1" itemPrintTitles="1" createdVersion="6" indent="0" showHeaders="0" outline="1" outlineData="1" multipleFieldFilters="0" rowHeaderCaption="Employee Name">
  <location ref="B26:AC37" firstHeaderRow="1" firstDataRow="3" firstDataCol="1"/>
  <pivotFields count="11">
    <pivotField axis="axisCol" numFmtId="170" showAll="0">
      <items count="15">
        <item x="0"/>
        <item x="1"/>
        <item x="2"/>
        <item x="3"/>
        <item x="4"/>
        <item x="5"/>
        <item x="6"/>
        <item x="7"/>
        <item x="8"/>
        <item x="9"/>
        <item x="10"/>
        <item x="11"/>
        <item x="12"/>
        <item x="13"/>
        <item t="default"/>
      </items>
    </pivotField>
    <pivotField numFmtId="168" showAll="0"/>
    <pivotField numFmtId="169" showAll="0"/>
    <pivotField axis="axisRow" showAll="0">
      <items count="9">
        <item x="2"/>
        <item x="6"/>
        <item x="0"/>
        <item x="3"/>
        <item x="7"/>
        <item x="5"/>
        <item x="1"/>
        <item x="4"/>
        <item t="default"/>
      </items>
    </pivotField>
    <pivotField showAll="0"/>
    <pivotField numFmtId="166" showAll="0"/>
    <pivotField numFmtId="166" showAll="0"/>
    <pivotField numFmtId="166" showAll="0"/>
    <pivotField numFmtId="166" showAll="0"/>
    <pivotField dataField="1" numFmtId="166" showAll="0"/>
    <pivotField axis="axisCol" showAll="0">
      <items count="5">
        <item x="0"/>
        <item x="1"/>
        <item x="2"/>
        <item x="3"/>
        <item t="default"/>
      </items>
    </pivotField>
  </pivotFields>
  <rowFields count="1">
    <field x="3"/>
  </rowFields>
  <rowItems count="9">
    <i>
      <x/>
    </i>
    <i>
      <x v="1"/>
    </i>
    <i>
      <x v="2"/>
    </i>
    <i>
      <x v="3"/>
    </i>
    <i>
      <x v="4"/>
    </i>
    <i>
      <x v="5"/>
    </i>
    <i>
      <x v="6"/>
    </i>
    <i>
      <x v="7"/>
    </i>
    <i t="grand">
      <x/>
    </i>
  </rowItems>
  <colFields count="2">
    <field x="10"/>
    <field x="0"/>
  </colFields>
  <colItems count="27">
    <i>
      <x v="1"/>
      <x v="1"/>
    </i>
    <i r="1">
      <x v="2"/>
    </i>
    <i r="1">
      <x v="3"/>
    </i>
    <i r="1">
      <x v="4"/>
    </i>
    <i r="1">
      <x v="5"/>
    </i>
    <i r="1">
      <x v="6"/>
    </i>
    <i r="1">
      <x v="7"/>
    </i>
    <i r="1">
      <x v="8"/>
    </i>
    <i r="1">
      <x v="9"/>
    </i>
    <i r="1">
      <x v="10"/>
    </i>
    <i r="1">
      <x v="11"/>
    </i>
    <i r="1">
      <x v="12"/>
    </i>
    <i t="default">
      <x v="1"/>
    </i>
    <i>
      <x v="2"/>
      <x v="1"/>
    </i>
    <i r="1">
      <x v="2"/>
    </i>
    <i r="1">
      <x v="3"/>
    </i>
    <i r="1">
      <x v="4"/>
    </i>
    <i r="1">
      <x v="5"/>
    </i>
    <i r="1">
      <x v="6"/>
    </i>
    <i r="1">
      <x v="7"/>
    </i>
    <i r="1">
      <x v="8"/>
    </i>
    <i r="1">
      <x v="9"/>
    </i>
    <i r="1">
      <x v="10"/>
    </i>
    <i r="1">
      <x v="11"/>
    </i>
    <i r="1">
      <x v="12"/>
    </i>
    <i t="default">
      <x v="2"/>
    </i>
    <i t="grand">
      <x/>
    </i>
  </colItems>
  <dataFields count="1">
    <dataField name="Sum of Total Payroll" fld="9" baseField="0" baseItem="0" numFmtId="166"/>
  </dataFields>
  <formats count="1">
    <format dxfId="0">
      <pivotArea outline="0" collapsedLevelsAreSubtotals="1" fieldPosition="0"/>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880DFE0-D0A6-4BB7-883D-9EF184646D05}" name="Payroll sheet 1" cacheId="3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rowHeaderCaption="Employee Name">
  <location ref="B11:F20" firstHeaderRow="0" firstDataRow="1" firstDataCol="1"/>
  <pivotFields count="11">
    <pivotField numFmtId="170" multipleItemSelectionAllowed="1" showAll="0">
      <items count="15">
        <item x="0"/>
        <item x="1"/>
        <item x="2"/>
        <item x="3"/>
        <item x="4"/>
        <item x="5"/>
        <item x="6"/>
        <item x="7"/>
        <item x="8"/>
        <item x="9"/>
        <item x="10"/>
        <item x="11"/>
        <item x="12"/>
        <item x="13"/>
        <item t="default"/>
      </items>
    </pivotField>
    <pivotField numFmtId="168" showAll="0">
      <items count="25">
        <item x="0"/>
        <item x="1"/>
        <item x="2"/>
        <item x="3"/>
        <item x="4"/>
        <item x="5"/>
        <item x="6"/>
        <item x="7"/>
        <item x="8"/>
        <item x="9"/>
        <item x="10"/>
        <item x="11"/>
        <item x="12"/>
        <item x="13"/>
        <item x="14"/>
        <item x="15"/>
        <item x="16"/>
        <item x="17"/>
        <item x="18"/>
        <item x="19"/>
        <item x="20"/>
        <item x="21"/>
        <item x="22"/>
        <item x="23"/>
        <item t="default"/>
      </items>
    </pivotField>
    <pivotField numFmtId="169" showAll="0"/>
    <pivotField axis="axisRow" showAll="0">
      <items count="9">
        <item x="2"/>
        <item x="6"/>
        <item x="0"/>
        <item x="3"/>
        <item x="7"/>
        <item x="5"/>
        <item x="1"/>
        <item x="4"/>
        <item t="default"/>
      </items>
    </pivotField>
    <pivotField showAll="0"/>
    <pivotField numFmtId="166" showAll="0"/>
    <pivotField dataField="1" numFmtId="166" showAll="0"/>
    <pivotField dataField="1" numFmtId="166" showAll="0"/>
    <pivotField dataField="1" numFmtId="166" showAll="0"/>
    <pivotField dataField="1" numFmtId="166" showAll="0"/>
    <pivotField showAll="0">
      <items count="5">
        <item x="0"/>
        <item x="1"/>
        <item x="2"/>
        <item x="3"/>
        <item t="default"/>
      </items>
    </pivotField>
  </pivotFields>
  <rowFields count="1">
    <field x="3"/>
  </rowFields>
  <rowItems count="9">
    <i>
      <x/>
    </i>
    <i>
      <x v="1"/>
    </i>
    <i>
      <x v="2"/>
    </i>
    <i>
      <x v="3"/>
    </i>
    <i>
      <x v="4"/>
    </i>
    <i>
      <x v="5"/>
    </i>
    <i>
      <x v="6"/>
    </i>
    <i>
      <x v="7"/>
    </i>
    <i t="grand">
      <x/>
    </i>
  </rowItems>
  <colFields count="1">
    <field x="-2"/>
  </colFields>
  <colItems count="4">
    <i>
      <x/>
    </i>
    <i i="1">
      <x v="1"/>
    </i>
    <i i="2">
      <x v="2"/>
    </i>
    <i i="3">
      <x v="3"/>
    </i>
  </colItems>
  <dataFields count="4">
    <dataField name="Sum of Base salary" fld="6" baseField="0" baseItem="0"/>
    <dataField name="Sum of Bonus accrual" fld="7" baseField="0" baseItem="0"/>
    <dataField name="Sum of Comission" fld="8" baseField="0" baseItem="0"/>
    <dataField name="Sum of Total Payroll" fld="9" baseField="0" baseItem="0"/>
  </dataFields>
  <formats count="3">
    <format dxfId="3">
      <pivotArea outline="0" collapsedLevelsAreSubtotals="1" fieldPosition="0"/>
    </format>
    <format dxfId="2">
      <pivotArea dataOnly="0" labelOnly="1" outline="0" fieldPosition="0">
        <references count="1">
          <reference field="4294967294" count="4">
            <x v="0"/>
            <x v="1"/>
            <x v="2"/>
            <x v="3"/>
          </reference>
        </references>
      </pivotArea>
    </format>
    <format dxfId="1">
      <pivotArea field="3" type="button" dataOnly="0" labelOnly="1" outline="0" axis="axisRow" fieldPosition="0"/>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_Name" xr10:uid="{A7FAE95C-88CE-47E1-878D-D04FA1922B24}" sourceName="Employee Name">
  <pivotTables>
    <pivotTable tabId="14" name="revenue and salaries"/>
    <pivotTable tabId="14" name="TTL employee"/>
    <pivotTable tabId="14" name="MOM"/>
    <pivotTable tabId="14" name="revenue timeline"/>
  </pivotTables>
  <data>
    <tabular pivotCacheId="399767683">
      <items count="8">
        <i x="2" s="1"/>
        <i x="6" s="1"/>
        <i x="0" s="1"/>
        <i x="3" s="1"/>
        <i x="7" s="1"/>
        <i x="5" s="1"/>
        <i x="1" s="1"/>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 xr10:uid="{4C837063-DF8A-4CEA-AA3B-0A050E6E166A}" sourceName="Group">
  <pivotTables>
    <pivotTable tabId="14" name="revenue and salaries"/>
    <pivotTable tabId="14" name="TTL employee"/>
    <pivotTable tabId="14" name="MOM"/>
    <pivotTable tabId="14" name="revenue timeline"/>
    <pivotTable tabId="14" name="employee payroll"/>
  </pivotTables>
  <data>
    <tabular pivotCacheId="399767683">
      <items count="4">
        <i x="1" s="1"/>
        <i x="0" s="1"/>
        <i x="3" s="1"/>
        <i x="2"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orkload" xr10:uid="{0766D0C5-F918-475D-BB2F-C66C8759ABB8}" sourceName="Workload">
  <pivotTables>
    <pivotTable tabId="14" name="groups"/>
  </pivotTables>
  <data>
    <tabular pivotCacheId="620140067">
      <items count="2">
        <i x="0" s="1"/>
        <i x="1"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onus_Target" xr10:uid="{F4F9513C-4139-4C0D-A4DA-CDF624685C5B}" sourceName="Bonus Target">
  <pivotTables>
    <pivotTable tabId="14" name="groups"/>
  </pivotTables>
  <data>
    <tabular pivotCacheId="620140067">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mployee Name" xr10:uid="{59210CF3-B0E6-4898-BD48-BF28905FD95A}" cache="Slicer_Employee_Name" caption="Employee Name" style="Slicer Style 1" rowHeight="225425"/>
  <slicer name="Group" xr10:uid="{362B77A3-B325-48ED-8F2C-B89AAB94CF50}" cache="Slicer_Group" caption="Group" style="Slicer Style 1" rowHeight="225425"/>
  <slicer name="Workload" xr10:uid="{90F1C341-68B7-4BFA-A8F7-671B68C87B91}" cache="Slicer_Workload" caption="Workload" style="Slicer Style 1" rowHeight="225425"/>
  <slicer name="Bonus Target" xr10:uid="{2E685F6B-60FA-45F7-9A4A-DF02BB354829}" cache="Slicer_Bonus_Target" caption="Bonus Target" style="Slicer Style 1"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5C44B5-3FAA-4B4E-B682-8E0FA63F463A}" name="database" displayName="database" ref="B2:K10" totalsRowShown="0" headerRowDxfId="26" headerRowBorderDxfId="25" tableBorderDxfId="24">
  <tableColumns count="10">
    <tableColumn id="1" xr3:uid="{35732B20-4DEB-485E-BD58-DCEFD20E2397}" name="Name"/>
    <tableColumn id="2" xr3:uid="{3F1A0971-916C-4DBB-8593-6594E80A78B3}" name="Employee Group"/>
    <tableColumn id="3" xr3:uid="{87E3CBD9-337F-423B-88BD-8A70EB14478F}" name="Date of Entry" dataDxfId="23"/>
    <tableColumn id="4" xr3:uid="{34A7F3F5-BDAE-4132-BDE8-DE8205A8FC46}" name="Date of Exit (if applicable)" dataDxfId="22"/>
    <tableColumn id="5" xr3:uid="{5CC6D73E-DF58-4176-9F6E-E3B2F708CCBA}" name="Number of salary payments"/>
    <tableColumn id="6" xr3:uid="{CC81E308-3570-4853-AFC3-D4FB9330B470}" name="Annual base salary (100% workload)" dataDxfId="21"/>
    <tableColumn id="7" xr3:uid="{47D2FDDC-2DE7-424A-9E40-30A3B5B8D9CD}" name="Workload" dataDxfId="20" dataCellStyle="Percent"/>
    <tableColumn id="8" xr3:uid="{ECF369F5-595F-42C4-9E99-AFD9DBBB7B74}" name="Monthly gross salary at workload (excl. Commission &amp; bonus)" dataDxfId="19">
      <calculatedColumnFormula>IFERROR(G3*'Employee Database'!$H3/F3,"")</calculatedColumnFormula>
    </tableColumn>
    <tableColumn id="9" xr3:uid="{91955694-F820-49D2-AD14-3BB85CA82ED5}" name="Bonus Target" dataDxfId="18"/>
    <tableColumn id="10" xr3:uid="{D4EF3289-3138-4741-8CE1-8F47E83B914E}" name="Sales Commission (if applicable)" dataDxfId="17"/>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52DA961-2537-466B-A8EC-BCA7B0D00973}" name="HRM" displayName="HRM" ref="B2:K166" totalsRowShown="0" headerRowDxfId="16" headerRowBorderDxfId="15" tableBorderDxfId="14">
  <autoFilter ref="B2:K166" xr:uid="{4FCFB881-0CBF-420A-8D9C-7FF5245EFDAC}"/>
  <tableColumns count="10">
    <tableColumn id="1" xr3:uid="{89F3D211-E20A-4C0D-8801-CFC486E970B2}" name="Date" dataDxfId="13"/>
    <tableColumn id="2" xr3:uid="{FE31F9F2-A3B1-4C08-A6A5-FF38E52ED1D5}" name="Month" dataDxfId="12">
      <calculatedColumnFormula>IF(HRM[[#This Row],[Date]]="","",HRM[[#This Row],[Date]])</calculatedColumnFormula>
    </tableColumn>
    <tableColumn id="3" xr3:uid="{DB0C673A-2BF8-4000-A728-248564140885}" name="Year" dataDxfId="11">
      <calculatedColumnFormula>IF(HRM[[#This Row],[Date]]="","",HRM[[#This Row],[Date]])</calculatedColumnFormula>
    </tableColumn>
    <tableColumn id="4" xr3:uid="{FA91FED3-6A31-4B9A-8248-8EDD3925E4C9}" name="Employee Name" dataDxfId="10"/>
    <tableColumn id="5" xr3:uid="{A0866D5F-6CB5-4393-8D61-CA8DB8E6247C}" name="Group" dataDxfId="9">
      <calculatedColumnFormula>IFERROR(IF(HRM[[#This Row],[Employee Name]]="","",VLOOKUP(HRM[[#This Row],[Employee Name]],'Employee Database'!B:K,2,0)),"")</calculatedColumnFormula>
    </tableColumn>
    <tableColumn id="13" xr3:uid="{67920992-C3F0-46D7-8EF0-80BF2330CC07}" name="Revenue generated by employee" dataDxfId="8" dataCellStyle="Currency"/>
    <tableColumn id="14" xr3:uid="{80E17FF6-2F2D-451E-94EF-54CEADCA70F0}" name="Base salary" dataDxfId="7" dataCellStyle="Currency">
      <calculatedColumnFormula>IFERROR(IF(HRM[[#This Row],[Employee Name]]="","",VLOOKUP(HRM[[#This Row],[Employee Name]],'Employee Database'!B:K,8,0)),"")</calculatedColumnFormula>
    </tableColumn>
    <tableColumn id="15" xr3:uid="{F7D79011-5453-47D5-8074-6487C3E32FCD}" name="Bonus accrual" dataDxfId="6" dataCellStyle="Currency">
      <calculatedColumnFormula>IFERROR(IF(HRM[[#This Row],[Employee Name]]="","",((VLOOKUP(HRM[[#This Row],[Employee Name]],'Employee Database'!B:K,9,0))*VLOOKUP(HRM[[#This Row],[Employee Name]],'Employee Database'!B:K,8,0))),"")</calculatedColumnFormula>
    </tableColumn>
    <tableColumn id="16" xr3:uid="{605A43EF-8B44-4A9D-88CA-D64EC687C77E}" name="Comission" dataDxfId="5" dataCellStyle="Currency">
      <calculatedColumnFormula>IFERROR(IF(HRM[[#This Row],[Employee Name]]="","",(VLOOKUP(HRM[[#This Row],[Employee Name]],'Employee Database'!B:K,10,0))*HRM[[#This Row],[Revenue generated by employee]]),"")</calculatedColumnFormula>
    </tableColumn>
    <tableColumn id="17" xr3:uid="{DD5DCD2E-67F3-4C5B-AA36-7F7C634F99F2}" name="Total Payroll" dataDxfId="4" dataCellStyle="Currency">
      <calculatedColumnFormula>IF(COUNT(HRM[[#This Row],[Base salary]:[Comission]])=0,"",SUM(HRM[[#This Row],[Base salary]:[Comission]]))</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Month" xr10:uid="{56C825C2-E23B-4EE5-9135-AD74574C6C2A}" sourceName="Month">
  <pivotTables>
    <pivotTable tabId="9" name="Payroll sheet 1"/>
  </pivotTables>
  <state minimalRefreshVersion="6" lastRefreshVersion="6" pivotCacheId="399767683" filterType="unknown">
    <bounds startDate="2019-01-01T00:00:00" endDate="2021-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35BF8882-8D75-4B72-81BA-B59A221289CB}" sourceName="Date">
  <pivotTables>
    <pivotTable tabId="14" name="revenue and salaries"/>
    <pivotTable tabId="14" name="TTL employee"/>
    <pivotTable tabId="14" name="MOM"/>
    <pivotTable tabId="14" name="revenue timeline"/>
    <pivotTable tabId="14" name="employee payroll"/>
    <pivotTable tabId="14" name="group salaries"/>
  </pivotTables>
  <state minimalRefreshVersion="6" lastRefreshVersion="6" pivotCacheId="399767683" filterType="unknown">
    <bounds startDate="2019-01-01T00:00:00" endDate="2021-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B98A7F9C-05A6-443C-A7B2-4D500892CA4F}" cache="NativeTimeline_Date" caption="Date" level="1" selectionLevel="1" scrollPosition="2019-01-01T00:00:00" style="Timeline Style 1"/>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Month" xr10:uid="{ED37E256-3BBA-431E-9CA2-3C69E984E0CB}" cache="NativeTimeline_Month" caption="Month" level="2" selectionLevel="2" scrollPosition="2019-01-01T00:00:00" style="Timeline Style 1"/>
</timelines>
</file>

<file path=xl/worksheets/_rels/sheet1.xml.rels><?xml version="1.0" encoding="UTF-8" standalone="yes"?>
<Relationships xmlns="http://schemas.openxmlformats.org/package/2006/relationships"><Relationship Id="rId3" Type="http://schemas.openxmlformats.org/officeDocument/2006/relationships/customProperty" Target="../customProperty1.bin"/><Relationship Id="rId2" Type="http://schemas.openxmlformats.org/officeDocument/2006/relationships/printerSettings" Target="../printerSettings/printerSettings1.bin"/><Relationship Id="rId1" Type="http://schemas.openxmlformats.org/officeDocument/2006/relationships/hyperlink" Target="http://www.simplesheets.co/"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1/relationships/timeline" Target="../timelines/timelin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customProperty" Target="../customProperty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ivotTable" Target="../pivotTables/pivotTable8.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7" Type="http://schemas.microsoft.com/office/2011/relationships/timeline" Target="../timelines/timeline2.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647F2-CBE2-4E30-B5AE-E4E40867A560}">
  <sheetPr codeName="Sheet1">
    <tabColor rgb="FFC00000"/>
  </sheetPr>
  <dimension ref="A1:G64"/>
  <sheetViews>
    <sheetView showGridLines="0" showRowColHeaders="0" tabSelected="1" zoomScale="85" zoomScaleNormal="85" workbookViewId="0">
      <selection activeCell="D5" sqref="D5"/>
    </sheetView>
  </sheetViews>
  <sheetFormatPr defaultColWidth="10.140625" defaultRowHeight="15" x14ac:dyDescent="0.2"/>
  <cols>
    <col min="1" max="1" width="24.140625" style="25" customWidth="1"/>
    <col min="2" max="2" width="22.85546875" style="2" customWidth="1"/>
    <col min="3" max="3" width="26.7109375" style="2" customWidth="1"/>
    <col min="4" max="16384" width="10.140625" style="2"/>
  </cols>
  <sheetData>
    <row r="1" spans="1:4" x14ac:dyDescent="0.2">
      <c r="A1" s="1"/>
    </row>
    <row r="2" spans="1:4" x14ac:dyDescent="0.2">
      <c r="A2" s="1"/>
    </row>
    <row r="3" spans="1:4" x14ac:dyDescent="0.2">
      <c r="A3" s="1"/>
    </row>
    <row r="4" spans="1:4" ht="3.6" customHeight="1" x14ac:dyDescent="0.2">
      <c r="A4" s="1"/>
    </row>
    <row r="5" spans="1:4" x14ac:dyDescent="0.2">
      <c r="B5" s="3" t="s">
        <v>17</v>
      </c>
      <c r="D5" s="3" t="s">
        <v>51</v>
      </c>
    </row>
    <row r="7" spans="1:4" ht="12.75" x14ac:dyDescent="0.2">
      <c r="A7" s="26" t="s">
        <v>18</v>
      </c>
      <c r="B7" s="3" t="s">
        <v>19</v>
      </c>
      <c r="D7" s="2" t="s">
        <v>22</v>
      </c>
    </row>
    <row r="8" spans="1:4" x14ac:dyDescent="0.2">
      <c r="D8" s="2" t="s">
        <v>43</v>
      </c>
    </row>
    <row r="9" spans="1:4" ht="12.75" x14ac:dyDescent="0.2">
      <c r="A9" s="27" t="s">
        <v>63</v>
      </c>
    </row>
    <row r="10" spans="1:4" ht="12.75" x14ac:dyDescent="0.2">
      <c r="A10" s="27" t="s">
        <v>32</v>
      </c>
      <c r="B10" s="3" t="s">
        <v>20</v>
      </c>
      <c r="D10" s="3">
        <v>2</v>
      </c>
    </row>
    <row r="11" spans="1:4" ht="12.75" x14ac:dyDescent="0.2">
      <c r="A11" s="27" t="s">
        <v>62</v>
      </c>
    </row>
    <row r="12" spans="1:4" x14ac:dyDescent="0.2">
      <c r="B12" s="3" t="s">
        <v>21</v>
      </c>
      <c r="C12" s="52" t="s">
        <v>35</v>
      </c>
      <c r="D12" s="53" t="s">
        <v>117</v>
      </c>
    </row>
    <row r="13" spans="1:4" ht="12.75" x14ac:dyDescent="0.2">
      <c r="A13" s="27"/>
      <c r="B13" s="3"/>
      <c r="C13" s="4" t="s">
        <v>34</v>
      </c>
      <c r="D13" s="2" t="s">
        <v>37</v>
      </c>
    </row>
    <row r="14" spans="1:4" x14ac:dyDescent="0.2">
      <c r="C14" s="54" t="s">
        <v>33</v>
      </c>
      <c r="D14" s="55" t="s">
        <v>36</v>
      </c>
    </row>
    <row r="15" spans="1:4" x14ac:dyDescent="0.2">
      <c r="C15" s="54"/>
      <c r="D15" s="55" t="s">
        <v>39</v>
      </c>
    </row>
    <row r="16" spans="1:4" x14ac:dyDescent="0.2">
      <c r="C16" s="52" t="s">
        <v>64</v>
      </c>
      <c r="D16" s="53" t="s">
        <v>116</v>
      </c>
    </row>
    <row r="17" spans="2:4" x14ac:dyDescent="0.2">
      <c r="C17" s="52"/>
      <c r="D17" s="53" t="s">
        <v>42</v>
      </c>
    </row>
    <row r="18" spans="2:4" x14ac:dyDescent="0.2">
      <c r="C18" s="4" t="s">
        <v>62</v>
      </c>
      <c r="D18" s="2" t="s">
        <v>65</v>
      </c>
    </row>
    <row r="19" spans="2:4" x14ac:dyDescent="0.2">
      <c r="C19" s="54" t="s">
        <v>38</v>
      </c>
      <c r="D19" s="55" t="s">
        <v>40</v>
      </c>
    </row>
    <row r="20" spans="2:4" x14ac:dyDescent="0.2">
      <c r="C20" s="54"/>
      <c r="D20" s="55" t="s">
        <v>106</v>
      </c>
    </row>
    <row r="21" spans="2:4" x14ac:dyDescent="0.2">
      <c r="C21" s="4"/>
    </row>
    <row r="22" spans="2:4" x14ac:dyDescent="0.2">
      <c r="B22" s="3" t="s">
        <v>31</v>
      </c>
      <c r="C22" s="4" t="s">
        <v>41</v>
      </c>
      <c r="D22" s="2" t="s">
        <v>45</v>
      </c>
    </row>
    <row r="23" spans="2:4" x14ac:dyDescent="0.2">
      <c r="C23" s="4" t="s">
        <v>44</v>
      </c>
      <c r="D23" s="2" t="s">
        <v>99</v>
      </c>
    </row>
    <row r="24" spans="2:4" x14ac:dyDescent="0.2">
      <c r="C24" s="4" t="s">
        <v>46</v>
      </c>
      <c r="D24" s="2" t="s">
        <v>100</v>
      </c>
    </row>
    <row r="25" spans="2:4" x14ac:dyDescent="0.2">
      <c r="C25" s="4" t="s">
        <v>47</v>
      </c>
      <c r="D25" s="2" t="s">
        <v>101</v>
      </c>
    </row>
    <row r="26" spans="2:4" x14ac:dyDescent="0.2">
      <c r="C26" s="4" t="s">
        <v>48</v>
      </c>
      <c r="D26" s="2" t="s">
        <v>102</v>
      </c>
    </row>
    <row r="27" spans="2:4" x14ac:dyDescent="0.2">
      <c r="C27" s="4" t="s">
        <v>50</v>
      </c>
      <c r="D27" s="2" t="s">
        <v>103</v>
      </c>
    </row>
    <row r="28" spans="2:4" x14ac:dyDescent="0.2">
      <c r="C28" s="4" t="s">
        <v>108</v>
      </c>
      <c r="D28" s="2" t="s">
        <v>104</v>
      </c>
    </row>
    <row r="29" spans="2:4" x14ac:dyDescent="0.2">
      <c r="C29" s="4" t="s">
        <v>109</v>
      </c>
      <c r="D29" s="2" t="s">
        <v>105</v>
      </c>
    </row>
    <row r="30" spans="2:4" x14ac:dyDescent="0.2">
      <c r="C30" s="4" t="s">
        <v>110</v>
      </c>
      <c r="D30" s="2" t="s">
        <v>107</v>
      </c>
    </row>
    <row r="31" spans="2:4" x14ac:dyDescent="0.2">
      <c r="C31" s="4" t="s">
        <v>111</v>
      </c>
      <c r="D31" s="2" t="s">
        <v>49</v>
      </c>
    </row>
    <row r="32" spans="2:4" x14ac:dyDescent="0.2">
      <c r="C32" s="4" t="s">
        <v>112</v>
      </c>
      <c r="D32" s="2" t="s">
        <v>113</v>
      </c>
    </row>
    <row r="33" spans="2:7" x14ac:dyDescent="0.2">
      <c r="C33" s="4" t="s">
        <v>115</v>
      </c>
      <c r="D33" s="2" t="s">
        <v>114</v>
      </c>
    </row>
    <row r="36" spans="2:7" x14ac:dyDescent="0.2">
      <c r="B36" s="64" t="s">
        <v>118</v>
      </c>
      <c r="C36" s="93"/>
      <c r="D36" s="94" t="s">
        <v>119</v>
      </c>
      <c r="E36" s="95"/>
      <c r="F36" s="95"/>
      <c r="G36" s="95"/>
    </row>
    <row r="37" spans="2:7" x14ac:dyDescent="0.2">
      <c r="B37" s="95"/>
      <c r="C37" s="95"/>
      <c r="D37" s="94" t="s">
        <v>120</v>
      </c>
      <c r="E37" s="95"/>
      <c r="F37" s="95"/>
      <c r="G37" s="95"/>
    </row>
    <row r="38" spans="2:7" x14ac:dyDescent="0.2">
      <c r="B38" s="95"/>
      <c r="C38" s="95"/>
      <c r="D38" s="95"/>
      <c r="E38" s="95"/>
      <c r="F38" s="95"/>
      <c r="G38" s="95"/>
    </row>
    <row r="39" spans="2:7" x14ac:dyDescent="0.2">
      <c r="B39" s="95"/>
      <c r="C39" s="96" t="s">
        <v>121</v>
      </c>
      <c r="D39" s="95" t="s">
        <v>122</v>
      </c>
      <c r="E39" s="95"/>
      <c r="F39" s="95"/>
      <c r="G39" s="95"/>
    </row>
    <row r="40" spans="2:7" x14ac:dyDescent="0.2">
      <c r="B40" s="95"/>
      <c r="C40" s="95"/>
      <c r="D40" s="93"/>
      <c r="E40" s="95"/>
      <c r="F40" s="95"/>
      <c r="G40" s="95"/>
    </row>
    <row r="41" spans="2:7" x14ac:dyDescent="0.2">
      <c r="B41" s="95"/>
      <c r="C41" s="95"/>
      <c r="D41" s="93"/>
      <c r="E41" s="95"/>
      <c r="F41" s="95"/>
      <c r="G41" s="95"/>
    </row>
    <row r="42" spans="2:7" x14ac:dyDescent="0.2">
      <c r="B42" s="95"/>
      <c r="C42" s="95"/>
      <c r="D42" s="93"/>
      <c r="E42" s="95"/>
      <c r="F42" s="95"/>
      <c r="G42" s="95"/>
    </row>
    <row r="43" spans="2:7" x14ac:dyDescent="0.2">
      <c r="B43" s="95"/>
      <c r="C43" s="95"/>
      <c r="D43" s="93"/>
      <c r="E43" s="95"/>
      <c r="F43" s="95"/>
      <c r="G43" s="95"/>
    </row>
    <row r="44" spans="2:7" x14ac:dyDescent="0.2">
      <c r="B44" s="95"/>
      <c r="C44" s="95"/>
      <c r="D44" s="93"/>
      <c r="E44" s="95"/>
      <c r="F44" s="95"/>
      <c r="G44" s="95"/>
    </row>
    <row r="45" spans="2:7" x14ac:dyDescent="0.2">
      <c r="B45" s="95"/>
      <c r="C45" s="96" t="s">
        <v>123</v>
      </c>
      <c r="D45" s="95" t="s">
        <v>124</v>
      </c>
      <c r="E45" s="95"/>
      <c r="F45" s="95"/>
      <c r="G45" s="95"/>
    </row>
    <row r="46" spans="2:7" x14ac:dyDescent="0.2">
      <c r="B46" s="95"/>
      <c r="C46" s="95"/>
      <c r="D46" s="95"/>
      <c r="E46" s="95"/>
      <c r="F46" s="95"/>
      <c r="G46" s="95"/>
    </row>
    <row r="47" spans="2:7" x14ac:dyDescent="0.2">
      <c r="B47" s="95"/>
      <c r="C47" s="96" t="s">
        <v>125</v>
      </c>
      <c r="D47" s="95" t="s">
        <v>126</v>
      </c>
      <c r="E47" s="95"/>
      <c r="F47" s="95"/>
      <c r="G47" s="95"/>
    </row>
    <row r="48" spans="2:7" x14ac:dyDescent="0.2">
      <c r="B48" s="95"/>
      <c r="C48" s="95"/>
      <c r="D48" s="95"/>
      <c r="E48" s="95"/>
      <c r="F48" s="95"/>
      <c r="G48" s="95"/>
    </row>
    <row r="49" spans="2:7" x14ac:dyDescent="0.2">
      <c r="B49" s="95"/>
      <c r="C49" s="95"/>
      <c r="D49" s="95"/>
      <c r="E49" s="95"/>
      <c r="F49" s="95"/>
      <c r="G49" s="95"/>
    </row>
    <row r="50" spans="2:7" x14ac:dyDescent="0.2">
      <c r="B50" s="95"/>
      <c r="C50" s="95"/>
      <c r="D50" s="95"/>
      <c r="E50" s="95"/>
      <c r="F50" s="95"/>
      <c r="G50" s="95"/>
    </row>
    <row r="51" spans="2:7" x14ac:dyDescent="0.2">
      <c r="B51" s="95"/>
      <c r="C51" s="95"/>
      <c r="D51" s="95"/>
      <c r="E51" s="95"/>
      <c r="F51" s="95"/>
      <c r="G51" s="95"/>
    </row>
    <row r="52" spans="2:7" x14ac:dyDescent="0.2">
      <c r="B52" s="95"/>
      <c r="C52" s="95"/>
      <c r="D52" s="95"/>
      <c r="E52" s="95"/>
      <c r="F52" s="95"/>
      <c r="G52" s="95"/>
    </row>
    <row r="53" spans="2:7" x14ac:dyDescent="0.2">
      <c r="B53" s="95"/>
      <c r="C53" s="96" t="s">
        <v>127</v>
      </c>
      <c r="D53" s="95" t="s">
        <v>128</v>
      </c>
      <c r="E53" s="95"/>
      <c r="F53" s="95"/>
      <c r="G53" s="95"/>
    </row>
    <row r="54" spans="2:7" x14ac:dyDescent="0.2">
      <c r="B54" s="95"/>
      <c r="C54" s="95"/>
      <c r="D54" s="95"/>
      <c r="E54" s="95"/>
      <c r="F54" s="95"/>
      <c r="G54" s="95"/>
    </row>
    <row r="55" spans="2:7" x14ac:dyDescent="0.2">
      <c r="B55" s="95"/>
      <c r="C55" s="95"/>
      <c r="D55" s="95"/>
      <c r="E55" s="95"/>
      <c r="F55" s="95"/>
      <c r="G55" s="95"/>
    </row>
    <row r="56" spans="2:7" x14ac:dyDescent="0.2">
      <c r="B56" s="95"/>
      <c r="C56" s="95"/>
      <c r="D56" s="95"/>
      <c r="E56" s="95"/>
      <c r="F56" s="95"/>
      <c r="G56" s="95"/>
    </row>
    <row r="57" spans="2:7" x14ac:dyDescent="0.2">
      <c r="B57" s="95"/>
      <c r="C57" s="95"/>
      <c r="D57" s="95"/>
      <c r="E57" s="95"/>
      <c r="F57" s="95"/>
      <c r="G57" s="95"/>
    </row>
    <row r="58" spans="2:7" x14ac:dyDescent="0.2">
      <c r="B58" s="95"/>
      <c r="C58" s="95"/>
      <c r="D58" s="95"/>
      <c r="E58" s="95"/>
      <c r="F58" s="95"/>
      <c r="G58" s="95"/>
    </row>
    <row r="59" spans="2:7" x14ac:dyDescent="0.2">
      <c r="B59" s="95"/>
      <c r="C59" s="95"/>
      <c r="D59" s="94"/>
      <c r="E59" s="95"/>
      <c r="F59" s="95"/>
      <c r="G59" s="95"/>
    </row>
    <row r="60" spans="2:7" x14ac:dyDescent="0.2">
      <c r="B60" s="95"/>
      <c r="C60" s="95"/>
      <c r="D60" s="2" t="s">
        <v>129</v>
      </c>
      <c r="E60" s="95"/>
      <c r="F60" s="95"/>
      <c r="G60" s="95"/>
    </row>
    <row r="61" spans="2:7" x14ac:dyDescent="0.2">
      <c r="B61" s="95"/>
      <c r="C61" s="95"/>
      <c r="D61" s="97" t="s">
        <v>130</v>
      </c>
      <c r="E61" s="95"/>
      <c r="F61" s="95"/>
      <c r="G61" s="95"/>
    </row>
    <row r="62" spans="2:7" x14ac:dyDescent="0.2">
      <c r="B62" s="95"/>
      <c r="C62" s="95"/>
      <c r="D62" s="2" t="s">
        <v>131</v>
      </c>
      <c r="E62" s="95"/>
      <c r="F62" s="95"/>
      <c r="G62" s="95"/>
    </row>
    <row r="63" spans="2:7" x14ac:dyDescent="0.2">
      <c r="B63" s="95"/>
      <c r="C63" s="95"/>
      <c r="D63" s="2" t="s">
        <v>132</v>
      </c>
      <c r="E63" s="95"/>
      <c r="F63" s="95"/>
      <c r="G63" s="95"/>
    </row>
    <row r="64" spans="2:7" x14ac:dyDescent="0.2">
      <c r="B64" s="95"/>
      <c r="C64" s="95"/>
      <c r="D64" s="2" t="s">
        <v>133</v>
      </c>
      <c r="E64" s="95"/>
      <c r="F64" s="95"/>
      <c r="G64" s="95"/>
    </row>
  </sheetData>
  <conditionalFormatting sqref="D10">
    <cfRule type="iconSet" priority="1">
      <iconSet reverse="1">
        <cfvo type="percent" val="0"/>
        <cfvo type="num" val="1" gte="0"/>
        <cfvo type="num" val="2" gte="0"/>
      </iconSet>
    </cfRule>
  </conditionalFormatting>
  <hyperlinks>
    <hyperlink ref="A10" location="'Employee Database'!A1" display="Employee Database" xr:uid="{04BC8A72-5893-4231-95EC-6E221CB88C96}"/>
    <hyperlink ref="A11" location="'Raw Data'!A1" display="Raw Data" xr:uid="{42B12014-0584-48ED-A978-B7B3E4CF7393}"/>
    <hyperlink ref="A9" location="Dashboard!A1" display="Dashboard" xr:uid="{9BBFE19B-8A8B-4BCC-8C67-274FD2C3AAA5}"/>
    <hyperlink ref="D61" r:id="rId1" xr:uid="{AEACD2FB-6927-4073-A804-A025AEADB84A}"/>
  </hyperlinks>
  <pageMargins left="0.7" right="0.7" top="0.75" bottom="0.75" header="0.3" footer="0.3"/>
  <pageSetup paperSize="9" orientation="portrait" horizontalDpi="200" verticalDpi="200" r:id="rId2"/>
  <customProperties>
    <customPr name="EpmWorksheetKeyString_GUID" r:id="rId3"/>
  </customProperties>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B48B2-C1FD-4D4A-BE67-4895B4BA256E}">
  <sheetPr codeName="Sheet2">
    <tabColor rgb="FF50B47F"/>
  </sheetPr>
  <dimension ref="A1:W49"/>
  <sheetViews>
    <sheetView showGridLines="0" showRowColHeaders="0" zoomScale="85" zoomScaleNormal="85" workbookViewId="0">
      <pane ySplit="6" topLeftCell="A7" activePane="bottomLeft" state="frozen"/>
      <selection pane="bottomLeft" activeCell="A26" sqref="A26"/>
    </sheetView>
  </sheetViews>
  <sheetFormatPr defaultColWidth="0" defaultRowHeight="0" customHeight="1" zeroHeight="1" x14ac:dyDescent="0.2"/>
  <cols>
    <col min="1" max="1" width="8.7109375" style="5" customWidth="1"/>
    <col min="2" max="3" width="9.7109375" style="5" customWidth="1"/>
    <col min="4" max="4" width="3" style="5" customWidth="1"/>
    <col min="5" max="9" width="10.28515625" style="5" customWidth="1"/>
    <col min="10" max="10" width="16.42578125" style="5" customWidth="1"/>
    <col min="11" max="13" width="10.28515625" style="5" customWidth="1"/>
    <col min="14" max="15" width="7.28515625" style="5" customWidth="1"/>
    <col min="16" max="23" width="10.28515625" style="5" customWidth="1"/>
    <col min="24" max="16384" width="9.140625" style="5" hidden="1"/>
  </cols>
  <sheetData>
    <row r="1" spans="1:23" ht="21" customHeight="1" x14ac:dyDescent="0.3">
      <c r="A1" s="88" t="s">
        <v>52</v>
      </c>
      <c r="B1" s="88"/>
      <c r="C1" s="88"/>
      <c r="D1" s="66"/>
      <c r="E1" s="90" t="s">
        <v>97</v>
      </c>
      <c r="F1" s="90"/>
      <c r="G1" s="21"/>
      <c r="H1" s="21"/>
      <c r="I1" s="21"/>
      <c r="J1" s="70"/>
      <c r="K1" s="82" t="s">
        <v>93</v>
      </c>
      <c r="L1" s="82"/>
      <c r="M1" s="83"/>
      <c r="N1" s="70"/>
      <c r="O1" s="21"/>
      <c r="P1" s="76" t="s">
        <v>94</v>
      </c>
      <c r="Q1" s="76"/>
      <c r="R1" s="76" t="s">
        <v>95</v>
      </c>
      <c r="S1" s="76"/>
      <c r="T1" s="76" t="s">
        <v>60</v>
      </c>
      <c r="U1" s="76"/>
      <c r="V1" s="76" t="s">
        <v>96</v>
      </c>
      <c r="W1" s="77"/>
    </row>
    <row r="2" spans="1:23" ht="12.75" customHeight="1" x14ac:dyDescent="0.2">
      <c r="A2" s="88"/>
      <c r="B2" s="88"/>
      <c r="C2" s="88"/>
      <c r="D2" s="22"/>
      <c r="E2" s="91">
        <f>IFERROR(IF(Sheet1!B5="(BLANK)",0,COUNTA(Sheet1!B:B)-1),"")</f>
        <v>8</v>
      </c>
      <c r="F2" s="91"/>
      <c r="G2" s="22"/>
      <c r="H2" s="22"/>
      <c r="I2" s="15"/>
      <c r="J2" s="74"/>
      <c r="K2" s="84">
        <f>GETPIVOTDATA("Revenue generated by employee",Sheet1!$D$4)</f>
        <v>7872117</v>
      </c>
      <c r="L2" s="84"/>
      <c r="M2" s="85"/>
      <c r="N2" s="71"/>
      <c r="O2" s="16"/>
      <c r="P2" s="78">
        <f>GETPIVOTDATA("Sum of Base salary",Sheet1!$D$4)</f>
        <v>1025869.7448717947</v>
      </c>
      <c r="Q2" s="78"/>
      <c r="R2" s="78">
        <f>GETPIVOTDATA("Sum of Bonus accrual",Sheet1!$D$4)</f>
        <v>87476.912384615382</v>
      </c>
      <c r="S2" s="78"/>
      <c r="T2" s="78">
        <f>GETPIVOTDATA("Sum of Comission",Sheet1!$D$4)</f>
        <v>75119.14899999999</v>
      </c>
      <c r="U2" s="78"/>
      <c r="V2" s="78">
        <f>GETPIVOTDATA("Sum of Total Payroll",Sheet1!$D$4)</f>
        <v>1188465.80625641</v>
      </c>
      <c r="W2" s="80"/>
    </row>
    <row r="3" spans="1:23" ht="12.75" customHeight="1" x14ac:dyDescent="0.2">
      <c r="A3" s="88"/>
      <c r="B3" s="88"/>
      <c r="C3" s="88"/>
      <c r="D3" s="22"/>
      <c r="E3" s="91"/>
      <c r="F3" s="91"/>
      <c r="G3" s="22"/>
      <c r="H3" s="22"/>
      <c r="I3" s="15"/>
      <c r="J3" s="74"/>
      <c r="K3" s="84"/>
      <c r="L3" s="84"/>
      <c r="M3" s="85"/>
      <c r="N3" s="72"/>
      <c r="O3" s="20"/>
      <c r="P3" s="78"/>
      <c r="Q3" s="78"/>
      <c r="R3" s="78"/>
      <c r="S3" s="78"/>
      <c r="T3" s="78"/>
      <c r="U3" s="78"/>
      <c r="V3" s="78"/>
      <c r="W3" s="80"/>
    </row>
    <row r="4" spans="1:23" ht="12.75" customHeight="1" x14ac:dyDescent="0.2">
      <c r="A4" s="88"/>
      <c r="B4" s="88"/>
      <c r="C4" s="88"/>
      <c r="D4" s="22"/>
      <c r="E4" s="91"/>
      <c r="F4" s="91"/>
      <c r="G4" s="22"/>
      <c r="H4" s="22"/>
      <c r="I4" s="15"/>
      <c r="J4" s="74"/>
      <c r="K4" s="84"/>
      <c r="L4" s="84"/>
      <c r="M4" s="85"/>
      <c r="N4" s="72"/>
      <c r="O4" s="20"/>
      <c r="P4" s="78"/>
      <c r="Q4" s="78"/>
      <c r="R4" s="78"/>
      <c r="S4" s="78"/>
      <c r="T4" s="78"/>
      <c r="U4" s="78"/>
      <c r="V4" s="78"/>
      <c r="W4" s="80"/>
    </row>
    <row r="5" spans="1:23" ht="12.75" customHeight="1" x14ac:dyDescent="0.2">
      <c r="A5" s="88"/>
      <c r="B5" s="88"/>
      <c r="C5" s="88"/>
      <c r="D5" s="22"/>
      <c r="E5" s="91"/>
      <c r="F5" s="91"/>
      <c r="G5" s="22"/>
      <c r="H5" s="22"/>
      <c r="I5" s="15"/>
      <c r="J5" s="74"/>
      <c r="K5" s="84"/>
      <c r="L5" s="84"/>
      <c r="M5" s="85"/>
      <c r="N5" s="72"/>
      <c r="O5" s="20"/>
      <c r="P5" s="78"/>
      <c r="Q5" s="78"/>
      <c r="R5" s="78"/>
      <c r="S5" s="78"/>
      <c r="T5" s="78"/>
      <c r="U5" s="78"/>
      <c r="V5" s="78"/>
      <c r="W5" s="80"/>
    </row>
    <row r="6" spans="1:23" ht="12.75" customHeight="1" thickBot="1" x14ac:dyDescent="0.25">
      <c r="A6" s="89"/>
      <c r="B6" s="89"/>
      <c r="C6" s="89"/>
      <c r="D6" s="17"/>
      <c r="E6" s="92"/>
      <c r="F6" s="92"/>
      <c r="G6" s="17"/>
      <c r="H6" s="17"/>
      <c r="I6" s="18"/>
      <c r="J6" s="75"/>
      <c r="K6" s="86"/>
      <c r="L6" s="86"/>
      <c r="M6" s="87"/>
      <c r="N6" s="73"/>
      <c r="O6" s="19"/>
      <c r="P6" s="79"/>
      <c r="Q6" s="79"/>
      <c r="R6" s="79"/>
      <c r="S6" s="79"/>
      <c r="T6" s="79"/>
      <c r="U6" s="79"/>
      <c r="V6" s="79"/>
      <c r="W6" s="81"/>
    </row>
    <row r="7" spans="1:23" ht="12.75" customHeight="1" x14ac:dyDescent="0.2"/>
    <row r="8" spans="1:23" ht="12.75" customHeight="1" x14ac:dyDescent="0.2"/>
    <row r="9" spans="1:23" ht="12.75" customHeight="1" x14ac:dyDescent="0.2"/>
    <row r="10" spans="1:23" ht="12.75" customHeight="1" x14ac:dyDescent="0.2"/>
    <row r="11" spans="1:23" ht="12.75" x14ac:dyDescent="0.2">
      <c r="R11" s="6"/>
    </row>
    <row r="12" spans="1:23" ht="12.75" customHeight="1" x14ac:dyDescent="0.2">
      <c r="Q12" s="8"/>
      <c r="R12" s="8"/>
      <c r="S12" s="8"/>
      <c r="T12" s="8"/>
      <c r="U12" s="8"/>
      <c r="V12" s="8"/>
      <c r="W12" s="8"/>
    </row>
    <row r="13" spans="1:23" ht="12.75" customHeight="1" x14ac:dyDescent="0.2">
      <c r="Q13" s="8"/>
      <c r="R13" s="8"/>
      <c r="S13" s="8"/>
      <c r="T13" s="8"/>
      <c r="U13" s="8"/>
      <c r="V13" s="8"/>
      <c r="W13" s="8"/>
    </row>
    <row r="14" spans="1:23" ht="12.75" customHeight="1" x14ac:dyDescent="0.2">
      <c r="Q14" s="8"/>
      <c r="R14" s="8"/>
      <c r="S14" s="8"/>
      <c r="T14" s="8"/>
      <c r="U14" s="8"/>
      <c r="V14" s="8"/>
      <c r="W14" s="8"/>
    </row>
    <row r="15" spans="1:23" ht="12.75" customHeight="1" x14ac:dyDescent="0.2">
      <c r="Q15" s="23"/>
      <c r="R15" s="23"/>
      <c r="S15" s="23"/>
      <c r="T15" s="23"/>
      <c r="U15" s="23"/>
      <c r="V15" s="23"/>
      <c r="W15" s="23"/>
    </row>
    <row r="16" spans="1:23" ht="12.75" customHeight="1" x14ac:dyDescent="0.2">
      <c r="Q16" s="23"/>
      <c r="R16" s="23"/>
      <c r="S16" s="23"/>
      <c r="T16" s="23"/>
      <c r="U16" s="23"/>
      <c r="V16" s="23"/>
      <c r="W16" s="23"/>
    </row>
    <row r="17" spans="15:23" ht="12.75" customHeight="1" x14ac:dyDescent="0.2">
      <c r="Q17" s="9"/>
      <c r="R17" s="10"/>
      <c r="S17" s="10"/>
      <c r="T17" s="10"/>
      <c r="U17" s="10"/>
      <c r="V17" s="10"/>
      <c r="W17" s="10"/>
    </row>
    <row r="18" spans="15:23" ht="12.75" customHeight="1" x14ac:dyDescent="0.2">
      <c r="Q18" s="11"/>
      <c r="R18" s="12"/>
      <c r="S18" s="12"/>
      <c r="T18" s="12"/>
      <c r="U18" s="12"/>
      <c r="V18" s="12"/>
      <c r="W18" s="12"/>
    </row>
    <row r="19" spans="15:23" ht="12.75" customHeight="1" x14ac:dyDescent="0.2">
      <c r="Q19" s="13"/>
      <c r="R19" s="14"/>
      <c r="S19" s="14"/>
      <c r="T19" s="14"/>
      <c r="U19" s="14"/>
      <c r="V19" s="14"/>
      <c r="W19" s="14"/>
    </row>
    <row r="20" spans="15:23" ht="12.75" customHeight="1" x14ac:dyDescent="0.2"/>
    <row r="21" spans="15:23" ht="12.75" customHeight="1" x14ac:dyDescent="0.2">
      <c r="Q21" s="7"/>
      <c r="R21" s="7"/>
      <c r="S21" s="7"/>
      <c r="T21" s="7"/>
    </row>
    <row r="22" spans="15:23" ht="12.75" x14ac:dyDescent="0.2">
      <c r="O22" s="7"/>
      <c r="P22" s="7"/>
    </row>
    <row r="23" spans="15:23" ht="12.75" customHeight="1" x14ac:dyDescent="0.2"/>
    <row r="24" spans="15:23" ht="12.75" customHeight="1" x14ac:dyDescent="0.2"/>
    <row r="25" spans="15:23" ht="12.75" customHeight="1" x14ac:dyDescent="0.2"/>
    <row r="26" spans="15:23" ht="12.75" customHeight="1" x14ac:dyDescent="0.2"/>
    <row r="27" spans="15:23" ht="12.75" customHeight="1" x14ac:dyDescent="0.2"/>
    <row r="28" spans="15:23" ht="12.75" customHeight="1" x14ac:dyDescent="0.2"/>
    <row r="29" spans="15:23" ht="12.75" customHeight="1" x14ac:dyDescent="0.2"/>
    <row r="30" spans="15:23" ht="12.75" customHeight="1" x14ac:dyDescent="0.2"/>
    <row r="31" spans="15:23" ht="12.75" customHeight="1" x14ac:dyDescent="0.2"/>
    <row r="32" spans="15:23"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sheetData>
  <sheetProtection selectLockedCells="1" selectUnlockedCells="1"/>
  <mergeCells count="13">
    <mergeCell ref="K1:M1"/>
    <mergeCell ref="K2:M6"/>
    <mergeCell ref="P1:Q1"/>
    <mergeCell ref="R1:S1"/>
    <mergeCell ref="A1:C6"/>
    <mergeCell ref="E1:F1"/>
    <mergeCell ref="E2:F6"/>
    <mergeCell ref="T1:U1"/>
    <mergeCell ref="V1:W1"/>
    <mergeCell ref="P2:Q6"/>
    <mergeCell ref="R2:S6"/>
    <mergeCell ref="T2:U6"/>
    <mergeCell ref="V2:W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fresh">
                <anchor moveWithCells="1" sizeWithCells="1">
                  <from>
                    <xdr:col>0</xdr:col>
                    <xdr:colOff>47625</xdr:colOff>
                    <xdr:row>6</xdr:row>
                    <xdr:rowOff>9525</xdr:rowOff>
                  </from>
                  <to>
                    <xdr:col>1</xdr:col>
                    <xdr:colOff>352425</xdr:colOff>
                    <xdr:row>7</xdr:row>
                    <xdr:rowOff>104775</xdr:rowOff>
                  </to>
                </anchor>
              </controlPr>
            </control>
          </mc:Choice>
        </mc:AlternateContent>
        <mc:AlternateContent xmlns:mc="http://schemas.openxmlformats.org/markup-compatibility/2006">
          <mc:Choice Requires="x14">
            <control shapeId="2050" r:id="rId5" name="Button 2">
              <controlPr defaultSize="0" print="0" autoFill="0" autoPict="0" macro="[0]!Full_screen">
                <anchor moveWithCells="1" sizeWithCells="1">
                  <from>
                    <xdr:col>1</xdr:col>
                    <xdr:colOff>371475</xdr:colOff>
                    <xdr:row>6</xdr:row>
                    <xdr:rowOff>9525</xdr:rowOff>
                  </from>
                  <to>
                    <xdr:col>2</xdr:col>
                    <xdr:colOff>609600</xdr:colOff>
                    <xdr:row>7</xdr:row>
                    <xdr:rowOff>104775</xdr:rowOff>
                  </to>
                </anchor>
              </controlPr>
            </control>
          </mc:Choice>
        </mc:AlternateContent>
      </controls>
    </mc:Choice>
  </mc:AlternateContent>
  <extLst>
    <ext xmlns:x14="http://schemas.microsoft.com/office/spreadsheetml/2009/9/main" uri="{A8765BA9-456A-4dab-B4F3-ACF838C121DE}">
      <x14:slicerList>
        <x14:slicer r:id="rId6"/>
      </x14:slicerList>
    </ext>
    <ext xmlns:x15="http://schemas.microsoft.com/office/spreadsheetml/2010/11/main" uri="{7E03D99C-DC04-49d9-9315-930204A7B6E9}">
      <x15:timelineRefs>
        <x15:timelineRef r:id="rId7"/>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C0510-1B44-4E62-9798-5BB1C19EC6E3}">
  <dimension ref="B4:AC31"/>
  <sheetViews>
    <sheetView showGridLines="0" topLeftCell="K1" workbookViewId="0">
      <selection activeCell="Z8" sqref="Z8"/>
    </sheetView>
  </sheetViews>
  <sheetFormatPr defaultRowHeight="12.75" x14ac:dyDescent="0.2"/>
  <cols>
    <col min="2" max="2" width="16.28515625" bestFit="1" customWidth="1"/>
    <col min="4" max="4" width="16.28515625" bestFit="1" customWidth="1"/>
    <col min="5" max="5" width="39.140625" bestFit="1" customWidth="1"/>
    <col min="6" max="6" width="18.7109375" bestFit="1" customWidth="1"/>
    <col min="7" max="7" width="21.140625" bestFit="1" customWidth="1"/>
    <col min="8" max="8" width="17.5703125" bestFit="1" customWidth="1"/>
    <col min="9" max="9" width="19.85546875" bestFit="1" customWidth="1"/>
    <col min="11" max="11" width="19" bestFit="1" customWidth="1"/>
    <col min="12" max="12" width="14.5703125" bestFit="1" customWidth="1"/>
    <col min="14" max="14" width="11.7109375" bestFit="1" customWidth="1"/>
    <col min="15" max="15" width="7.42578125" bestFit="1" customWidth="1"/>
    <col min="16" max="17" width="39.140625" bestFit="1" customWidth="1"/>
    <col min="18" max="18" width="40.140625" bestFit="1" customWidth="1"/>
    <col min="19" max="19" width="13.85546875" bestFit="1" customWidth="1"/>
    <col min="20" max="20" width="19.85546875" bestFit="1" customWidth="1"/>
    <col min="21" max="21" width="39.140625" bestFit="1" customWidth="1"/>
    <col min="23" max="23" width="19" bestFit="1" customWidth="1"/>
    <col min="24" max="24" width="19.85546875" bestFit="1" customWidth="1"/>
    <col min="26" max="26" width="16.28515625" bestFit="1" customWidth="1"/>
    <col min="27" max="27" width="18.7109375" bestFit="1" customWidth="1"/>
    <col min="28" max="28" width="21.140625" bestFit="1" customWidth="1"/>
    <col min="29" max="29" width="17.5703125" bestFit="1" customWidth="1"/>
  </cols>
  <sheetData>
    <row r="4" spans="2:29" x14ac:dyDescent="0.2">
      <c r="B4" s="56" t="s">
        <v>90</v>
      </c>
      <c r="D4" s="56" t="s">
        <v>90</v>
      </c>
      <c r="E4" t="s">
        <v>92</v>
      </c>
      <c r="F4" t="s">
        <v>67</v>
      </c>
      <c r="G4" t="s">
        <v>68</v>
      </c>
      <c r="H4" t="s">
        <v>69</v>
      </c>
      <c r="I4" t="s">
        <v>70</v>
      </c>
      <c r="J4" s="29"/>
      <c r="K4" s="56" t="s">
        <v>90</v>
      </c>
      <c r="L4" t="s">
        <v>91</v>
      </c>
      <c r="N4" s="56" t="s">
        <v>98</v>
      </c>
      <c r="O4" s="56" t="s">
        <v>53</v>
      </c>
      <c r="P4" t="s">
        <v>92</v>
      </c>
      <c r="S4" s="56" t="s">
        <v>90</v>
      </c>
      <c r="T4" t="s">
        <v>70</v>
      </c>
      <c r="U4" t="s">
        <v>92</v>
      </c>
      <c r="W4" s="56" t="s">
        <v>90</v>
      </c>
      <c r="X4" t="s">
        <v>70</v>
      </c>
      <c r="Z4" s="56" t="s">
        <v>90</v>
      </c>
      <c r="AA4" t="s">
        <v>67</v>
      </c>
      <c r="AB4" t="s">
        <v>68</v>
      </c>
      <c r="AC4" t="s">
        <v>69</v>
      </c>
    </row>
    <row r="5" spans="2:29" x14ac:dyDescent="0.2">
      <c r="B5" s="46" t="s">
        <v>25</v>
      </c>
      <c r="D5" s="46" t="s">
        <v>25</v>
      </c>
      <c r="E5" s="67">
        <v>0</v>
      </c>
      <c r="F5" s="67">
        <v>68282.5</v>
      </c>
      <c r="G5" s="67">
        <v>6828.25</v>
      </c>
      <c r="H5" s="67">
        <v>0</v>
      </c>
      <c r="I5" s="67">
        <v>75110.75</v>
      </c>
      <c r="J5" s="29"/>
      <c r="K5" s="46" t="s">
        <v>5</v>
      </c>
      <c r="L5" s="57">
        <v>2</v>
      </c>
      <c r="N5" t="s">
        <v>71</v>
      </c>
      <c r="O5" s="59" t="s">
        <v>75</v>
      </c>
      <c r="P5" s="69"/>
      <c r="S5" s="46" t="s">
        <v>71</v>
      </c>
      <c r="T5" s="67">
        <v>628098.74479487189</v>
      </c>
      <c r="U5" s="67">
        <v>3131389</v>
      </c>
      <c r="W5" s="46" t="s">
        <v>5</v>
      </c>
      <c r="X5" s="67">
        <v>140252.75</v>
      </c>
      <c r="Z5" s="46" t="s">
        <v>25</v>
      </c>
      <c r="AA5" s="67">
        <v>68282.5</v>
      </c>
      <c r="AB5" s="67">
        <v>6828.25</v>
      </c>
      <c r="AC5" s="67">
        <v>0</v>
      </c>
    </row>
    <row r="6" spans="2:29" x14ac:dyDescent="0.2">
      <c r="B6" s="46" t="s">
        <v>30</v>
      </c>
      <c r="D6" s="46" t="s">
        <v>30</v>
      </c>
      <c r="E6" s="67">
        <v>0</v>
      </c>
      <c r="F6" s="67">
        <v>59220</v>
      </c>
      <c r="G6" s="67">
        <v>5922</v>
      </c>
      <c r="H6" s="67">
        <v>0</v>
      </c>
      <c r="I6" s="67">
        <v>65142</v>
      </c>
      <c r="J6" s="29"/>
      <c r="K6" s="46" t="s">
        <v>4</v>
      </c>
      <c r="L6" s="57">
        <v>4</v>
      </c>
      <c r="O6" s="59" t="s">
        <v>76</v>
      </c>
      <c r="P6" s="69">
        <v>-0.22690535772709988</v>
      </c>
      <c r="S6" s="68" t="s">
        <v>75</v>
      </c>
      <c r="T6" s="67">
        <v>48330.922538461542</v>
      </c>
      <c r="U6" s="67">
        <v>226178</v>
      </c>
      <c r="W6" s="46" t="s">
        <v>4</v>
      </c>
      <c r="X6" s="67">
        <v>607680.93933333352</v>
      </c>
      <c r="Z6" s="46" t="s">
        <v>30</v>
      </c>
      <c r="AA6" s="67">
        <v>59220</v>
      </c>
      <c r="AB6" s="67">
        <v>5922</v>
      </c>
      <c r="AC6" s="67">
        <v>0</v>
      </c>
    </row>
    <row r="7" spans="2:29" x14ac:dyDescent="0.2">
      <c r="B7" s="46" t="s">
        <v>23</v>
      </c>
      <c r="D7" s="46" t="s">
        <v>23</v>
      </c>
      <c r="E7" s="67">
        <v>2431696</v>
      </c>
      <c r="F7" s="67">
        <v>147339.19999999998</v>
      </c>
      <c r="G7" s="67">
        <v>8840.3520000000008</v>
      </c>
      <c r="H7" s="67">
        <v>19453.567999999999</v>
      </c>
      <c r="I7" s="67">
        <v>175633.12</v>
      </c>
      <c r="J7" s="29"/>
      <c r="K7" s="46" t="s">
        <v>7</v>
      </c>
      <c r="L7" s="57">
        <v>1</v>
      </c>
      <c r="O7" s="59" t="s">
        <v>77</v>
      </c>
      <c r="P7" s="69">
        <v>0.37573560109117737</v>
      </c>
      <c r="S7" s="68" t="s">
        <v>76</v>
      </c>
      <c r="T7" s="67">
        <v>47826.116538461538</v>
      </c>
      <c r="U7" s="67">
        <v>174857</v>
      </c>
      <c r="W7" s="46" t="s">
        <v>7</v>
      </c>
      <c r="X7" s="67">
        <v>279250.11692307674</v>
      </c>
      <c r="Z7" s="46" t="s">
        <v>23</v>
      </c>
      <c r="AA7" s="67">
        <v>147339.19999999998</v>
      </c>
      <c r="AB7" s="67">
        <v>8840.3520000000008</v>
      </c>
      <c r="AC7" s="67">
        <v>19453.567999999999</v>
      </c>
    </row>
    <row r="8" spans="2:29" x14ac:dyDescent="0.2">
      <c r="B8" s="46" t="s">
        <v>27</v>
      </c>
      <c r="D8" s="46" t="s">
        <v>27</v>
      </c>
      <c r="E8" s="67">
        <v>1261371</v>
      </c>
      <c r="F8" s="67">
        <v>99184.000000000029</v>
      </c>
      <c r="G8" s="67">
        <v>5951.04</v>
      </c>
      <c r="H8" s="67">
        <v>13875.080999999998</v>
      </c>
      <c r="I8" s="67">
        <v>119010.12099999997</v>
      </c>
      <c r="J8" s="29"/>
      <c r="K8" s="46" t="s">
        <v>6</v>
      </c>
      <c r="L8" s="57">
        <v>1</v>
      </c>
      <c r="O8" s="59" t="s">
        <v>78</v>
      </c>
      <c r="P8" s="69">
        <v>-0.10827787177259443</v>
      </c>
      <c r="S8" s="68" t="s">
        <v>77</v>
      </c>
      <c r="T8" s="67">
        <v>48443.242538461542</v>
      </c>
      <c r="U8" s="67">
        <v>240557</v>
      </c>
      <c r="W8" s="46" t="s">
        <v>6</v>
      </c>
      <c r="X8" s="67">
        <v>161282</v>
      </c>
      <c r="Z8" s="46" t="s">
        <v>27</v>
      </c>
      <c r="AA8" s="67">
        <v>99184.000000000029</v>
      </c>
      <c r="AB8" s="67">
        <v>5951.04</v>
      </c>
      <c r="AC8" s="67">
        <v>13875.080999999998</v>
      </c>
    </row>
    <row r="9" spans="2:29" x14ac:dyDescent="0.2">
      <c r="B9" s="46" t="s">
        <v>26</v>
      </c>
      <c r="D9" s="46" t="s">
        <v>26</v>
      </c>
      <c r="E9" s="67">
        <v>1685114</v>
      </c>
      <c r="F9" s="67">
        <v>130303.5833333333</v>
      </c>
      <c r="G9" s="67">
        <v>7818.2149999999974</v>
      </c>
      <c r="H9" s="67">
        <v>16851.14</v>
      </c>
      <c r="I9" s="67">
        <v>154972.9383333333</v>
      </c>
      <c r="J9" s="29"/>
      <c r="K9" s="46" t="s">
        <v>66</v>
      </c>
      <c r="L9" s="57">
        <v>8</v>
      </c>
      <c r="O9" s="59" t="s">
        <v>79</v>
      </c>
      <c r="P9" s="69">
        <v>-0.21445620250804159</v>
      </c>
      <c r="S9" s="68" t="s">
        <v>78</v>
      </c>
      <c r="T9" s="67">
        <v>48198.338538461539</v>
      </c>
      <c r="U9" s="67">
        <v>214510</v>
      </c>
      <c r="W9" s="46" t="s">
        <v>66</v>
      </c>
      <c r="X9" s="67">
        <v>1188465.8062564102</v>
      </c>
      <c r="Z9" s="46" t="s">
        <v>26</v>
      </c>
      <c r="AA9" s="67">
        <v>130303.5833333333</v>
      </c>
      <c r="AB9" s="67">
        <v>7818.2149999999974</v>
      </c>
      <c r="AC9" s="67">
        <v>16851.14</v>
      </c>
    </row>
    <row r="10" spans="2:29" x14ac:dyDescent="0.2">
      <c r="B10" s="46" t="s">
        <v>29</v>
      </c>
      <c r="D10" s="46" t="s">
        <v>29</v>
      </c>
      <c r="E10" s="67">
        <v>0</v>
      </c>
      <c r="F10" s="67">
        <v>249330.46153846144</v>
      </c>
      <c r="G10" s="67">
        <v>29919.655384615384</v>
      </c>
      <c r="H10" s="67">
        <v>0</v>
      </c>
      <c r="I10" s="67">
        <v>279250.11692307674</v>
      </c>
      <c r="J10" s="29"/>
      <c r="O10" s="59" t="s">
        <v>80</v>
      </c>
      <c r="P10" s="69">
        <v>0.36478603262772469</v>
      </c>
      <c r="S10" s="68" t="s">
        <v>79</v>
      </c>
      <c r="T10" s="67">
        <v>47772.824538461537</v>
      </c>
      <c r="U10" s="67">
        <v>168507</v>
      </c>
      <c r="Z10" s="46" t="s">
        <v>29</v>
      </c>
      <c r="AA10" s="67">
        <v>249330.46153846144</v>
      </c>
      <c r="AB10" s="67">
        <v>29919.655384615384</v>
      </c>
      <c r="AC10" s="67">
        <v>0</v>
      </c>
    </row>
    <row r="11" spans="2:29" x14ac:dyDescent="0.2">
      <c r="B11" s="46" t="s">
        <v>24</v>
      </c>
      <c r="D11" s="46" t="s">
        <v>24</v>
      </c>
      <c r="E11" s="67">
        <v>2493936</v>
      </c>
      <c r="F11" s="67">
        <v>125590.00000000004</v>
      </c>
      <c r="G11" s="67">
        <v>7535.4000000000033</v>
      </c>
      <c r="H11" s="67">
        <v>24939.359999999993</v>
      </c>
      <c r="I11" s="67">
        <v>158064.76000000004</v>
      </c>
      <c r="J11" s="29"/>
      <c r="O11" s="59" t="s">
        <v>81</v>
      </c>
      <c r="P11" s="69">
        <v>0.35041482589487599</v>
      </c>
      <c r="S11" s="68" t="s">
        <v>80</v>
      </c>
      <c r="T11" s="67">
        <v>55593.856871794873</v>
      </c>
      <c r="U11" s="67">
        <v>229976</v>
      </c>
      <c r="Z11" s="46" t="s">
        <v>24</v>
      </c>
      <c r="AA11" s="67">
        <v>125590.00000000004</v>
      </c>
      <c r="AB11" s="67">
        <v>7535.4000000000033</v>
      </c>
      <c r="AC11" s="67">
        <v>24939.359999999993</v>
      </c>
    </row>
    <row r="12" spans="2:29" x14ac:dyDescent="0.2">
      <c r="B12" s="46" t="s">
        <v>28</v>
      </c>
      <c r="D12" s="46" t="s">
        <v>28</v>
      </c>
      <c r="E12" s="67">
        <v>0</v>
      </c>
      <c r="F12" s="67">
        <v>146620.00000000003</v>
      </c>
      <c r="G12" s="67">
        <v>14661.999999999996</v>
      </c>
      <c r="H12" s="67">
        <v>0</v>
      </c>
      <c r="I12" s="67">
        <v>161282</v>
      </c>
      <c r="J12" s="29"/>
      <c r="O12" s="59" t="s">
        <v>82</v>
      </c>
      <c r="P12" s="69">
        <v>1.8324784343273344E-2</v>
      </c>
      <c r="S12" s="68" t="s">
        <v>81</v>
      </c>
      <c r="T12" s="67">
        <v>56478.922871794879</v>
      </c>
      <c r="U12" s="67">
        <v>310563</v>
      </c>
      <c r="Z12" s="46" t="s">
        <v>28</v>
      </c>
      <c r="AA12" s="67">
        <v>146620.00000000003</v>
      </c>
      <c r="AB12" s="67">
        <v>14661.999999999996</v>
      </c>
      <c r="AC12" s="67">
        <v>0</v>
      </c>
    </row>
    <row r="13" spans="2:29" x14ac:dyDescent="0.2">
      <c r="D13" s="46" t="s">
        <v>66</v>
      </c>
      <c r="E13" s="67">
        <v>7872117</v>
      </c>
      <c r="F13" s="67">
        <v>1025869.7448717947</v>
      </c>
      <c r="G13" s="67">
        <v>87476.912384615382</v>
      </c>
      <c r="H13" s="67">
        <v>75119.14899999999</v>
      </c>
      <c r="I13" s="67">
        <v>1188465.80625641</v>
      </c>
      <c r="J13" s="29"/>
      <c r="O13" s="59" t="s">
        <v>83</v>
      </c>
      <c r="P13" s="69">
        <v>-4.491010390382414E-2</v>
      </c>
      <c r="S13" s="68" t="s">
        <v>82</v>
      </c>
      <c r="T13" s="67">
        <v>56459.476871794868</v>
      </c>
      <c r="U13" s="67">
        <v>316254</v>
      </c>
      <c r="Z13" s="46" t="s">
        <v>66</v>
      </c>
      <c r="AA13" s="67">
        <v>1025869.7448717947</v>
      </c>
      <c r="AB13" s="67">
        <v>87476.912384615382</v>
      </c>
      <c r="AC13" s="67">
        <v>75119.14899999999</v>
      </c>
    </row>
    <row r="14" spans="2:29" x14ac:dyDescent="0.2">
      <c r="J14" s="29"/>
      <c r="O14" s="59" t="s">
        <v>84</v>
      </c>
      <c r="P14" s="69">
        <v>-0.13398399608013217</v>
      </c>
      <c r="S14" s="68" t="s">
        <v>83</v>
      </c>
      <c r="T14" s="67">
        <v>56350.852871794872</v>
      </c>
      <c r="U14" s="67">
        <v>302051</v>
      </c>
    </row>
    <row r="15" spans="2:29" x14ac:dyDescent="0.2">
      <c r="J15" s="29"/>
      <c r="O15" s="59" t="s">
        <v>85</v>
      </c>
      <c r="P15" s="69">
        <v>0.41571062118426033</v>
      </c>
      <c r="S15" s="68" t="s">
        <v>84</v>
      </c>
      <c r="T15" s="67">
        <v>56014.180871794873</v>
      </c>
      <c r="U15" s="67">
        <v>261581</v>
      </c>
    </row>
    <row r="16" spans="2:29" x14ac:dyDescent="0.2">
      <c r="J16" s="29"/>
      <c r="O16" s="59" t="s">
        <v>86</v>
      </c>
      <c r="P16" s="69">
        <v>-0.14660445070924571</v>
      </c>
      <c r="S16" s="68" t="s">
        <v>85</v>
      </c>
      <c r="T16" s="67">
        <v>56985.358871794881</v>
      </c>
      <c r="U16" s="67">
        <v>370323</v>
      </c>
    </row>
    <row r="17" spans="10:21" x14ac:dyDescent="0.2">
      <c r="J17" s="29"/>
      <c r="N17" t="s">
        <v>72</v>
      </c>
      <c r="P17" s="69"/>
      <c r="S17" s="68" t="s">
        <v>86</v>
      </c>
      <c r="T17" s="67">
        <v>49644.650871794875</v>
      </c>
      <c r="U17" s="67">
        <v>316032</v>
      </c>
    </row>
    <row r="18" spans="10:21" x14ac:dyDescent="0.2">
      <c r="J18" s="29"/>
      <c r="N18" t="s">
        <v>73</v>
      </c>
      <c r="O18" s="59" t="s">
        <v>75</v>
      </c>
      <c r="P18" s="69"/>
      <c r="S18" s="46" t="s">
        <v>73</v>
      </c>
      <c r="T18" s="67">
        <v>560367.06146153854</v>
      </c>
      <c r="U18" s="67">
        <v>4740728</v>
      </c>
    </row>
    <row r="19" spans="10:21" x14ac:dyDescent="0.2">
      <c r="J19" s="29"/>
      <c r="O19" s="59" t="s">
        <v>76</v>
      </c>
      <c r="P19" s="69">
        <v>1.6272502924496949E-2</v>
      </c>
      <c r="S19" s="68" t="s">
        <v>75</v>
      </c>
      <c r="T19" s="67">
        <v>50478.149871794871</v>
      </c>
      <c r="U19" s="67">
        <v>382117</v>
      </c>
    </row>
    <row r="20" spans="10:21" x14ac:dyDescent="0.2">
      <c r="J20" s="29"/>
      <c r="O20" s="59" t="s">
        <v>77</v>
      </c>
      <c r="P20" s="69">
        <v>0.14818906356625078</v>
      </c>
      <c r="S20" s="68" t="s">
        <v>76</v>
      </c>
      <c r="T20" s="67">
        <v>50515.549871794872</v>
      </c>
      <c r="U20" s="67">
        <v>388335</v>
      </c>
    </row>
    <row r="21" spans="10:21" x14ac:dyDescent="0.2">
      <c r="J21" s="29"/>
      <c r="O21" s="59" t="s">
        <v>78</v>
      </c>
      <c r="P21" s="69">
        <v>-0.20501612534257943</v>
      </c>
      <c r="S21" s="68" t="s">
        <v>77</v>
      </c>
      <c r="T21" s="67">
        <v>46388.684871794874</v>
      </c>
      <c r="U21" s="67">
        <v>445882</v>
      </c>
    </row>
    <row r="22" spans="10:21" x14ac:dyDescent="0.2">
      <c r="O22" s="59" t="s">
        <v>79</v>
      </c>
      <c r="P22" s="69">
        <v>-5.7059996783921867E-2</v>
      </c>
      <c r="S22" s="68" t="s">
        <v>78</v>
      </c>
      <c r="T22" s="67">
        <v>45515.860871794874</v>
      </c>
      <c r="U22" s="67">
        <v>354469</v>
      </c>
    </row>
    <row r="23" spans="10:21" x14ac:dyDescent="0.2">
      <c r="O23" s="59" t="s">
        <v>80</v>
      </c>
      <c r="P23" s="69">
        <v>0.17989307180703859</v>
      </c>
      <c r="S23" s="68" t="s">
        <v>79</v>
      </c>
      <c r="T23" s="67">
        <v>45350.809871794874</v>
      </c>
      <c r="U23" s="67">
        <v>334243</v>
      </c>
    </row>
    <row r="24" spans="10:21" x14ac:dyDescent="0.2">
      <c r="O24" s="59" t="s">
        <v>81</v>
      </c>
      <c r="P24" s="69">
        <v>1.4174470232344669E-3</v>
      </c>
      <c r="S24" s="68" t="s">
        <v>80</v>
      </c>
      <c r="T24" s="67">
        <v>45941.125871794873</v>
      </c>
      <c r="U24" s="67">
        <v>394371</v>
      </c>
    </row>
    <row r="25" spans="10:21" x14ac:dyDescent="0.2">
      <c r="O25" s="59" t="s">
        <v>82</v>
      </c>
      <c r="P25" s="69">
        <v>5.9251006507482336E-2</v>
      </c>
      <c r="S25" s="68" t="s">
        <v>81</v>
      </c>
      <c r="T25" s="67">
        <v>45982.353871794876</v>
      </c>
      <c r="U25" s="67">
        <v>394930</v>
      </c>
    </row>
    <row r="26" spans="10:21" x14ac:dyDescent="0.2">
      <c r="O26" s="59" t="s">
        <v>83</v>
      </c>
      <c r="P26" s="69">
        <v>6.1695312313245522E-2</v>
      </c>
      <c r="S26" s="68" t="s">
        <v>82</v>
      </c>
      <c r="T26" s="67">
        <v>46127.655871794872</v>
      </c>
      <c r="U26" s="67">
        <v>418330</v>
      </c>
    </row>
    <row r="27" spans="10:21" x14ac:dyDescent="0.2">
      <c r="O27" s="59" t="s">
        <v>84</v>
      </c>
      <c r="P27" s="69">
        <v>-9.3862507007941201E-2</v>
      </c>
      <c r="S27" s="68" t="s">
        <v>83</v>
      </c>
      <c r="T27" s="67">
        <v>46389.52087179487</v>
      </c>
      <c r="U27" s="67">
        <v>444139</v>
      </c>
    </row>
    <row r="28" spans="10:21" x14ac:dyDescent="0.2">
      <c r="O28" s="59" t="s">
        <v>85</v>
      </c>
      <c r="P28" s="69">
        <v>-0.14032515759682546</v>
      </c>
      <c r="S28" s="68" t="s">
        <v>84</v>
      </c>
      <c r="T28" s="67">
        <v>45975.683871794878</v>
      </c>
      <c r="U28" s="67">
        <v>402451</v>
      </c>
    </row>
    <row r="29" spans="10:21" x14ac:dyDescent="0.2">
      <c r="O29" s="59" t="s">
        <v>86</v>
      </c>
      <c r="P29" s="69">
        <v>0.25870794879428399</v>
      </c>
      <c r="S29" s="68" t="s">
        <v>85</v>
      </c>
      <c r="T29" s="67">
        <v>45413.661871794873</v>
      </c>
      <c r="U29" s="67">
        <v>345977</v>
      </c>
    </row>
    <row r="30" spans="10:21" x14ac:dyDescent="0.2">
      <c r="N30" t="s">
        <v>74</v>
      </c>
      <c r="P30" s="69"/>
      <c r="S30" s="68" t="s">
        <v>86</v>
      </c>
      <c r="T30" s="67">
        <v>46288.003871794877</v>
      </c>
      <c r="U30" s="67">
        <v>435484</v>
      </c>
    </row>
    <row r="31" spans="10:21" x14ac:dyDescent="0.2">
      <c r="N31" t="s">
        <v>66</v>
      </c>
      <c r="P31" s="69"/>
      <c r="S31" s="46" t="s">
        <v>66</v>
      </c>
      <c r="T31" s="67">
        <v>1188465.8062564104</v>
      </c>
      <c r="U31" s="67">
        <v>7872117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19087-FF87-415E-AC41-F9F3904160C2}">
  <sheetPr codeName="Sheet3">
    <tabColor rgb="FF8FCFAD"/>
  </sheetPr>
  <dimension ref="A2:L998"/>
  <sheetViews>
    <sheetView showGridLines="0" showRowColHeaders="0" zoomScaleNormal="100" workbookViewId="0">
      <pane ySplit="2" topLeftCell="A3" activePane="bottomLeft" state="frozen"/>
      <selection pane="bottomLeft" activeCell="H9" sqref="H9"/>
    </sheetView>
  </sheetViews>
  <sheetFormatPr defaultColWidth="0" defaultRowHeight="12.75" x14ac:dyDescent="0.2"/>
  <cols>
    <col min="1" max="1" width="11.7109375" style="24" customWidth="1"/>
    <col min="2" max="2" width="17.7109375" customWidth="1"/>
    <col min="3" max="3" width="20" customWidth="1"/>
    <col min="4" max="6" width="15.7109375" customWidth="1"/>
    <col min="7" max="8" width="17.7109375" customWidth="1"/>
    <col min="9" max="9" width="22.28515625" customWidth="1"/>
    <col min="10" max="11" width="17.7109375" customWidth="1"/>
    <col min="12" max="12" width="0.42578125" customWidth="1"/>
    <col min="13" max="16384" width="9.140625" hidden="1"/>
  </cols>
  <sheetData>
    <row r="2" spans="1:11" ht="51" customHeight="1" thickBot="1" x14ac:dyDescent="0.25">
      <c r="A2" s="35" t="s">
        <v>54</v>
      </c>
      <c r="B2" s="36" t="s">
        <v>2</v>
      </c>
      <c r="C2" s="36" t="s">
        <v>3</v>
      </c>
      <c r="D2" s="36" t="s">
        <v>8</v>
      </c>
      <c r="E2" s="36" t="s">
        <v>9</v>
      </c>
      <c r="F2" s="36" t="s">
        <v>1</v>
      </c>
      <c r="G2" s="36" t="s">
        <v>14</v>
      </c>
      <c r="H2" s="36" t="s">
        <v>15</v>
      </c>
      <c r="I2" s="36" t="s">
        <v>16</v>
      </c>
      <c r="J2" s="36" t="s">
        <v>0</v>
      </c>
      <c r="K2" s="36" t="s">
        <v>11</v>
      </c>
    </row>
    <row r="3" spans="1:11" x14ac:dyDescent="0.2">
      <c r="A3" s="28" t="str">
        <f>IF(AND(B2&lt;&gt;"",B3=""),$A$2&amp;"---&gt;","")</f>
        <v/>
      </c>
      <c r="B3" s="29" t="s">
        <v>23</v>
      </c>
      <c r="C3" s="29" t="s">
        <v>4</v>
      </c>
      <c r="D3" s="30">
        <v>42795</v>
      </c>
      <c r="E3" s="30"/>
      <c r="F3" s="29">
        <v>12</v>
      </c>
      <c r="G3" s="31">
        <v>92087</v>
      </c>
      <c r="H3" s="32">
        <v>0.8</v>
      </c>
      <c r="I3" s="42">
        <f>IFERROR(G3*'Employee Database'!$H3/F3,"")</f>
        <v>6139.1333333333341</v>
      </c>
      <c r="J3" s="33">
        <v>0.06</v>
      </c>
      <c r="K3" s="33">
        <v>8.0000000000000002E-3</v>
      </c>
    </row>
    <row r="4" spans="1:11" x14ac:dyDescent="0.2">
      <c r="A4" s="28" t="str">
        <f t="shared" ref="A4:A67" si="0">IF(AND(B3&lt;&gt;"",B4=""),$A$2&amp;"---&gt;","")</f>
        <v/>
      </c>
      <c r="B4" s="29" t="s">
        <v>24</v>
      </c>
      <c r="C4" s="29" t="s">
        <v>4</v>
      </c>
      <c r="D4" s="30">
        <v>42430</v>
      </c>
      <c r="E4" s="30"/>
      <c r="F4" s="29">
        <v>12</v>
      </c>
      <c r="G4" s="31">
        <v>62795</v>
      </c>
      <c r="H4" s="32">
        <v>1</v>
      </c>
      <c r="I4" s="42">
        <f>IFERROR(G4*'Employee Database'!$H4/F4,"")</f>
        <v>5232.916666666667</v>
      </c>
      <c r="J4" s="33">
        <v>0.06</v>
      </c>
      <c r="K4" s="33">
        <v>0.01</v>
      </c>
    </row>
    <row r="5" spans="1:11" x14ac:dyDescent="0.2">
      <c r="A5" s="28" t="str">
        <f t="shared" si="0"/>
        <v/>
      </c>
      <c r="B5" s="29" t="s">
        <v>25</v>
      </c>
      <c r="C5" s="29" t="s">
        <v>5</v>
      </c>
      <c r="D5" s="30">
        <v>42005</v>
      </c>
      <c r="E5" s="30">
        <v>43800</v>
      </c>
      <c r="F5" s="29">
        <v>12</v>
      </c>
      <c r="G5" s="31">
        <v>74490</v>
      </c>
      <c r="H5" s="32">
        <v>1</v>
      </c>
      <c r="I5" s="42">
        <f>IFERROR(G5*'Employee Database'!$H5/F5,"")</f>
        <v>6207.5</v>
      </c>
      <c r="J5" s="33">
        <v>0.1</v>
      </c>
      <c r="K5" s="33">
        <v>0</v>
      </c>
    </row>
    <row r="6" spans="1:11" x14ac:dyDescent="0.2">
      <c r="A6" s="28" t="str">
        <f t="shared" si="0"/>
        <v/>
      </c>
      <c r="B6" s="29" t="s">
        <v>26</v>
      </c>
      <c r="C6" s="29" t="s">
        <v>4</v>
      </c>
      <c r="D6" s="30">
        <v>43617</v>
      </c>
      <c r="E6" s="30"/>
      <c r="F6" s="29">
        <v>12</v>
      </c>
      <c r="G6" s="31">
        <v>82297</v>
      </c>
      <c r="H6" s="32">
        <v>1</v>
      </c>
      <c r="I6" s="42">
        <f>IFERROR(G6*'Employee Database'!$H6/F6,"")</f>
        <v>6858.083333333333</v>
      </c>
      <c r="J6" s="33">
        <v>0.06</v>
      </c>
      <c r="K6" s="33">
        <v>0.01</v>
      </c>
    </row>
    <row r="7" spans="1:11" x14ac:dyDescent="0.2">
      <c r="A7" s="28" t="str">
        <f t="shared" si="0"/>
        <v/>
      </c>
      <c r="B7" s="29" t="s">
        <v>27</v>
      </c>
      <c r="C7" s="29" t="s">
        <v>4</v>
      </c>
      <c r="D7" s="30">
        <v>43831</v>
      </c>
      <c r="E7" s="30"/>
      <c r="F7" s="29">
        <v>12</v>
      </c>
      <c r="G7" s="31">
        <v>61990</v>
      </c>
      <c r="H7" s="32">
        <v>0.8</v>
      </c>
      <c r="I7" s="42">
        <f>IFERROR(G7*'Employee Database'!$H7/F7,"")</f>
        <v>4132.666666666667</v>
      </c>
      <c r="J7" s="33">
        <v>0.06</v>
      </c>
      <c r="K7" s="33">
        <v>1.0999999999999999E-2</v>
      </c>
    </row>
    <row r="8" spans="1:11" x14ac:dyDescent="0.2">
      <c r="A8" s="28" t="str">
        <f t="shared" si="0"/>
        <v/>
      </c>
      <c r="B8" s="29" t="s">
        <v>28</v>
      </c>
      <c r="C8" s="29" t="s">
        <v>6</v>
      </c>
      <c r="D8" s="30">
        <v>42125</v>
      </c>
      <c r="E8" s="30"/>
      <c r="F8" s="29">
        <v>12</v>
      </c>
      <c r="G8" s="31">
        <v>73310</v>
      </c>
      <c r="H8" s="32">
        <v>1</v>
      </c>
      <c r="I8" s="42">
        <f>IFERROR(G8*'Employee Database'!$H8/F8,"")</f>
        <v>6109.166666666667</v>
      </c>
      <c r="J8" s="33">
        <v>0.1</v>
      </c>
      <c r="K8" s="33">
        <v>0</v>
      </c>
    </row>
    <row r="9" spans="1:11" x14ac:dyDescent="0.2">
      <c r="A9" s="28" t="str">
        <f t="shared" si="0"/>
        <v/>
      </c>
      <c r="B9" s="29" t="s">
        <v>29</v>
      </c>
      <c r="C9" s="29" t="s">
        <v>7</v>
      </c>
      <c r="D9" s="30">
        <v>41091</v>
      </c>
      <c r="E9" s="30"/>
      <c r="F9" s="29">
        <v>13</v>
      </c>
      <c r="G9" s="31">
        <v>135054</v>
      </c>
      <c r="H9" s="32">
        <v>1</v>
      </c>
      <c r="I9" s="42">
        <f>IFERROR(G9*'Employee Database'!$H9/F9,"")</f>
        <v>10388.76923076923</v>
      </c>
      <c r="J9" s="33">
        <v>0.12</v>
      </c>
      <c r="K9" s="33">
        <v>1.0999999999999999E-2</v>
      </c>
    </row>
    <row r="10" spans="1:11" x14ac:dyDescent="0.2">
      <c r="A10" s="28" t="str">
        <f t="shared" si="0"/>
        <v/>
      </c>
      <c r="B10" s="29" t="s">
        <v>30</v>
      </c>
      <c r="C10" s="29" t="s">
        <v>5</v>
      </c>
      <c r="D10" s="30">
        <v>42856</v>
      </c>
      <c r="E10" s="30">
        <v>43891</v>
      </c>
      <c r="F10" s="29">
        <v>12</v>
      </c>
      <c r="G10" s="31">
        <v>63450</v>
      </c>
      <c r="H10" s="32">
        <v>0.8</v>
      </c>
      <c r="I10" s="42">
        <f>IFERROR(G10*'Employee Database'!$H10/F10,"")</f>
        <v>4230</v>
      </c>
      <c r="J10" s="33">
        <v>0.1</v>
      </c>
      <c r="K10" s="33">
        <v>0</v>
      </c>
    </row>
    <row r="11" spans="1:11" x14ac:dyDescent="0.2">
      <c r="A11" s="28" t="str">
        <f t="shared" si="0"/>
        <v>New Entry---&gt;</v>
      </c>
    </row>
    <row r="12" spans="1:11" x14ac:dyDescent="0.2">
      <c r="A12" s="28" t="str">
        <f t="shared" si="0"/>
        <v/>
      </c>
    </row>
    <row r="13" spans="1:11" x14ac:dyDescent="0.2">
      <c r="A13" s="28" t="str">
        <f t="shared" si="0"/>
        <v/>
      </c>
    </row>
    <row r="14" spans="1:11" x14ac:dyDescent="0.2">
      <c r="A14" s="28" t="str">
        <f t="shared" si="0"/>
        <v/>
      </c>
    </row>
    <row r="15" spans="1:11" x14ac:dyDescent="0.2">
      <c r="A15" s="28" t="str">
        <f t="shared" si="0"/>
        <v/>
      </c>
    </row>
    <row r="16" spans="1:11" x14ac:dyDescent="0.2">
      <c r="A16" s="28" t="str">
        <f t="shared" si="0"/>
        <v/>
      </c>
    </row>
    <row r="17" spans="1:1" x14ac:dyDescent="0.2">
      <c r="A17" s="28" t="str">
        <f t="shared" si="0"/>
        <v/>
      </c>
    </row>
    <row r="18" spans="1:1" x14ac:dyDescent="0.2">
      <c r="A18" s="28" t="str">
        <f t="shared" si="0"/>
        <v/>
      </c>
    </row>
    <row r="19" spans="1:1" x14ac:dyDescent="0.2">
      <c r="A19" s="28" t="str">
        <f t="shared" si="0"/>
        <v/>
      </c>
    </row>
    <row r="20" spans="1:1" x14ac:dyDescent="0.2">
      <c r="A20" s="28" t="str">
        <f t="shared" si="0"/>
        <v/>
      </c>
    </row>
    <row r="21" spans="1:1" x14ac:dyDescent="0.2">
      <c r="A21" s="28" t="str">
        <f t="shared" si="0"/>
        <v/>
      </c>
    </row>
    <row r="22" spans="1:1" x14ac:dyDescent="0.2">
      <c r="A22" s="28" t="str">
        <f t="shared" si="0"/>
        <v/>
      </c>
    </row>
    <row r="23" spans="1:1" x14ac:dyDescent="0.2">
      <c r="A23" s="28" t="str">
        <f t="shared" si="0"/>
        <v/>
      </c>
    </row>
    <row r="24" spans="1:1" x14ac:dyDescent="0.2">
      <c r="A24" s="28" t="str">
        <f t="shared" si="0"/>
        <v/>
      </c>
    </row>
    <row r="25" spans="1:1" x14ac:dyDescent="0.2">
      <c r="A25" s="28" t="str">
        <f t="shared" si="0"/>
        <v/>
      </c>
    </row>
    <row r="26" spans="1:1" x14ac:dyDescent="0.2">
      <c r="A26" s="28" t="str">
        <f t="shared" si="0"/>
        <v/>
      </c>
    </row>
    <row r="27" spans="1:1" x14ac:dyDescent="0.2">
      <c r="A27" s="28" t="str">
        <f t="shared" si="0"/>
        <v/>
      </c>
    </row>
    <row r="28" spans="1:1" x14ac:dyDescent="0.2">
      <c r="A28" s="28" t="str">
        <f t="shared" si="0"/>
        <v/>
      </c>
    </row>
    <row r="29" spans="1:1" x14ac:dyDescent="0.2">
      <c r="A29" s="28" t="str">
        <f t="shared" si="0"/>
        <v/>
      </c>
    </row>
    <row r="30" spans="1:1" x14ac:dyDescent="0.2">
      <c r="A30" s="28" t="str">
        <f t="shared" si="0"/>
        <v/>
      </c>
    </row>
    <row r="31" spans="1:1" x14ac:dyDescent="0.2">
      <c r="A31" s="28" t="str">
        <f t="shared" si="0"/>
        <v/>
      </c>
    </row>
    <row r="32" spans="1:1" x14ac:dyDescent="0.2">
      <c r="A32" s="28" t="str">
        <f t="shared" si="0"/>
        <v/>
      </c>
    </row>
    <row r="33" spans="1:1" x14ac:dyDescent="0.2">
      <c r="A33" s="28" t="str">
        <f t="shared" si="0"/>
        <v/>
      </c>
    </row>
    <row r="34" spans="1:1" x14ac:dyDescent="0.2">
      <c r="A34" s="28" t="str">
        <f t="shared" si="0"/>
        <v/>
      </c>
    </row>
    <row r="35" spans="1:1" x14ac:dyDescent="0.2">
      <c r="A35" s="28" t="str">
        <f t="shared" si="0"/>
        <v/>
      </c>
    </row>
    <row r="36" spans="1:1" x14ac:dyDescent="0.2">
      <c r="A36" s="28" t="str">
        <f t="shared" si="0"/>
        <v/>
      </c>
    </row>
    <row r="37" spans="1:1" x14ac:dyDescent="0.2">
      <c r="A37" s="28" t="str">
        <f t="shared" si="0"/>
        <v/>
      </c>
    </row>
    <row r="38" spans="1:1" x14ac:dyDescent="0.2">
      <c r="A38" s="28" t="str">
        <f t="shared" si="0"/>
        <v/>
      </c>
    </row>
    <row r="39" spans="1:1" x14ac:dyDescent="0.2">
      <c r="A39" s="28" t="str">
        <f t="shared" si="0"/>
        <v/>
      </c>
    </row>
    <row r="40" spans="1:1" x14ac:dyDescent="0.2">
      <c r="A40" s="28" t="str">
        <f t="shared" si="0"/>
        <v/>
      </c>
    </row>
    <row r="41" spans="1:1" x14ac:dyDescent="0.2">
      <c r="A41" s="28" t="str">
        <f t="shared" si="0"/>
        <v/>
      </c>
    </row>
    <row r="42" spans="1:1" x14ac:dyDescent="0.2">
      <c r="A42" s="28" t="str">
        <f t="shared" si="0"/>
        <v/>
      </c>
    </row>
    <row r="43" spans="1:1" x14ac:dyDescent="0.2">
      <c r="A43" s="28" t="str">
        <f t="shared" si="0"/>
        <v/>
      </c>
    </row>
    <row r="44" spans="1:1" x14ac:dyDescent="0.2">
      <c r="A44" s="28" t="str">
        <f t="shared" si="0"/>
        <v/>
      </c>
    </row>
    <row r="45" spans="1:1" x14ac:dyDescent="0.2">
      <c r="A45" s="28" t="str">
        <f t="shared" si="0"/>
        <v/>
      </c>
    </row>
    <row r="46" spans="1:1" x14ac:dyDescent="0.2">
      <c r="A46" s="28" t="str">
        <f t="shared" si="0"/>
        <v/>
      </c>
    </row>
    <row r="47" spans="1:1" x14ac:dyDescent="0.2">
      <c r="A47" s="28" t="str">
        <f t="shared" si="0"/>
        <v/>
      </c>
    </row>
    <row r="48" spans="1:1" x14ac:dyDescent="0.2">
      <c r="A48" s="28" t="str">
        <f t="shared" si="0"/>
        <v/>
      </c>
    </row>
    <row r="49" spans="1:1" x14ac:dyDescent="0.2">
      <c r="A49" s="28" t="str">
        <f t="shared" si="0"/>
        <v/>
      </c>
    </row>
    <row r="50" spans="1:1" x14ac:dyDescent="0.2">
      <c r="A50" s="28" t="str">
        <f t="shared" si="0"/>
        <v/>
      </c>
    </row>
    <row r="51" spans="1:1" x14ac:dyDescent="0.2">
      <c r="A51" s="28" t="str">
        <f t="shared" si="0"/>
        <v/>
      </c>
    </row>
    <row r="52" spans="1:1" x14ac:dyDescent="0.2">
      <c r="A52" s="28" t="str">
        <f t="shared" si="0"/>
        <v/>
      </c>
    </row>
    <row r="53" spans="1:1" x14ac:dyDescent="0.2">
      <c r="A53" s="28" t="str">
        <f t="shared" si="0"/>
        <v/>
      </c>
    </row>
    <row r="54" spans="1:1" x14ac:dyDescent="0.2">
      <c r="A54" s="28" t="str">
        <f t="shared" si="0"/>
        <v/>
      </c>
    </row>
    <row r="55" spans="1:1" x14ac:dyDescent="0.2">
      <c r="A55" s="28" t="str">
        <f t="shared" si="0"/>
        <v/>
      </c>
    </row>
    <row r="56" spans="1:1" x14ac:dyDescent="0.2">
      <c r="A56" s="28" t="str">
        <f t="shared" si="0"/>
        <v/>
      </c>
    </row>
    <row r="57" spans="1:1" x14ac:dyDescent="0.2">
      <c r="A57" s="28" t="str">
        <f t="shared" si="0"/>
        <v/>
      </c>
    </row>
    <row r="58" spans="1:1" x14ac:dyDescent="0.2">
      <c r="A58" s="28" t="str">
        <f t="shared" si="0"/>
        <v/>
      </c>
    </row>
    <row r="59" spans="1:1" x14ac:dyDescent="0.2">
      <c r="A59" s="28" t="str">
        <f t="shared" si="0"/>
        <v/>
      </c>
    </row>
    <row r="60" spans="1:1" x14ac:dyDescent="0.2">
      <c r="A60" s="28" t="str">
        <f t="shared" si="0"/>
        <v/>
      </c>
    </row>
    <row r="61" spans="1:1" x14ac:dyDescent="0.2">
      <c r="A61" s="28" t="str">
        <f t="shared" si="0"/>
        <v/>
      </c>
    </row>
    <row r="62" spans="1:1" x14ac:dyDescent="0.2">
      <c r="A62" s="28" t="str">
        <f t="shared" si="0"/>
        <v/>
      </c>
    </row>
    <row r="63" spans="1:1" x14ac:dyDescent="0.2">
      <c r="A63" s="28" t="str">
        <f t="shared" si="0"/>
        <v/>
      </c>
    </row>
    <row r="64" spans="1:1" x14ac:dyDescent="0.2">
      <c r="A64" s="28" t="str">
        <f t="shared" si="0"/>
        <v/>
      </c>
    </row>
    <row r="65" spans="1:1" x14ac:dyDescent="0.2">
      <c r="A65" s="28" t="str">
        <f t="shared" si="0"/>
        <v/>
      </c>
    </row>
    <row r="66" spans="1:1" x14ac:dyDescent="0.2">
      <c r="A66" s="28" t="str">
        <f t="shared" si="0"/>
        <v/>
      </c>
    </row>
    <row r="67" spans="1:1" x14ac:dyDescent="0.2">
      <c r="A67" s="28" t="str">
        <f t="shared" si="0"/>
        <v/>
      </c>
    </row>
    <row r="68" spans="1:1" x14ac:dyDescent="0.2">
      <c r="A68" s="28" t="str">
        <f t="shared" ref="A68:A131" si="1">IF(AND(B67&lt;&gt;"",B68=""),$A$2&amp;"---&gt;","")</f>
        <v/>
      </c>
    </row>
    <row r="69" spans="1:1" x14ac:dyDescent="0.2">
      <c r="A69" s="28" t="str">
        <f t="shared" si="1"/>
        <v/>
      </c>
    </row>
    <row r="70" spans="1:1" x14ac:dyDescent="0.2">
      <c r="A70" s="28" t="str">
        <f t="shared" si="1"/>
        <v/>
      </c>
    </row>
    <row r="71" spans="1:1" x14ac:dyDescent="0.2">
      <c r="A71" s="28" t="str">
        <f t="shared" si="1"/>
        <v/>
      </c>
    </row>
    <row r="72" spans="1:1" x14ac:dyDescent="0.2">
      <c r="A72" s="28" t="str">
        <f t="shared" si="1"/>
        <v/>
      </c>
    </row>
    <row r="73" spans="1:1" x14ac:dyDescent="0.2">
      <c r="A73" s="28" t="str">
        <f t="shared" si="1"/>
        <v/>
      </c>
    </row>
    <row r="74" spans="1:1" x14ac:dyDescent="0.2">
      <c r="A74" s="28" t="str">
        <f t="shared" si="1"/>
        <v/>
      </c>
    </row>
    <row r="75" spans="1:1" x14ac:dyDescent="0.2">
      <c r="A75" s="28" t="str">
        <f t="shared" si="1"/>
        <v/>
      </c>
    </row>
    <row r="76" spans="1:1" x14ac:dyDescent="0.2">
      <c r="A76" s="28" t="str">
        <f t="shared" si="1"/>
        <v/>
      </c>
    </row>
    <row r="77" spans="1:1" x14ac:dyDescent="0.2">
      <c r="A77" s="28" t="str">
        <f t="shared" si="1"/>
        <v/>
      </c>
    </row>
    <row r="78" spans="1:1" x14ac:dyDescent="0.2">
      <c r="A78" s="28" t="str">
        <f t="shared" si="1"/>
        <v/>
      </c>
    </row>
    <row r="79" spans="1:1" x14ac:dyDescent="0.2">
      <c r="A79" s="28" t="str">
        <f t="shared" si="1"/>
        <v/>
      </c>
    </row>
    <row r="80" spans="1:1" x14ac:dyDescent="0.2">
      <c r="A80" s="28" t="str">
        <f t="shared" si="1"/>
        <v/>
      </c>
    </row>
    <row r="81" spans="1:1" x14ac:dyDescent="0.2">
      <c r="A81" s="28" t="str">
        <f t="shared" si="1"/>
        <v/>
      </c>
    </row>
    <row r="82" spans="1:1" x14ac:dyDescent="0.2">
      <c r="A82" s="28" t="str">
        <f t="shared" si="1"/>
        <v/>
      </c>
    </row>
    <row r="83" spans="1:1" x14ac:dyDescent="0.2">
      <c r="A83" s="28" t="str">
        <f t="shared" si="1"/>
        <v/>
      </c>
    </row>
    <row r="84" spans="1:1" x14ac:dyDescent="0.2">
      <c r="A84" s="28" t="str">
        <f t="shared" si="1"/>
        <v/>
      </c>
    </row>
    <row r="85" spans="1:1" x14ac:dyDescent="0.2">
      <c r="A85" s="28" t="str">
        <f t="shared" si="1"/>
        <v/>
      </c>
    </row>
    <row r="86" spans="1:1" x14ac:dyDescent="0.2">
      <c r="A86" s="28" t="str">
        <f t="shared" si="1"/>
        <v/>
      </c>
    </row>
    <row r="87" spans="1:1" x14ac:dyDescent="0.2">
      <c r="A87" s="28" t="str">
        <f t="shared" si="1"/>
        <v/>
      </c>
    </row>
    <row r="88" spans="1:1" x14ac:dyDescent="0.2">
      <c r="A88" s="28" t="str">
        <f t="shared" si="1"/>
        <v/>
      </c>
    </row>
    <row r="89" spans="1:1" x14ac:dyDescent="0.2">
      <c r="A89" s="28" t="str">
        <f t="shared" si="1"/>
        <v/>
      </c>
    </row>
    <row r="90" spans="1:1" x14ac:dyDescent="0.2">
      <c r="A90" s="28" t="str">
        <f t="shared" si="1"/>
        <v/>
      </c>
    </row>
    <row r="91" spans="1:1" x14ac:dyDescent="0.2">
      <c r="A91" s="28" t="str">
        <f t="shared" si="1"/>
        <v/>
      </c>
    </row>
    <row r="92" spans="1:1" x14ac:dyDescent="0.2">
      <c r="A92" s="28" t="str">
        <f t="shared" si="1"/>
        <v/>
      </c>
    </row>
    <row r="93" spans="1:1" x14ac:dyDescent="0.2">
      <c r="A93" s="28" t="str">
        <f t="shared" si="1"/>
        <v/>
      </c>
    </row>
    <row r="94" spans="1:1" x14ac:dyDescent="0.2">
      <c r="A94" s="28" t="str">
        <f t="shared" si="1"/>
        <v/>
      </c>
    </row>
    <row r="95" spans="1:1" x14ac:dyDescent="0.2">
      <c r="A95" s="28" t="str">
        <f t="shared" si="1"/>
        <v/>
      </c>
    </row>
    <row r="96" spans="1:1" x14ac:dyDescent="0.2">
      <c r="A96" s="28" t="str">
        <f t="shared" si="1"/>
        <v/>
      </c>
    </row>
    <row r="97" spans="1:1" x14ac:dyDescent="0.2">
      <c r="A97" s="28" t="str">
        <f t="shared" si="1"/>
        <v/>
      </c>
    </row>
    <row r="98" spans="1:1" x14ac:dyDescent="0.2">
      <c r="A98" s="28" t="str">
        <f t="shared" si="1"/>
        <v/>
      </c>
    </row>
    <row r="99" spans="1:1" x14ac:dyDescent="0.2">
      <c r="A99" s="28" t="str">
        <f t="shared" si="1"/>
        <v/>
      </c>
    </row>
    <row r="100" spans="1:1" x14ac:dyDescent="0.2">
      <c r="A100" s="28" t="str">
        <f t="shared" si="1"/>
        <v/>
      </c>
    </row>
    <row r="101" spans="1:1" x14ac:dyDescent="0.2">
      <c r="A101" s="28" t="str">
        <f t="shared" si="1"/>
        <v/>
      </c>
    </row>
    <row r="102" spans="1:1" x14ac:dyDescent="0.2">
      <c r="A102" s="28" t="str">
        <f t="shared" si="1"/>
        <v/>
      </c>
    </row>
    <row r="103" spans="1:1" x14ac:dyDescent="0.2">
      <c r="A103" s="28" t="str">
        <f t="shared" si="1"/>
        <v/>
      </c>
    </row>
    <row r="104" spans="1:1" x14ac:dyDescent="0.2">
      <c r="A104" s="28" t="str">
        <f t="shared" si="1"/>
        <v/>
      </c>
    </row>
    <row r="105" spans="1:1" x14ac:dyDescent="0.2">
      <c r="A105" s="28" t="str">
        <f t="shared" si="1"/>
        <v/>
      </c>
    </row>
    <row r="106" spans="1:1" x14ac:dyDescent="0.2">
      <c r="A106" s="28" t="str">
        <f t="shared" si="1"/>
        <v/>
      </c>
    </row>
    <row r="107" spans="1:1" x14ac:dyDescent="0.2">
      <c r="A107" s="28" t="str">
        <f t="shared" si="1"/>
        <v/>
      </c>
    </row>
    <row r="108" spans="1:1" x14ac:dyDescent="0.2">
      <c r="A108" s="28" t="str">
        <f t="shared" si="1"/>
        <v/>
      </c>
    </row>
    <row r="109" spans="1:1" x14ac:dyDescent="0.2">
      <c r="A109" s="28" t="str">
        <f t="shared" si="1"/>
        <v/>
      </c>
    </row>
    <row r="110" spans="1:1" x14ac:dyDescent="0.2">
      <c r="A110" s="28" t="str">
        <f t="shared" si="1"/>
        <v/>
      </c>
    </row>
    <row r="111" spans="1:1" x14ac:dyDescent="0.2">
      <c r="A111" s="28" t="str">
        <f t="shared" si="1"/>
        <v/>
      </c>
    </row>
    <row r="112" spans="1:1" x14ac:dyDescent="0.2">
      <c r="A112" s="28" t="str">
        <f t="shared" si="1"/>
        <v/>
      </c>
    </row>
    <row r="113" spans="1:1" x14ac:dyDescent="0.2">
      <c r="A113" s="28" t="str">
        <f t="shared" si="1"/>
        <v/>
      </c>
    </row>
    <row r="114" spans="1:1" x14ac:dyDescent="0.2">
      <c r="A114" s="28" t="str">
        <f t="shared" si="1"/>
        <v/>
      </c>
    </row>
    <row r="115" spans="1:1" x14ac:dyDescent="0.2">
      <c r="A115" s="28" t="str">
        <f t="shared" si="1"/>
        <v/>
      </c>
    </row>
    <row r="116" spans="1:1" x14ac:dyDescent="0.2">
      <c r="A116" s="28" t="str">
        <f t="shared" si="1"/>
        <v/>
      </c>
    </row>
    <row r="117" spans="1:1" x14ac:dyDescent="0.2">
      <c r="A117" s="28" t="str">
        <f t="shared" si="1"/>
        <v/>
      </c>
    </row>
    <row r="118" spans="1:1" x14ac:dyDescent="0.2">
      <c r="A118" s="28" t="str">
        <f t="shared" si="1"/>
        <v/>
      </c>
    </row>
    <row r="119" spans="1:1" x14ac:dyDescent="0.2">
      <c r="A119" s="28" t="str">
        <f t="shared" si="1"/>
        <v/>
      </c>
    </row>
    <row r="120" spans="1:1" x14ac:dyDescent="0.2">
      <c r="A120" s="28" t="str">
        <f t="shared" si="1"/>
        <v/>
      </c>
    </row>
    <row r="121" spans="1:1" x14ac:dyDescent="0.2">
      <c r="A121" s="28" t="str">
        <f t="shared" si="1"/>
        <v/>
      </c>
    </row>
    <row r="122" spans="1:1" x14ac:dyDescent="0.2">
      <c r="A122" s="28" t="str">
        <f t="shared" si="1"/>
        <v/>
      </c>
    </row>
    <row r="123" spans="1:1" x14ac:dyDescent="0.2">
      <c r="A123" s="28" t="str">
        <f t="shared" si="1"/>
        <v/>
      </c>
    </row>
    <row r="124" spans="1:1" x14ac:dyDescent="0.2">
      <c r="A124" s="28" t="str">
        <f t="shared" si="1"/>
        <v/>
      </c>
    </row>
    <row r="125" spans="1:1" x14ac:dyDescent="0.2">
      <c r="A125" s="28" t="str">
        <f t="shared" si="1"/>
        <v/>
      </c>
    </row>
    <row r="126" spans="1:1" x14ac:dyDescent="0.2">
      <c r="A126" s="28" t="str">
        <f t="shared" si="1"/>
        <v/>
      </c>
    </row>
    <row r="127" spans="1:1" x14ac:dyDescent="0.2">
      <c r="A127" s="28" t="str">
        <f t="shared" si="1"/>
        <v/>
      </c>
    </row>
    <row r="128" spans="1:1" x14ac:dyDescent="0.2">
      <c r="A128" s="28" t="str">
        <f t="shared" si="1"/>
        <v/>
      </c>
    </row>
    <row r="129" spans="1:1" x14ac:dyDescent="0.2">
      <c r="A129" s="28" t="str">
        <f t="shared" si="1"/>
        <v/>
      </c>
    </row>
    <row r="130" spans="1:1" x14ac:dyDescent="0.2">
      <c r="A130" s="28" t="str">
        <f t="shared" si="1"/>
        <v/>
      </c>
    </row>
    <row r="131" spans="1:1" x14ac:dyDescent="0.2">
      <c r="A131" s="28" t="str">
        <f t="shared" si="1"/>
        <v/>
      </c>
    </row>
    <row r="132" spans="1:1" x14ac:dyDescent="0.2">
      <c r="A132" s="28" t="str">
        <f t="shared" ref="A132:A195" si="2">IF(AND(B131&lt;&gt;"",B132=""),$A$2&amp;"---&gt;","")</f>
        <v/>
      </c>
    </row>
    <row r="133" spans="1:1" x14ac:dyDescent="0.2">
      <c r="A133" s="28" t="str">
        <f t="shared" si="2"/>
        <v/>
      </c>
    </row>
    <row r="134" spans="1:1" x14ac:dyDescent="0.2">
      <c r="A134" s="28" t="str">
        <f t="shared" si="2"/>
        <v/>
      </c>
    </row>
    <row r="135" spans="1:1" x14ac:dyDescent="0.2">
      <c r="A135" s="28" t="str">
        <f t="shared" si="2"/>
        <v/>
      </c>
    </row>
    <row r="136" spans="1:1" x14ac:dyDescent="0.2">
      <c r="A136" s="28" t="str">
        <f t="shared" si="2"/>
        <v/>
      </c>
    </row>
    <row r="137" spans="1:1" x14ac:dyDescent="0.2">
      <c r="A137" s="28" t="str">
        <f t="shared" si="2"/>
        <v/>
      </c>
    </row>
    <row r="138" spans="1:1" x14ac:dyDescent="0.2">
      <c r="A138" s="28" t="str">
        <f t="shared" si="2"/>
        <v/>
      </c>
    </row>
    <row r="139" spans="1:1" x14ac:dyDescent="0.2">
      <c r="A139" s="28" t="str">
        <f t="shared" si="2"/>
        <v/>
      </c>
    </row>
    <row r="140" spans="1:1" x14ac:dyDescent="0.2">
      <c r="A140" s="28" t="str">
        <f t="shared" si="2"/>
        <v/>
      </c>
    </row>
    <row r="141" spans="1:1" x14ac:dyDescent="0.2">
      <c r="A141" s="28" t="str">
        <f t="shared" si="2"/>
        <v/>
      </c>
    </row>
    <row r="142" spans="1:1" x14ac:dyDescent="0.2">
      <c r="A142" s="28" t="str">
        <f t="shared" si="2"/>
        <v/>
      </c>
    </row>
    <row r="143" spans="1:1" x14ac:dyDescent="0.2">
      <c r="A143" s="28" t="str">
        <f t="shared" si="2"/>
        <v/>
      </c>
    </row>
    <row r="144" spans="1:1" x14ac:dyDescent="0.2">
      <c r="A144" s="28" t="str">
        <f t="shared" si="2"/>
        <v/>
      </c>
    </row>
    <row r="145" spans="1:1" x14ac:dyDescent="0.2">
      <c r="A145" s="28" t="str">
        <f t="shared" si="2"/>
        <v/>
      </c>
    </row>
    <row r="146" spans="1:1" x14ac:dyDescent="0.2">
      <c r="A146" s="28" t="str">
        <f t="shared" si="2"/>
        <v/>
      </c>
    </row>
    <row r="147" spans="1:1" x14ac:dyDescent="0.2">
      <c r="A147" s="28" t="str">
        <f t="shared" si="2"/>
        <v/>
      </c>
    </row>
    <row r="148" spans="1:1" x14ac:dyDescent="0.2">
      <c r="A148" s="28" t="str">
        <f t="shared" si="2"/>
        <v/>
      </c>
    </row>
    <row r="149" spans="1:1" x14ac:dyDescent="0.2">
      <c r="A149" s="28" t="str">
        <f t="shared" si="2"/>
        <v/>
      </c>
    </row>
    <row r="150" spans="1:1" x14ac:dyDescent="0.2">
      <c r="A150" s="28" t="str">
        <f t="shared" si="2"/>
        <v/>
      </c>
    </row>
    <row r="151" spans="1:1" x14ac:dyDescent="0.2">
      <c r="A151" s="28" t="str">
        <f t="shared" si="2"/>
        <v/>
      </c>
    </row>
    <row r="152" spans="1:1" x14ac:dyDescent="0.2">
      <c r="A152" s="28" t="str">
        <f t="shared" si="2"/>
        <v/>
      </c>
    </row>
    <row r="153" spans="1:1" x14ac:dyDescent="0.2">
      <c r="A153" s="28" t="str">
        <f t="shared" si="2"/>
        <v/>
      </c>
    </row>
    <row r="154" spans="1:1" x14ac:dyDescent="0.2">
      <c r="A154" s="28" t="str">
        <f t="shared" si="2"/>
        <v/>
      </c>
    </row>
    <row r="155" spans="1:1" x14ac:dyDescent="0.2">
      <c r="A155" s="28" t="str">
        <f t="shared" si="2"/>
        <v/>
      </c>
    </row>
    <row r="156" spans="1:1" x14ac:dyDescent="0.2">
      <c r="A156" s="28" t="str">
        <f t="shared" si="2"/>
        <v/>
      </c>
    </row>
    <row r="157" spans="1:1" x14ac:dyDescent="0.2">
      <c r="A157" s="28" t="str">
        <f t="shared" si="2"/>
        <v/>
      </c>
    </row>
    <row r="158" spans="1:1" x14ac:dyDescent="0.2">
      <c r="A158" s="28" t="str">
        <f t="shared" si="2"/>
        <v/>
      </c>
    </row>
    <row r="159" spans="1:1" x14ac:dyDescent="0.2">
      <c r="A159" s="28" t="str">
        <f t="shared" si="2"/>
        <v/>
      </c>
    </row>
    <row r="160" spans="1:1" x14ac:dyDescent="0.2">
      <c r="A160" s="28" t="str">
        <f t="shared" si="2"/>
        <v/>
      </c>
    </row>
    <row r="161" spans="1:1" x14ac:dyDescent="0.2">
      <c r="A161" s="28" t="str">
        <f t="shared" si="2"/>
        <v/>
      </c>
    </row>
    <row r="162" spans="1:1" x14ac:dyDescent="0.2">
      <c r="A162" s="28" t="str">
        <f t="shared" si="2"/>
        <v/>
      </c>
    </row>
    <row r="163" spans="1:1" x14ac:dyDescent="0.2">
      <c r="A163" s="28" t="str">
        <f t="shared" si="2"/>
        <v/>
      </c>
    </row>
    <row r="164" spans="1:1" x14ac:dyDescent="0.2">
      <c r="A164" s="28" t="str">
        <f t="shared" si="2"/>
        <v/>
      </c>
    </row>
    <row r="165" spans="1:1" x14ac:dyDescent="0.2">
      <c r="A165" s="28" t="str">
        <f t="shared" si="2"/>
        <v/>
      </c>
    </row>
    <row r="166" spans="1:1" x14ac:dyDescent="0.2">
      <c r="A166" s="28" t="str">
        <f t="shared" si="2"/>
        <v/>
      </c>
    </row>
    <row r="167" spans="1:1" x14ac:dyDescent="0.2">
      <c r="A167" s="28" t="str">
        <f t="shared" si="2"/>
        <v/>
      </c>
    </row>
    <row r="168" spans="1:1" x14ac:dyDescent="0.2">
      <c r="A168" s="28" t="str">
        <f t="shared" si="2"/>
        <v/>
      </c>
    </row>
    <row r="169" spans="1:1" x14ac:dyDescent="0.2">
      <c r="A169" s="28" t="str">
        <f t="shared" si="2"/>
        <v/>
      </c>
    </row>
    <row r="170" spans="1:1" x14ac:dyDescent="0.2">
      <c r="A170" s="28" t="str">
        <f t="shared" si="2"/>
        <v/>
      </c>
    </row>
    <row r="171" spans="1:1" x14ac:dyDescent="0.2">
      <c r="A171" s="28" t="str">
        <f t="shared" si="2"/>
        <v/>
      </c>
    </row>
    <row r="172" spans="1:1" x14ac:dyDescent="0.2">
      <c r="A172" s="28" t="str">
        <f t="shared" si="2"/>
        <v/>
      </c>
    </row>
    <row r="173" spans="1:1" x14ac:dyDescent="0.2">
      <c r="A173" s="28" t="str">
        <f t="shared" si="2"/>
        <v/>
      </c>
    </row>
    <row r="174" spans="1:1" x14ac:dyDescent="0.2">
      <c r="A174" s="28" t="str">
        <f t="shared" si="2"/>
        <v/>
      </c>
    </row>
    <row r="175" spans="1:1" x14ac:dyDescent="0.2">
      <c r="A175" s="28" t="str">
        <f t="shared" si="2"/>
        <v/>
      </c>
    </row>
    <row r="176" spans="1:1" x14ac:dyDescent="0.2">
      <c r="A176" s="28" t="str">
        <f t="shared" si="2"/>
        <v/>
      </c>
    </row>
    <row r="177" spans="1:1" x14ac:dyDescent="0.2">
      <c r="A177" s="28" t="str">
        <f t="shared" si="2"/>
        <v/>
      </c>
    </row>
    <row r="178" spans="1:1" x14ac:dyDescent="0.2">
      <c r="A178" s="28" t="str">
        <f t="shared" si="2"/>
        <v/>
      </c>
    </row>
    <row r="179" spans="1:1" x14ac:dyDescent="0.2">
      <c r="A179" s="28" t="str">
        <f t="shared" si="2"/>
        <v/>
      </c>
    </row>
    <row r="180" spans="1:1" x14ac:dyDescent="0.2">
      <c r="A180" s="28" t="str">
        <f t="shared" si="2"/>
        <v/>
      </c>
    </row>
    <row r="181" spans="1:1" x14ac:dyDescent="0.2">
      <c r="A181" s="28" t="str">
        <f t="shared" si="2"/>
        <v/>
      </c>
    </row>
    <row r="182" spans="1:1" x14ac:dyDescent="0.2">
      <c r="A182" s="28" t="str">
        <f t="shared" si="2"/>
        <v/>
      </c>
    </row>
    <row r="183" spans="1:1" x14ac:dyDescent="0.2">
      <c r="A183" s="28" t="str">
        <f t="shared" si="2"/>
        <v/>
      </c>
    </row>
    <row r="184" spans="1:1" x14ac:dyDescent="0.2">
      <c r="A184" s="28" t="str">
        <f t="shared" si="2"/>
        <v/>
      </c>
    </row>
    <row r="185" spans="1:1" x14ac:dyDescent="0.2">
      <c r="A185" s="28" t="str">
        <f t="shared" si="2"/>
        <v/>
      </c>
    </row>
    <row r="186" spans="1:1" x14ac:dyDescent="0.2">
      <c r="A186" s="28" t="str">
        <f t="shared" si="2"/>
        <v/>
      </c>
    </row>
    <row r="187" spans="1:1" x14ac:dyDescent="0.2">
      <c r="A187" s="28" t="str">
        <f t="shared" si="2"/>
        <v/>
      </c>
    </row>
    <row r="188" spans="1:1" x14ac:dyDescent="0.2">
      <c r="A188" s="28" t="str">
        <f t="shared" si="2"/>
        <v/>
      </c>
    </row>
    <row r="189" spans="1:1" x14ac:dyDescent="0.2">
      <c r="A189" s="28" t="str">
        <f t="shared" si="2"/>
        <v/>
      </c>
    </row>
    <row r="190" spans="1:1" x14ac:dyDescent="0.2">
      <c r="A190" s="28" t="str">
        <f t="shared" si="2"/>
        <v/>
      </c>
    </row>
    <row r="191" spans="1:1" x14ac:dyDescent="0.2">
      <c r="A191" s="28" t="str">
        <f t="shared" si="2"/>
        <v/>
      </c>
    </row>
    <row r="192" spans="1:1" x14ac:dyDescent="0.2">
      <c r="A192" s="28" t="str">
        <f t="shared" si="2"/>
        <v/>
      </c>
    </row>
    <row r="193" spans="1:1" x14ac:dyDescent="0.2">
      <c r="A193" s="28" t="str">
        <f t="shared" si="2"/>
        <v/>
      </c>
    </row>
    <row r="194" spans="1:1" x14ac:dyDescent="0.2">
      <c r="A194" s="28" t="str">
        <f t="shared" si="2"/>
        <v/>
      </c>
    </row>
    <row r="195" spans="1:1" x14ac:dyDescent="0.2">
      <c r="A195" s="28" t="str">
        <f t="shared" si="2"/>
        <v/>
      </c>
    </row>
    <row r="196" spans="1:1" x14ac:dyDescent="0.2">
      <c r="A196" s="28" t="str">
        <f t="shared" ref="A196:A259" si="3">IF(AND(B195&lt;&gt;"",B196=""),$A$2&amp;"---&gt;","")</f>
        <v/>
      </c>
    </row>
    <row r="197" spans="1:1" x14ac:dyDescent="0.2">
      <c r="A197" s="28" t="str">
        <f t="shared" si="3"/>
        <v/>
      </c>
    </row>
    <row r="198" spans="1:1" x14ac:dyDescent="0.2">
      <c r="A198" s="28" t="str">
        <f t="shared" si="3"/>
        <v/>
      </c>
    </row>
    <row r="199" spans="1:1" x14ac:dyDescent="0.2">
      <c r="A199" s="28" t="str">
        <f t="shared" si="3"/>
        <v/>
      </c>
    </row>
    <row r="200" spans="1:1" x14ac:dyDescent="0.2">
      <c r="A200" s="28" t="str">
        <f t="shared" si="3"/>
        <v/>
      </c>
    </row>
    <row r="201" spans="1:1" x14ac:dyDescent="0.2">
      <c r="A201" s="28" t="str">
        <f t="shared" si="3"/>
        <v/>
      </c>
    </row>
    <row r="202" spans="1:1" x14ac:dyDescent="0.2">
      <c r="A202" s="28" t="str">
        <f t="shared" si="3"/>
        <v/>
      </c>
    </row>
    <row r="203" spans="1:1" x14ac:dyDescent="0.2">
      <c r="A203" s="28" t="str">
        <f t="shared" si="3"/>
        <v/>
      </c>
    </row>
    <row r="204" spans="1:1" x14ac:dyDescent="0.2">
      <c r="A204" s="28" t="str">
        <f t="shared" si="3"/>
        <v/>
      </c>
    </row>
    <row r="205" spans="1:1" x14ac:dyDescent="0.2">
      <c r="A205" s="28" t="str">
        <f t="shared" si="3"/>
        <v/>
      </c>
    </row>
    <row r="206" spans="1:1" x14ac:dyDescent="0.2">
      <c r="A206" s="28" t="str">
        <f t="shared" si="3"/>
        <v/>
      </c>
    </row>
    <row r="207" spans="1:1" x14ac:dyDescent="0.2">
      <c r="A207" s="28" t="str">
        <f t="shared" si="3"/>
        <v/>
      </c>
    </row>
    <row r="208" spans="1:1" x14ac:dyDescent="0.2">
      <c r="A208" s="28" t="str">
        <f t="shared" si="3"/>
        <v/>
      </c>
    </row>
    <row r="209" spans="1:1" x14ac:dyDescent="0.2">
      <c r="A209" s="28" t="str">
        <f t="shared" si="3"/>
        <v/>
      </c>
    </row>
    <row r="210" spans="1:1" x14ac:dyDescent="0.2">
      <c r="A210" s="28" t="str">
        <f t="shared" si="3"/>
        <v/>
      </c>
    </row>
    <row r="211" spans="1:1" x14ac:dyDescent="0.2">
      <c r="A211" s="28" t="str">
        <f t="shared" si="3"/>
        <v/>
      </c>
    </row>
    <row r="212" spans="1:1" x14ac:dyDescent="0.2">
      <c r="A212" s="28" t="str">
        <f t="shared" si="3"/>
        <v/>
      </c>
    </row>
    <row r="213" spans="1:1" x14ac:dyDescent="0.2">
      <c r="A213" s="28" t="str">
        <f t="shared" si="3"/>
        <v/>
      </c>
    </row>
    <row r="214" spans="1:1" x14ac:dyDescent="0.2">
      <c r="A214" s="28" t="str">
        <f t="shared" si="3"/>
        <v/>
      </c>
    </row>
    <row r="215" spans="1:1" x14ac:dyDescent="0.2">
      <c r="A215" s="28" t="str">
        <f t="shared" si="3"/>
        <v/>
      </c>
    </row>
    <row r="216" spans="1:1" x14ac:dyDescent="0.2">
      <c r="A216" s="28" t="str">
        <f t="shared" si="3"/>
        <v/>
      </c>
    </row>
    <row r="217" spans="1:1" x14ac:dyDescent="0.2">
      <c r="A217" s="28" t="str">
        <f t="shared" si="3"/>
        <v/>
      </c>
    </row>
    <row r="218" spans="1:1" x14ac:dyDescent="0.2">
      <c r="A218" s="28" t="str">
        <f t="shared" si="3"/>
        <v/>
      </c>
    </row>
    <row r="219" spans="1:1" x14ac:dyDescent="0.2">
      <c r="A219" s="28" t="str">
        <f t="shared" si="3"/>
        <v/>
      </c>
    </row>
    <row r="220" spans="1:1" x14ac:dyDescent="0.2">
      <c r="A220" s="28" t="str">
        <f t="shared" si="3"/>
        <v/>
      </c>
    </row>
    <row r="221" spans="1:1" x14ac:dyDescent="0.2">
      <c r="A221" s="28" t="str">
        <f t="shared" si="3"/>
        <v/>
      </c>
    </row>
    <row r="222" spans="1:1" x14ac:dyDescent="0.2">
      <c r="A222" s="28" t="str">
        <f t="shared" si="3"/>
        <v/>
      </c>
    </row>
    <row r="223" spans="1:1" x14ac:dyDescent="0.2">
      <c r="A223" s="28" t="str">
        <f t="shared" si="3"/>
        <v/>
      </c>
    </row>
    <row r="224" spans="1:1" x14ac:dyDescent="0.2">
      <c r="A224" s="28" t="str">
        <f t="shared" si="3"/>
        <v/>
      </c>
    </row>
    <row r="225" spans="1:1" x14ac:dyDescent="0.2">
      <c r="A225" s="28" t="str">
        <f t="shared" si="3"/>
        <v/>
      </c>
    </row>
    <row r="226" spans="1:1" x14ac:dyDescent="0.2">
      <c r="A226" s="28" t="str">
        <f t="shared" si="3"/>
        <v/>
      </c>
    </row>
    <row r="227" spans="1:1" x14ac:dyDescent="0.2">
      <c r="A227" s="28" t="str">
        <f t="shared" si="3"/>
        <v/>
      </c>
    </row>
    <row r="228" spans="1:1" x14ac:dyDescent="0.2">
      <c r="A228" s="28" t="str">
        <f t="shared" si="3"/>
        <v/>
      </c>
    </row>
    <row r="229" spans="1:1" x14ac:dyDescent="0.2">
      <c r="A229" s="28" t="str">
        <f t="shared" si="3"/>
        <v/>
      </c>
    </row>
    <row r="230" spans="1:1" x14ac:dyDescent="0.2">
      <c r="A230" s="28" t="str">
        <f t="shared" si="3"/>
        <v/>
      </c>
    </row>
    <row r="231" spans="1:1" x14ac:dyDescent="0.2">
      <c r="A231" s="28" t="str">
        <f t="shared" si="3"/>
        <v/>
      </c>
    </row>
    <row r="232" spans="1:1" x14ac:dyDescent="0.2">
      <c r="A232" s="28" t="str">
        <f t="shared" si="3"/>
        <v/>
      </c>
    </row>
    <row r="233" spans="1:1" x14ac:dyDescent="0.2">
      <c r="A233" s="28" t="str">
        <f t="shared" si="3"/>
        <v/>
      </c>
    </row>
    <row r="234" spans="1:1" x14ac:dyDescent="0.2">
      <c r="A234" s="28" t="str">
        <f t="shared" si="3"/>
        <v/>
      </c>
    </row>
    <row r="235" spans="1:1" x14ac:dyDescent="0.2">
      <c r="A235" s="28" t="str">
        <f t="shared" si="3"/>
        <v/>
      </c>
    </row>
    <row r="236" spans="1:1" x14ac:dyDescent="0.2">
      <c r="A236" s="28" t="str">
        <f t="shared" si="3"/>
        <v/>
      </c>
    </row>
    <row r="237" spans="1:1" x14ac:dyDescent="0.2">
      <c r="A237" s="28" t="str">
        <f t="shared" si="3"/>
        <v/>
      </c>
    </row>
    <row r="238" spans="1:1" x14ac:dyDescent="0.2">
      <c r="A238" s="28" t="str">
        <f t="shared" si="3"/>
        <v/>
      </c>
    </row>
    <row r="239" spans="1:1" x14ac:dyDescent="0.2">
      <c r="A239" s="28" t="str">
        <f t="shared" si="3"/>
        <v/>
      </c>
    </row>
    <row r="240" spans="1:1" x14ac:dyDescent="0.2">
      <c r="A240" s="28" t="str">
        <f t="shared" si="3"/>
        <v/>
      </c>
    </row>
    <row r="241" spans="1:1" x14ac:dyDescent="0.2">
      <c r="A241" s="28" t="str">
        <f t="shared" si="3"/>
        <v/>
      </c>
    </row>
    <row r="242" spans="1:1" x14ac:dyDescent="0.2">
      <c r="A242" s="28" t="str">
        <f t="shared" si="3"/>
        <v/>
      </c>
    </row>
    <row r="243" spans="1:1" x14ac:dyDescent="0.2">
      <c r="A243" s="28" t="str">
        <f t="shared" si="3"/>
        <v/>
      </c>
    </row>
    <row r="244" spans="1:1" x14ac:dyDescent="0.2">
      <c r="A244" s="28" t="str">
        <f t="shared" si="3"/>
        <v/>
      </c>
    </row>
    <row r="245" spans="1:1" x14ac:dyDescent="0.2">
      <c r="A245" s="28" t="str">
        <f t="shared" si="3"/>
        <v/>
      </c>
    </row>
    <row r="246" spans="1:1" x14ac:dyDescent="0.2">
      <c r="A246" s="28" t="str">
        <f t="shared" si="3"/>
        <v/>
      </c>
    </row>
    <row r="247" spans="1:1" x14ac:dyDescent="0.2">
      <c r="A247" s="28" t="str">
        <f t="shared" si="3"/>
        <v/>
      </c>
    </row>
    <row r="248" spans="1:1" x14ac:dyDescent="0.2">
      <c r="A248" s="28" t="str">
        <f t="shared" si="3"/>
        <v/>
      </c>
    </row>
    <row r="249" spans="1:1" x14ac:dyDescent="0.2">
      <c r="A249" s="28" t="str">
        <f t="shared" si="3"/>
        <v/>
      </c>
    </row>
    <row r="250" spans="1:1" x14ac:dyDescent="0.2">
      <c r="A250" s="28" t="str">
        <f t="shared" si="3"/>
        <v/>
      </c>
    </row>
    <row r="251" spans="1:1" x14ac:dyDescent="0.2">
      <c r="A251" s="28" t="str">
        <f t="shared" si="3"/>
        <v/>
      </c>
    </row>
    <row r="252" spans="1:1" x14ac:dyDescent="0.2">
      <c r="A252" s="28" t="str">
        <f t="shared" si="3"/>
        <v/>
      </c>
    </row>
    <row r="253" spans="1:1" x14ac:dyDescent="0.2">
      <c r="A253" s="28" t="str">
        <f t="shared" si="3"/>
        <v/>
      </c>
    </row>
    <row r="254" spans="1:1" x14ac:dyDescent="0.2">
      <c r="A254" s="28" t="str">
        <f t="shared" si="3"/>
        <v/>
      </c>
    </row>
    <row r="255" spans="1:1" x14ac:dyDescent="0.2">
      <c r="A255" s="28" t="str">
        <f t="shared" si="3"/>
        <v/>
      </c>
    </row>
    <row r="256" spans="1:1" x14ac:dyDescent="0.2">
      <c r="A256" s="28" t="str">
        <f t="shared" si="3"/>
        <v/>
      </c>
    </row>
    <row r="257" spans="1:1" x14ac:dyDescent="0.2">
      <c r="A257" s="28" t="str">
        <f t="shared" si="3"/>
        <v/>
      </c>
    </row>
    <row r="258" spans="1:1" x14ac:dyDescent="0.2">
      <c r="A258" s="28" t="str">
        <f t="shared" si="3"/>
        <v/>
      </c>
    </row>
    <row r="259" spans="1:1" x14ac:dyDescent="0.2">
      <c r="A259" s="28" t="str">
        <f t="shared" si="3"/>
        <v/>
      </c>
    </row>
    <row r="260" spans="1:1" x14ac:dyDescent="0.2">
      <c r="A260" s="28" t="str">
        <f t="shared" ref="A260:A323" si="4">IF(AND(B259&lt;&gt;"",B260=""),$A$2&amp;"---&gt;","")</f>
        <v/>
      </c>
    </row>
    <row r="261" spans="1:1" x14ac:dyDescent="0.2">
      <c r="A261" s="28" t="str">
        <f t="shared" si="4"/>
        <v/>
      </c>
    </row>
    <row r="262" spans="1:1" x14ac:dyDescent="0.2">
      <c r="A262" s="28" t="str">
        <f t="shared" si="4"/>
        <v/>
      </c>
    </row>
    <row r="263" spans="1:1" x14ac:dyDescent="0.2">
      <c r="A263" s="28" t="str">
        <f t="shared" si="4"/>
        <v/>
      </c>
    </row>
    <row r="264" spans="1:1" x14ac:dyDescent="0.2">
      <c r="A264" s="28" t="str">
        <f t="shared" si="4"/>
        <v/>
      </c>
    </row>
    <row r="265" spans="1:1" x14ac:dyDescent="0.2">
      <c r="A265" s="28" t="str">
        <f t="shared" si="4"/>
        <v/>
      </c>
    </row>
    <row r="266" spans="1:1" x14ac:dyDescent="0.2">
      <c r="A266" s="28" t="str">
        <f t="shared" si="4"/>
        <v/>
      </c>
    </row>
    <row r="267" spans="1:1" x14ac:dyDescent="0.2">
      <c r="A267" s="28" t="str">
        <f t="shared" si="4"/>
        <v/>
      </c>
    </row>
    <row r="268" spans="1:1" x14ac:dyDescent="0.2">
      <c r="A268" s="28" t="str">
        <f t="shared" si="4"/>
        <v/>
      </c>
    </row>
    <row r="269" spans="1:1" x14ac:dyDescent="0.2">
      <c r="A269" s="28" t="str">
        <f t="shared" si="4"/>
        <v/>
      </c>
    </row>
    <row r="270" spans="1:1" x14ac:dyDescent="0.2">
      <c r="A270" s="28" t="str">
        <f t="shared" si="4"/>
        <v/>
      </c>
    </row>
    <row r="271" spans="1:1" x14ac:dyDescent="0.2">
      <c r="A271" s="28" t="str">
        <f t="shared" si="4"/>
        <v/>
      </c>
    </row>
    <row r="272" spans="1:1" x14ac:dyDescent="0.2">
      <c r="A272" s="28" t="str">
        <f t="shared" si="4"/>
        <v/>
      </c>
    </row>
    <row r="273" spans="1:1" x14ac:dyDescent="0.2">
      <c r="A273" s="28" t="str">
        <f t="shared" si="4"/>
        <v/>
      </c>
    </row>
    <row r="274" spans="1:1" x14ac:dyDescent="0.2">
      <c r="A274" s="28" t="str">
        <f t="shared" si="4"/>
        <v/>
      </c>
    </row>
    <row r="275" spans="1:1" x14ac:dyDescent="0.2">
      <c r="A275" s="28" t="str">
        <f t="shared" si="4"/>
        <v/>
      </c>
    </row>
    <row r="276" spans="1:1" x14ac:dyDescent="0.2">
      <c r="A276" s="28" t="str">
        <f t="shared" si="4"/>
        <v/>
      </c>
    </row>
    <row r="277" spans="1:1" x14ac:dyDescent="0.2">
      <c r="A277" s="28" t="str">
        <f t="shared" si="4"/>
        <v/>
      </c>
    </row>
    <row r="278" spans="1:1" x14ac:dyDescent="0.2">
      <c r="A278" s="28" t="str">
        <f t="shared" si="4"/>
        <v/>
      </c>
    </row>
    <row r="279" spans="1:1" x14ac:dyDescent="0.2">
      <c r="A279" s="28" t="str">
        <f t="shared" si="4"/>
        <v/>
      </c>
    </row>
    <row r="280" spans="1:1" x14ac:dyDescent="0.2">
      <c r="A280" s="28" t="str">
        <f t="shared" si="4"/>
        <v/>
      </c>
    </row>
    <row r="281" spans="1:1" x14ac:dyDescent="0.2">
      <c r="A281" s="28" t="str">
        <f t="shared" si="4"/>
        <v/>
      </c>
    </row>
    <row r="282" spans="1:1" x14ac:dyDescent="0.2">
      <c r="A282" s="28" t="str">
        <f t="shared" si="4"/>
        <v/>
      </c>
    </row>
    <row r="283" spans="1:1" x14ac:dyDescent="0.2">
      <c r="A283" s="28" t="str">
        <f t="shared" si="4"/>
        <v/>
      </c>
    </row>
    <row r="284" spans="1:1" x14ac:dyDescent="0.2">
      <c r="A284" s="28" t="str">
        <f t="shared" si="4"/>
        <v/>
      </c>
    </row>
    <row r="285" spans="1:1" x14ac:dyDescent="0.2">
      <c r="A285" s="28" t="str">
        <f t="shared" si="4"/>
        <v/>
      </c>
    </row>
    <row r="286" spans="1:1" x14ac:dyDescent="0.2">
      <c r="A286" s="28" t="str">
        <f t="shared" si="4"/>
        <v/>
      </c>
    </row>
    <row r="287" spans="1:1" x14ac:dyDescent="0.2">
      <c r="A287" s="28" t="str">
        <f t="shared" si="4"/>
        <v/>
      </c>
    </row>
    <row r="288" spans="1:1" x14ac:dyDescent="0.2">
      <c r="A288" s="28" t="str">
        <f t="shared" si="4"/>
        <v/>
      </c>
    </row>
    <row r="289" spans="1:1" x14ac:dyDescent="0.2">
      <c r="A289" s="28" t="str">
        <f t="shared" si="4"/>
        <v/>
      </c>
    </row>
    <row r="290" spans="1:1" x14ac:dyDescent="0.2">
      <c r="A290" s="28" t="str">
        <f t="shared" si="4"/>
        <v/>
      </c>
    </row>
    <row r="291" spans="1:1" x14ac:dyDescent="0.2">
      <c r="A291" s="28" t="str">
        <f t="shared" si="4"/>
        <v/>
      </c>
    </row>
    <row r="292" spans="1:1" x14ac:dyDescent="0.2">
      <c r="A292" s="28" t="str">
        <f t="shared" si="4"/>
        <v/>
      </c>
    </row>
    <row r="293" spans="1:1" x14ac:dyDescent="0.2">
      <c r="A293" s="28" t="str">
        <f t="shared" si="4"/>
        <v/>
      </c>
    </row>
    <row r="294" spans="1:1" x14ac:dyDescent="0.2">
      <c r="A294" s="28" t="str">
        <f t="shared" si="4"/>
        <v/>
      </c>
    </row>
    <row r="295" spans="1:1" x14ac:dyDescent="0.2">
      <c r="A295" s="28" t="str">
        <f t="shared" si="4"/>
        <v/>
      </c>
    </row>
    <row r="296" spans="1:1" x14ac:dyDescent="0.2">
      <c r="A296" s="28" t="str">
        <f t="shared" si="4"/>
        <v/>
      </c>
    </row>
    <row r="297" spans="1:1" x14ac:dyDescent="0.2">
      <c r="A297" s="28" t="str">
        <f t="shared" si="4"/>
        <v/>
      </c>
    </row>
    <row r="298" spans="1:1" x14ac:dyDescent="0.2">
      <c r="A298" s="28" t="str">
        <f t="shared" si="4"/>
        <v/>
      </c>
    </row>
    <row r="299" spans="1:1" x14ac:dyDescent="0.2">
      <c r="A299" s="28" t="str">
        <f t="shared" si="4"/>
        <v/>
      </c>
    </row>
    <row r="300" spans="1:1" x14ac:dyDescent="0.2">
      <c r="A300" s="28" t="str">
        <f t="shared" si="4"/>
        <v/>
      </c>
    </row>
    <row r="301" spans="1:1" x14ac:dyDescent="0.2">
      <c r="A301" s="28" t="str">
        <f t="shared" si="4"/>
        <v/>
      </c>
    </row>
    <row r="302" spans="1:1" x14ac:dyDescent="0.2">
      <c r="A302" s="28" t="str">
        <f t="shared" si="4"/>
        <v/>
      </c>
    </row>
    <row r="303" spans="1:1" x14ac:dyDescent="0.2">
      <c r="A303" s="28" t="str">
        <f t="shared" si="4"/>
        <v/>
      </c>
    </row>
    <row r="304" spans="1:1" x14ac:dyDescent="0.2">
      <c r="A304" s="28" t="str">
        <f t="shared" si="4"/>
        <v/>
      </c>
    </row>
    <row r="305" spans="1:1" x14ac:dyDescent="0.2">
      <c r="A305" s="28" t="str">
        <f t="shared" si="4"/>
        <v/>
      </c>
    </row>
    <row r="306" spans="1:1" x14ac:dyDescent="0.2">
      <c r="A306" s="28" t="str">
        <f t="shared" si="4"/>
        <v/>
      </c>
    </row>
    <row r="307" spans="1:1" x14ac:dyDescent="0.2">
      <c r="A307" s="28" t="str">
        <f t="shared" si="4"/>
        <v/>
      </c>
    </row>
    <row r="308" spans="1:1" x14ac:dyDescent="0.2">
      <c r="A308" s="28" t="str">
        <f t="shared" si="4"/>
        <v/>
      </c>
    </row>
    <row r="309" spans="1:1" x14ac:dyDescent="0.2">
      <c r="A309" s="28" t="str">
        <f t="shared" si="4"/>
        <v/>
      </c>
    </row>
    <row r="310" spans="1:1" x14ac:dyDescent="0.2">
      <c r="A310" s="28" t="str">
        <f t="shared" si="4"/>
        <v/>
      </c>
    </row>
    <row r="311" spans="1:1" x14ac:dyDescent="0.2">
      <c r="A311" s="28" t="str">
        <f t="shared" si="4"/>
        <v/>
      </c>
    </row>
    <row r="312" spans="1:1" x14ac:dyDescent="0.2">
      <c r="A312" s="28" t="str">
        <f t="shared" si="4"/>
        <v/>
      </c>
    </row>
    <row r="313" spans="1:1" x14ac:dyDescent="0.2">
      <c r="A313" s="28" t="str">
        <f t="shared" si="4"/>
        <v/>
      </c>
    </row>
    <row r="314" spans="1:1" x14ac:dyDescent="0.2">
      <c r="A314" s="28" t="str">
        <f t="shared" si="4"/>
        <v/>
      </c>
    </row>
    <row r="315" spans="1:1" x14ac:dyDescent="0.2">
      <c r="A315" s="28" t="str">
        <f t="shared" si="4"/>
        <v/>
      </c>
    </row>
    <row r="316" spans="1:1" x14ac:dyDescent="0.2">
      <c r="A316" s="28" t="str">
        <f t="shared" si="4"/>
        <v/>
      </c>
    </row>
    <row r="317" spans="1:1" x14ac:dyDescent="0.2">
      <c r="A317" s="28" t="str">
        <f t="shared" si="4"/>
        <v/>
      </c>
    </row>
    <row r="318" spans="1:1" x14ac:dyDescent="0.2">
      <c r="A318" s="28" t="str">
        <f t="shared" si="4"/>
        <v/>
      </c>
    </row>
    <row r="319" spans="1:1" x14ac:dyDescent="0.2">
      <c r="A319" s="28" t="str">
        <f t="shared" si="4"/>
        <v/>
      </c>
    </row>
    <row r="320" spans="1:1" x14ac:dyDescent="0.2">
      <c r="A320" s="28" t="str">
        <f t="shared" si="4"/>
        <v/>
      </c>
    </row>
    <row r="321" spans="1:1" x14ac:dyDescent="0.2">
      <c r="A321" s="28" t="str">
        <f t="shared" si="4"/>
        <v/>
      </c>
    </row>
    <row r="322" spans="1:1" x14ac:dyDescent="0.2">
      <c r="A322" s="28" t="str">
        <f t="shared" si="4"/>
        <v/>
      </c>
    </row>
    <row r="323" spans="1:1" x14ac:dyDescent="0.2">
      <c r="A323" s="28" t="str">
        <f t="shared" si="4"/>
        <v/>
      </c>
    </row>
    <row r="324" spans="1:1" x14ac:dyDescent="0.2">
      <c r="A324" s="28" t="str">
        <f t="shared" ref="A324:A387" si="5">IF(AND(B323&lt;&gt;"",B324=""),$A$2&amp;"---&gt;","")</f>
        <v/>
      </c>
    </row>
    <row r="325" spans="1:1" x14ac:dyDescent="0.2">
      <c r="A325" s="28" t="str">
        <f t="shared" si="5"/>
        <v/>
      </c>
    </row>
    <row r="326" spans="1:1" x14ac:dyDescent="0.2">
      <c r="A326" s="28" t="str">
        <f t="shared" si="5"/>
        <v/>
      </c>
    </row>
    <row r="327" spans="1:1" x14ac:dyDescent="0.2">
      <c r="A327" s="28" t="str">
        <f t="shared" si="5"/>
        <v/>
      </c>
    </row>
    <row r="328" spans="1:1" x14ac:dyDescent="0.2">
      <c r="A328" s="28" t="str">
        <f t="shared" si="5"/>
        <v/>
      </c>
    </row>
    <row r="329" spans="1:1" x14ac:dyDescent="0.2">
      <c r="A329" s="28" t="str">
        <f t="shared" si="5"/>
        <v/>
      </c>
    </row>
    <row r="330" spans="1:1" x14ac:dyDescent="0.2">
      <c r="A330" s="28" t="str">
        <f t="shared" si="5"/>
        <v/>
      </c>
    </row>
    <row r="331" spans="1:1" x14ac:dyDescent="0.2">
      <c r="A331" s="28" t="str">
        <f t="shared" si="5"/>
        <v/>
      </c>
    </row>
    <row r="332" spans="1:1" x14ac:dyDescent="0.2">
      <c r="A332" s="28" t="str">
        <f t="shared" si="5"/>
        <v/>
      </c>
    </row>
    <row r="333" spans="1:1" x14ac:dyDescent="0.2">
      <c r="A333" s="28" t="str">
        <f t="shared" si="5"/>
        <v/>
      </c>
    </row>
    <row r="334" spans="1:1" x14ac:dyDescent="0.2">
      <c r="A334" s="28" t="str">
        <f t="shared" si="5"/>
        <v/>
      </c>
    </row>
    <row r="335" spans="1:1" x14ac:dyDescent="0.2">
      <c r="A335" s="28" t="str">
        <f t="shared" si="5"/>
        <v/>
      </c>
    </row>
    <row r="336" spans="1:1" x14ac:dyDescent="0.2">
      <c r="A336" s="28" t="str">
        <f t="shared" si="5"/>
        <v/>
      </c>
    </row>
    <row r="337" spans="1:1" x14ac:dyDescent="0.2">
      <c r="A337" s="28" t="str">
        <f t="shared" si="5"/>
        <v/>
      </c>
    </row>
    <row r="338" spans="1:1" x14ac:dyDescent="0.2">
      <c r="A338" s="28" t="str">
        <f t="shared" si="5"/>
        <v/>
      </c>
    </row>
    <row r="339" spans="1:1" x14ac:dyDescent="0.2">
      <c r="A339" s="28" t="str">
        <f t="shared" si="5"/>
        <v/>
      </c>
    </row>
    <row r="340" spans="1:1" x14ac:dyDescent="0.2">
      <c r="A340" s="28" t="str">
        <f t="shared" si="5"/>
        <v/>
      </c>
    </row>
    <row r="341" spans="1:1" x14ac:dyDescent="0.2">
      <c r="A341" s="28" t="str">
        <f t="shared" si="5"/>
        <v/>
      </c>
    </row>
    <row r="342" spans="1:1" x14ac:dyDescent="0.2">
      <c r="A342" s="28" t="str">
        <f t="shared" si="5"/>
        <v/>
      </c>
    </row>
    <row r="343" spans="1:1" x14ac:dyDescent="0.2">
      <c r="A343" s="28" t="str">
        <f t="shared" si="5"/>
        <v/>
      </c>
    </row>
    <row r="344" spans="1:1" x14ac:dyDescent="0.2">
      <c r="A344" s="28" t="str">
        <f t="shared" si="5"/>
        <v/>
      </c>
    </row>
    <row r="345" spans="1:1" x14ac:dyDescent="0.2">
      <c r="A345" s="28" t="str">
        <f t="shared" si="5"/>
        <v/>
      </c>
    </row>
    <row r="346" spans="1:1" x14ac:dyDescent="0.2">
      <c r="A346" s="28" t="str">
        <f t="shared" si="5"/>
        <v/>
      </c>
    </row>
    <row r="347" spans="1:1" x14ac:dyDescent="0.2">
      <c r="A347" s="28" t="str">
        <f t="shared" si="5"/>
        <v/>
      </c>
    </row>
    <row r="348" spans="1:1" x14ac:dyDescent="0.2">
      <c r="A348" s="28" t="str">
        <f t="shared" si="5"/>
        <v/>
      </c>
    </row>
    <row r="349" spans="1:1" x14ac:dyDescent="0.2">
      <c r="A349" s="28" t="str">
        <f t="shared" si="5"/>
        <v/>
      </c>
    </row>
    <row r="350" spans="1:1" x14ac:dyDescent="0.2">
      <c r="A350" s="28" t="str">
        <f t="shared" si="5"/>
        <v/>
      </c>
    </row>
    <row r="351" spans="1:1" x14ac:dyDescent="0.2">
      <c r="A351" s="28" t="str">
        <f t="shared" si="5"/>
        <v/>
      </c>
    </row>
    <row r="352" spans="1:1" x14ac:dyDescent="0.2">
      <c r="A352" s="28" t="str">
        <f t="shared" si="5"/>
        <v/>
      </c>
    </row>
    <row r="353" spans="1:1" x14ac:dyDescent="0.2">
      <c r="A353" s="28" t="str">
        <f t="shared" si="5"/>
        <v/>
      </c>
    </row>
    <row r="354" spans="1:1" x14ac:dyDescent="0.2">
      <c r="A354" s="28" t="str">
        <f t="shared" si="5"/>
        <v/>
      </c>
    </row>
    <row r="355" spans="1:1" x14ac:dyDescent="0.2">
      <c r="A355" s="28" t="str">
        <f t="shared" si="5"/>
        <v/>
      </c>
    </row>
    <row r="356" spans="1:1" x14ac:dyDescent="0.2">
      <c r="A356" s="28" t="str">
        <f t="shared" si="5"/>
        <v/>
      </c>
    </row>
    <row r="357" spans="1:1" x14ac:dyDescent="0.2">
      <c r="A357" s="28" t="str">
        <f t="shared" si="5"/>
        <v/>
      </c>
    </row>
    <row r="358" spans="1:1" x14ac:dyDescent="0.2">
      <c r="A358" s="28" t="str">
        <f t="shared" si="5"/>
        <v/>
      </c>
    </row>
    <row r="359" spans="1:1" x14ac:dyDescent="0.2">
      <c r="A359" s="28" t="str">
        <f t="shared" si="5"/>
        <v/>
      </c>
    </row>
    <row r="360" spans="1:1" x14ac:dyDescent="0.2">
      <c r="A360" s="28" t="str">
        <f t="shared" si="5"/>
        <v/>
      </c>
    </row>
    <row r="361" spans="1:1" x14ac:dyDescent="0.2">
      <c r="A361" s="28" t="str">
        <f t="shared" si="5"/>
        <v/>
      </c>
    </row>
    <row r="362" spans="1:1" x14ac:dyDescent="0.2">
      <c r="A362" s="28" t="str">
        <f t="shared" si="5"/>
        <v/>
      </c>
    </row>
    <row r="363" spans="1:1" x14ac:dyDescent="0.2">
      <c r="A363" s="28" t="str">
        <f t="shared" si="5"/>
        <v/>
      </c>
    </row>
    <row r="364" spans="1:1" x14ac:dyDescent="0.2">
      <c r="A364" s="28" t="str">
        <f t="shared" si="5"/>
        <v/>
      </c>
    </row>
    <row r="365" spans="1:1" x14ac:dyDescent="0.2">
      <c r="A365" s="28" t="str">
        <f t="shared" si="5"/>
        <v/>
      </c>
    </row>
    <row r="366" spans="1:1" x14ac:dyDescent="0.2">
      <c r="A366" s="28" t="str">
        <f t="shared" si="5"/>
        <v/>
      </c>
    </row>
    <row r="367" spans="1:1" x14ac:dyDescent="0.2">
      <c r="A367" s="28" t="str">
        <f t="shared" si="5"/>
        <v/>
      </c>
    </row>
    <row r="368" spans="1:1" x14ac:dyDescent="0.2">
      <c r="A368" s="28" t="str">
        <f t="shared" si="5"/>
        <v/>
      </c>
    </row>
    <row r="369" spans="1:1" x14ac:dyDescent="0.2">
      <c r="A369" s="28" t="str">
        <f t="shared" si="5"/>
        <v/>
      </c>
    </row>
    <row r="370" spans="1:1" x14ac:dyDescent="0.2">
      <c r="A370" s="28" t="str">
        <f t="shared" si="5"/>
        <v/>
      </c>
    </row>
    <row r="371" spans="1:1" x14ac:dyDescent="0.2">
      <c r="A371" s="28" t="str">
        <f t="shared" si="5"/>
        <v/>
      </c>
    </row>
    <row r="372" spans="1:1" x14ac:dyDescent="0.2">
      <c r="A372" s="28" t="str">
        <f t="shared" si="5"/>
        <v/>
      </c>
    </row>
    <row r="373" spans="1:1" x14ac:dyDescent="0.2">
      <c r="A373" s="28" t="str">
        <f t="shared" si="5"/>
        <v/>
      </c>
    </row>
    <row r="374" spans="1:1" x14ac:dyDescent="0.2">
      <c r="A374" s="28" t="str">
        <f t="shared" si="5"/>
        <v/>
      </c>
    </row>
    <row r="375" spans="1:1" x14ac:dyDescent="0.2">
      <c r="A375" s="28" t="str">
        <f t="shared" si="5"/>
        <v/>
      </c>
    </row>
    <row r="376" spans="1:1" x14ac:dyDescent="0.2">
      <c r="A376" s="28" t="str">
        <f t="shared" si="5"/>
        <v/>
      </c>
    </row>
    <row r="377" spans="1:1" x14ac:dyDescent="0.2">
      <c r="A377" s="28" t="str">
        <f t="shared" si="5"/>
        <v/>
      </c>
    </row>
    <row r="378" spans="1:1" x14ac:dyDescent="0.2">
      <c r="A378" s="28" t="str">
        <f t="shared" si="5"/>
        <v/>
      </c>
    </row>
    <row r="379" spans="1:1" x14ac:dyDescent="0.2">
      <c r="A379" s="28" t="str">
        <f t="shared" si="5"/>
        <v/>
      </c>
    </row>
    <row r="380" spans="1:1" x14ac:dyDescent="0.2">
      <c r="A380" s="28" t="str">
        <f t="shared" si="5"/>
        <v/>
      </c>
    </row>
    <row r="381" spans="1:1" x14ac:dyDescent="0.2">
      <c r="A381" s="28" t="str">
        <f t="shared" si="5"/>
        <v/>
      </c>
    </row>
    <row r="382" spans="1:1" x14ac:dyDescent="0.2">
      <c r="A382" s="28" t="str">
        <f t="shared" si="5"/>
        <v/>
      </c>
    </row>
    <row r="383" spans="1:1" x14ac:dyDescent="0.2">
      <c r="A383" s="28" t="str">
        <f t="shared" si="5"/>
        <v/>
      </c>
    </row>
    <row r="384" spans="1:1" x14ac:dyDescent="0.2">
      <c r="A384" s="28" t="str">
        <f t="shared" si="5"/>
        <v/>
      </c>
    </row>
    <row r="385" spans="1:1" x14ac:dyDescent="0.2">
      <c r="A385" s="28" t="str">
        <f t="shared" si="5"/>
        <v/>
      </c>
    </row>
    <row r="386" spans="1:1" x14ac:dyDescent="0.2">
      <c r="A386" s="28" t="str">
        <f t="shared" si="5"/>
        <v/>
      </c>
    </row>
    <row r="387" spans="1:1" x14ac:dyDescent="0.2">
      <c r="A387" s="28" t="str">
        <f t="shared" si="5"/>
        <v/>
      </c>
    </row>
    <row r="388" spans="1:1" x14ac:dyDescent="0.2">
      <c r="A388" s="28" t="str">
        <f t="shared" ref="A388:A451" si="6">IF(AND(B387&lt;&gt;"",B388=""),$A$2&amp;"---&gt;","")</f>
        <v/>
      </c>
    </row>
    <row r="389" spans="1:1" x14ac:dyDescent="0.2">
      <c r="A389" s="28" t="str">
        <f t="shared" si="6"/>
        <v/>
      </c>
    </row>
    <row r="390" spans="1:1" x14ac:dyDescent="0.2">
      <c r="A390" s="28" t="str">
        <f t="shared" si="6"/>
        <v/>
      </c>
    </row>
    <row r="391" spans="1:1" x14ac:dyDescent="0.2">
      <c r="A391" s="28" t="str">
        <f t="shared" si="6"/>
        <v/>
      </c>
    </row>
    <row r="392" spans="1:1" x14ac:dyDescent="0.2">
      <c r="A392" s="28" t="str">
        <f t="shared" si="6"/>
        <v/>
      </c>
    </row>
    <row r="393" spans="1:1" x14ac:dyDescent="0.2">
      <c r="A393" s="28" t="str">
        <f t="shared" si="6"/>
        <v/>
      </c>
    </row>
    <row r="394" spans="1:1" x14ac:dyDescent="0.2">
      <c r="A394" s="28" t="str">
        <f t="shared" si="6"/>
        <v/>
      </c>
    </row>
    <row r="395" spans="1:1" x14ac:dyDescent="0.2">
      <c r="A395" s="28" t="str">
        <f t="shared" si="6"/>
        <v/>
      </c>
    </row>
    <row r="396" spans="1:1" x14ac:dyDescent="0.2">
      <c r="A396" s="28" t="str">
        <f t="shared" si="6"/>
        <v/>
      </c>
    </row>
    <row r="397" spans="1:1" x14ac:dyDescent="0.2">
      <c r="A397" s="28" t="str">
        <f t="shared" si="6"/>
        <v/>
      </c>
    </row>
    <row r="398" spans="1:1" x14ac:dyDescent="0.2">
      <c r="A398" s="28" t="str">
        <f t="shared" si="6"/>
        <v/>
      </c>
    </row>
    <row r="399" spans="1:1" x14ac:dyDescent="0.2">
      <c r="A399" s="28" t="str">
        <f t="shared" si="6"/>
        <v/>
      </c>
    </row>
    <row r="400" spans="1:1" x14ac:dyDescent="0.2">
      <c r="A400" s="28" t="str">
        <f t="shared" si="6"/>
        <v/>
      </c>
    </row>
    <row r="401" spans="1:1" x14ac:dyDescent="0.2">
      <c r="A401" s="28" t="str">
        <f t="shared" si="6"/>
        <v/>
      </c>
    </row>
    <row r="402" spans="1:1" x14ac:dyDescent="0.2">
      <c r="A402" s="28" t="str">
        <f t="shared" si="6"/>
        <v/>
      </c>
    </row>
    <row r="403" spans="1:1" x14ac:dyDescent="0.2">
      <c r="A403" s="28" t="str">
        <f t="shared" si="6"/>
        <v/>
      </c>
    </row>
    <row r="404" spans="1:1" x14ac:dyDescent="0.2">
      <c r="A404" s="28" t="str">
        <f t="shared" si="6"/>
        <v/>
      </c>
    </row>
    <row r="405" spans="1:1" x14ac:dyDescent="0.2">
      <c r="A405" s="28" t="str">
        <f t="shared" si="6"/>
        <v/>
      </c>
    </row>
    <row r="406" spans="1:1" x14ac:dyDescent="0.2">
      <c r="A406" s="28" t="str">
        <f t="shared" si="6"/>
        <v/>
      </c>
    </row>
    <row r="407" spans="1:1" x14ac:dyDescent="0.2">
      <c r="A407" s="28" t="str">
        <f t="shared" si="6"/>
        <v/>
      </c>
    </row>
    <row r="408" spans="1:1" x14ac:dyDescent="0.2">
      <c r="A408" s="28" t="str">
        <f t="shared" si="6"/>
        <v/>
      </c>
    </row>
    <row r="409" spans="1:1" x14ac:dyDescent="0.2">
      <c r="A409" s="28" t="str">
        <f t="shared" si="6"/>
        <v/>
      </c>
    </row>
    <row r="410" spans="1:1" x14ac:dyDescent="0.2">
      <c r="A410" s="28" t="str">
        <f t="shared" si="6"/>
        <v/>
      </c>
    </row>
    <row r="411" spans="1:1" x14ac:dyDescent="0.2">
      <c r="A411" s="28" t="str">
        <f t="shared" si="6"/>
        <v/>
      </c>
    </row>
    <row r="412" spans="1:1" x14ac:dyDescent="0.2">
      <c r="A412" s="28" t="str">
        <f t="shared" si="6"/>
        <v/>
      </c>
    </row>
    <row r="413" spans="1:1" x14ac:dyDescent="0.2">
      <c r="A413" s="28" t="str">
        <f t="shared" si="6"/>
        <v/>
      </c>
    </row>
    <row r="414" spans="1:1" x14ac:dyDescent="0.2">
      <c r="A414" s="28" t="str">
        <f t="shared" si="6"/>
        <v/>
      </c>
    </row>
    <row r="415" spans="1:1" x14ac:dyDescent="0.2">
      <c r="A415" s="28" t="str">
        <f t="shared" si="6"/>
        <v/>
      </c>
    </row>
    <row r="416" spans="1:1" x14ac:dyDescent="0.2">
      <c r="A416" s="28" t="str">
        <f t="shared" si="6"/>
        <v/>
      </c>
    </row>
    <row r="417" spans="1:1" x14ac:dyDescent="0.2">
      <c r="A417" s="28" t="str">
        <f t="shared" si="6"/>
        <v/>
      </c>
    </row>
    <row r="418" spans="1:1" x14ac:dyDescent="0.2">
      <c r="A418" s="28" t="str">
        <f t="shared" si="6"/>
        <v/>
      </c>
    </row>
    <row r="419" spans="1:1" x14ac:dyDescent="0.2">
      <c r="A419" s="28" t="str">
        <f t="shared" si="6"/>
        <v/>
      </c>
    </row>
    <row r="420" spans="1:1" x14ac:dyDescent="0.2">
      <c r="A420" s="28" t="str">
        <f t="shared" si="6"/>
        <v/>
      </c>
    </row>
    <row r="421" spans="1:1" x14ac:dyDescent="0.2">
      <c r="A421" s="28" t="str">
        <f t="shared" si="6"/>
        <v/>
      </c>
    </row>
    <row r="422" spans="1:1" x14ac:dyDescent="0.2">
      <c r="A422" s="28" t="str">
        <f t="shared" si="6"/>
        <v/>
      </c>
    </row>
    <row r="423" spans="1:1" x14ac:dyDescent="0.2">
      <c r="A423" s="28" t="str">
        <f t="shared" si="6"/>
        <v/>
      </c>
    </row>
    <row r="424" spans="1:1" x14ac:dyDescent="0.2">
      <c r="A424" s="28" t="str">
        <f t="shared" si="6"/>
        <v/>
      </c>
    </row>
    <row r="425" spans="1:1" x14ac:dyDescent="0.2">
      <c r="A425" s="28" t="str">
        <f t="shared" si="6"/>
        <v/>
      </c>
    </row>
    <row r="426" spans="1:1" x14ac:dyDescent="0.2">
      <c r="A426" s="28" t="str">
        <f t="shared" si="6"/>
        <v/>
      </c>
    </row>
    <row r="427" spans="1:1" x14ac:dyDescent="0.2">
      <c r="A427" s="28" t="str">
        <f t="shared" si="6"/>
        <v/>
      </c>
    </row>
    <row r="428" spans="1:1" x14ac:dyDescent="0.2">
      <c r="A428" s="28" t="str">
        <f t="shared" si="6"/>
        <v/>
      </c>
    </row>
    <row r="429" spans="1:1" x14ac:dyDescent="0.2">
      <c r="A429" s="28" t="str">
        <f t="shared" si="6"/>
        <v/>
      </c>
    </row>
    <row r="430" spans="1:1" x14ac:dyDescent="0.2">
      <c r="A430" s="28" t="str">
        <f t="shared" si="6"/>
        <v/>
      </c>
    </row>
    <row r="431" spans="1:1" x14ac:dyDescent="0.2">
      <c r="A431" s="28" t="str">
        <f t="shared" si="6"/>
        <v/>
      </c>
    </row>
    <row r="432" spans="1:1" x14ac:dyDescent="0.2">
      <c r="A432" s="28" t="str">
        <f t="shared" si="6"/>
        <v/>
      </c>
    </row>
    <row r="433" spans="1:1" x14ac:dyDescent="0.2">
      <c r="A433" s="28" t="str">
        <f t="shared" si="6"/>
        <v/>
      </c>
    </row>
    <row r="434" spans="1:1" x14ac:dyDescent="0.2">
      <c r="A434" s="28" t="str">
        <f t="shared" si="6"/>
        <v/>
      </c>
    </row>
    <row r="435" spans="1:1" x14ac:dyDescent="0.2">
      <c r="A435" s="28" t="str">
        <f t="shared" si="6"/>
        <v/>
      </c>
    </row>
    <row r="436" spans="1:1" x14ac:dyDescent="0.2">
      <c r="A436" s="28" t="str">
        <f t="shared" si="6"/>
        <v/>
      </c>
    </row>
    <row r="437" spans="1:1" x14ac:dyDescent="0.2">
      <c r="A437" s="28" t="str">
        <f t="shared" si="6"/>
        <v/>
      </c>
    </row>
    <row r="438" spans="1:1" x14ac:dyDescent="0.2">
      <c r="A438" s="28" t="str">
        <f t="shared" si="6"/>
        <v/>
      </c>
    </row>
    <row r="439" spans="1:1" x14ac:dyDescent="0.2">
      <c r="A439" s="28" t="str">
        <f t="shared" si="6"/>
        <v/>
      </c>
    </row>
    <row r="440" spans="1:1" x14ac:dyDescent="0.2">
      <c r="A440" s="28" t="str">
        <f t="shared" si="6"/>
        <v/>
      </c>
    </row>
    <row r="441" spans="1:1" x14ac:dyDescent="0.2">
      <c r="A441" s="28" t="str">
        <f t="shared" si="6"/>
        <v/>
      </c>
    </row>
    <row r="442" spans="1:1" x14ac:dyDescent="0.2">
      <c r="A442" s="28" t="str">
        <f t="shared" si="6"/>
        <v/>
      </c>
    </row>
    <row r="443" spans="1:1" x14ac:dyDescent="0.2">
      <c r="A443" s="28" t="str">
        <f t="shared" si="6"/>
        <v/>
      </c>
    </row>
    <row r="444" spans="1:1" x14ac:dyDescent="0.2">
      <c r="A444" s="28" t="str">
        <f t="shared" si="6"/>
        <v/>
      </c>
    </row>
    <row r="445" spans="1:1" x14ac:dyDescent="0.2">
      <c r="A445" s="28" t="str">
        <f t="shared" si="6"/>
        <v/>
      </c>
    </row>
    <row r="446" spans="1:1" x14ac:dyDescent="0.2">
      <c r="A446" s="28" t="str">
        <f t="shared" si="6"/>
        <v/>
      </c>
    </row>
    <row r="447" spans="1:1" x14ac:dyDescent="0.2">
      <c r="A447" s="28" t="str">
        <f t="shared" si="6"/>
        <v/>
      </c>
    </row>
    <row r="448" spans="1:1" x14ac:dyDescent="0.2">
      <c r="A448" s="28" t="str">
        <f t="shared" si="6"/>
        <v/>
      </c>
    </row>
    <row r="449" spans="1:1" x14ac:dyDescent="0.2">
      <c r="A449" s="28" t="str">
        <f t="shared" si="6"/>
        <v/>
      </c>
    </row>
    <row r="450" spans="1:1" x14ac:dyDescent="0.2">
      <c r="A450" s="28" t="str">
        <f t="shared" si="6"/>
        <v/>
      </c>
    </row>
    <row r="451" spans="1:1" x14ac:dyDescent="0.2">
      <c r="A451" s="28" t="str">
        <f t="shared" si="6"/>
        <v/>
      </c>
    </row>
    <row r="452" spans="1:1" x14ac:dyDescent="0.2">
      <c r="A452" s="28" t="str">
        <f t="shared" ref="A452:A515" si="7">IF(AND(B451&lt;&gt;"",B452=""),$A$2&amp;"---&gt;","")</f>
        <v/>
      </c>
    </row>
    <row r="453" spans="1:1" x14ac:dyDescent="0.2">
      <c r="A453" s="28" t="str">
        <f t="shared" si="7"/>
        <v/>
      </c>
    </row>
    <row r="454" spans="1:1" x14ac:dyDescent="0.2">
      <c r="A454" s="28" t="str">
        <f t="shared" si="7"/>
        <v/>
      </c>
    </row>
    <row r="455" spans="1:1" x14ac:dyDescent="0.2">
      <c r="A455" s="28" t="str">
        <f t="shared" si="7"/>
        <v/>
      </c>
    </row>
    <row r="456" spans="1:1" x14ac:dyDescent="0.2">
      <c r="A456" s="28" t="str">
        <f t="shared" si="7"/>
        <v/>
      </c>
    </row>
    <row r="457" spans="1:1" x14ac:dyDescent="0.2">
      <c r="A457" s="28" t="str">
        <f t="shared" si="7"/>
        <v/>
      </c>
    </row>
    <row r="458" spans="1:1" x14ac:dyDescent="0.2">
      <c r="A458" s="28" t="str">
        <f t="shared" si="7"/>
        <v/>
      </c>
    </row>
    <row r="459" spans="1:1" x14ac:dyDescent="0.2">
      <c r="A459" s="28" t="str">
        <f t="shared" si="7"/>
        <v/>
      </c>
    </row>
    <row r="460" spans="1:1" x14ac:dyDescent="0.2">
      <c r="A460" s="28" t="str">
        <f t="shared" si="7"/>
        <v/>
      </c>
    </row>
    <row r="461" spans="1:1" x14ac:dyDescent="0.2">
      <c r="A461" s="28" t="str">
        <f t="shared" si="7"/>
        <v/>
      </c>
    </row>
    <row r="462" spans="1:1" x14ac:dyDescent="0.2">
      <c r="A462" s="28" t="str">
        <f t="shared" si="7"/>
        <v/>
      </c>
    </row>
    <row r="463" spans="1:1" x14ac:dyDescent="0.2">
      <c r="A463" s="28" t="str">
        <f t="shared" si="7"/>
        <v/>
      </c>
    </row>
    <row r="464" spans="1:1" x14ac:dyDescent="0.2">
      <c r="A464" s="28" t="str">
        <f t="shared" si="7"/>
        <v/>
      </c>
    </row>
    <row r="465" spans="1:1" x14ac:dyDescent="0.2">
      <c r="A465" s="28" t="str">
        <f t="shared" si="7"/>
        <v/>
      </c>
    </row>
    <row r="466" spans="1:1" x14ac:dyDescent="0.2">
      <c r="A466" s="28" t="str">
        <f t="shared" si="7"/>
        <v/>
      </c>
    </row>
    <row r="467" spans="1:1" x14ac:dyDescent="0.2">
      <c r="A467" s="28" t="str">
        <f t="shared" si="7"/>
        <v/>
      </c>
    </row>
    <row r="468" spans="1:1" x14ac:dyDescent="0.2">
      <c r="A468" s="28" t="str">
        <f t="shared" si="7"/>
        <v/>
      </c>
    </row>
    <row r="469" spans="1:1" x14ac:dyDescent="0.2">
      <c r="A469" s="28" t="str">
        <f t="shared" si="7"/>
        <v/>
      </c>
    </row>
    <row r="470" spans="1:1" x14ac:dyDescent="0.2">
      <c r="A470" s="28" t="str">
        <f t="shared" si="7"/>
        <v/>
      </c>
    </row>
    <row r="471" spans="1:1" x14ac:dyDescent="0.2">
      <c r="A471" s="28" t="str">
        <f t="shared" si="7"/>
        <v/>
      </c>
    </row>
    <row r="472" spans="1:1" x14ac:dyDescent="0.2">
      <c r="A472" s="28" t="str">
        <f t="shared" si="7"/>
        <v/>
      </c>
    </row>
    <row r="473" spans="1:1" x14ac:dyDescent="0.2">
      <c r="A473" s="28" t="str">
        <f t="shared" si="7"/>
        <v/>
      </c>
    </row>
    <row r="474" spans="1:1" x14ac:dyDescent="0.2">
      <c r="A474" s="28" t="str">
        <f t="shared" si="7"/>
        <v/>
      </c>
    </row>
    <row r="475" spans="1:1" x14ac:dyDescent="0.2">
      <c r="A475" s="28" t="str">
        <f t="shared" si="7"/>
        <v/>
      </c>
    </row>
    <row r="476" spans="1:1" x14ac:dyDescent="0.2">
      <c r="A476" s="28" t="str">
        <f t="shared" si="7"/>
        <v/>
      </c>
    </row>
    <row r="477" spans="1:1" x14ac:dyDescent="0.2">
      <c r="A477" s="28" t="str">
        <f t="shared" si="7"/>
        <v/>
      </c>
    </row>
    <row r="478" spans="1:1" x14ac:dyDescent="0.2">
      <c r="A478" s="28" t="str">
        <f t="shared" si="7"/>
        <v/>
      </c>
    </row>
    <row r="479" spans="1:1" x14ac:dyDescent="0.2">
      <c r="A479" s="28" t="str">
        <f t="shared" si="7"/>
        <v/>
      </c>
    </row>
    <row r="480" spans="1:1" x14ac:dyDescent="0.2">
      <c r="A480" s="28" t="str">
        <f t="shared" si="7"/>
        <v/>
      </c>
    </row>
    <row r="481" spans="1:1" x14ac:dyDescent="0.2">
      <c r="A481" s="28" t="str">
        <f t="shared" si="7"/>
        <v/>
      </c>
    </row>
    <row r="482" spans="1:1" x14ac:dyDescent="0.2">
      <c r="A482" s="28" t="str">
        <f t="shared" si="7"/>
        <v/>
      </c>
    </row>
    <row r="483" spans="1:1" x14ac:dyDescent="0.2">
      <c r="A483" s="28" t="str">
        <f t="shared" si="7"/>
        <v/>
      </c>
    </row>
    <row r="484" spans="1:1" x14ac:dyDescent="0.2">
      <c r="A484" s="28" t="str">
        <f t="shared" si="7"/>
        <v/>
      </c>
    </row>
    <row r="485" spans="1:1" x14ac:dyDescent="0.2">
      <c r="A485" s="28" t="str">
        <f t="shared" si="7"/>
        <v/>
      </c>
    </row>
    <row r="486" spans="1:1" x14ac:dyDescent="0.2">
      <c r="A486" s="28" t="str">
        <f t="shared" si="7"/>
        <v/>
      </c>
    </row>
    <row r="487" spans="1:1" x14ac:dyDescent="0.2">
      <c r="A487" s="28" t="str">
        <f t="shared" si="7"/>
        <v/>
      </c>
    </row>
    <row r="488" spans="1:1" x14ac:dyDescent="0.2">
      <c r="A488" s="28" t="str">
        <f t="shared" si="7"/>
        <v/>
      </c>
    </row>
    <row r="489" spans="1:1" x14ac:dyDescent="0.2">
      <c r="A489" s="28" t="str">
        <f t="shared" si="7"/>
        <v/>
      </c>
    </row>
    <row r="490" spans="1:1" x14ac:dyDescent="0.2">
      <c r="A490" s="28" t="str">
        <f t="shared" si="7"/>
        <v/>
      </c>
    </row>
    <row r="491" spans="1:1" x14ac:dyDescent="0.2">
      <c r="A491" s="28" t="str">
        <f t="shared" si="7"/>
        <v/>
      </c>
    </row>
    <row r="492" spans="1:1" x14ac:dyDescent="0.2">
      <c r="A492" s="28" t="str">
        <f t="shared" si="7"/>
        <v/>
      </c>
    </row>
    <row r="493" spans="1:1" x14ac:dyDescent="0.2">
      <c r="A493" s="28" t="str">
        <f t="shared" si="7"/>
        <v/>
      </c>
    </row>
    <row r="494" spans="1:1" x14ac:dyDescent="0.2">
      <c r="A494" s="28" t="str">
        <f t="shared" si="7"/>
        <v/>
      </c>
    </row>
    <row r="495" spans="1:1" x14ac:dyDescent="0.2">
      <c r="A495" s="28" t="str">
        <f t="shared" si="7"/>
        <v/>
      </c>
    </row>
    <row r="496" spans="1:1" x14ac:dyDescent="0.2">
      <c r="A496" s="28" t="str">
        <f t="shared" si="7"/>
        <v/>
      </c>
    </row>
    <row r="497" spans="1:1" x14ac:dyDescent="0.2">
      <c r="A497" s="28" t="str">
        <f t="shared" si="7"/>
        <v/>
      </c>
    </row>
    <row r="498" spans="1:1" x14ac:dyDescent="0.2">
      <c r="A498" s="28" t="str">
        <f t="shared" si="7"/>
        <v/>
      </c>
    </row>
    <row r="499" spans="1:1" x14ac:dyDescent="0.2">
      <c r="A499" s="28" t="str">
        <f t="shared" si="7"/>
        <v/>
      </c>
    </row>
    <row r="500" spans="1:1" x14ac:dyDescent="0.2">
      <c r="A500" s="28" t="str">
        <f t="shared" si="7"/>
        <v/>
      </c>
    </row>
    <row r="501" spans="1:1" x14ac:dyDescent="0.2">
      <c r="A501" s="28" t="str">
        <f t="shared" si="7"/>
        <v/>
      </c>
    </row>
    <row r="502" spans="1:1" x14ac:dyDescent="0.2">
      <c r="A502" s="28" t="str">
        <f t="shared" si="7"/>
        <v/>
      </c>
    </row>
    <row r="503" spans="1:1" x14ac:dyDescent="0.2">
      <c r="A503" s="28" t="str">
        <f t="shared" si="7"/>
        <v/>
      </c>
    </row>
    <row r="504" spans="1:1" x14ac:dyDescent="0.2">
      <c r="A504" s="28" t="str">
        <f t="shared" si="7"/>
        <v/>
      </c>
    </row>
    <row r="505" spans="1:1" x14ac:dyDescent="0.2">
      <c r="A505" s="28" t="str">
        <f t="shared" si="7"/>
        <v/>
      </c>
    </row>
    <row r="506" spans="1:1" x14ac:dyDescent="0.2">
      <c r="A506" s="28" t="str">
        <f t="shared" si="7"/>
        <v/>
      </c>
    </row>
    <row r="507" spans="1:1" x14ac:dyDescent="0.2">
      <c r="A507" s="28" t="str">
        <f t="shared" si="7"/>
        <v/>
      </c>
    </row>
    <row r="508" spans="1:1" x14ac:dyDescent="0.2">
      <c r="A508" s="28" t="str">
        <f t="shared" si="7"/>
        <v/>
      </c>
    </row>
    <row r="509" spans="1:1" x14ac:dyDescent="0.2">
      <c r="A509" s="28" t="str">
        <f t="shared" si="7"/>
        <v/>
      </c>
    </row>
    <row r="510" spans="1:1" x14ac:dyDescent="0.2">
      <c r="A510" s="28" t="str">
        <f t="shared" si="7"/>
        <v/>
      </c>
    </row>
    <row r="511" spans="1:1" x14ac:dyDescent="0.2">
      <c r="A511" s="28" t="str">
        <f t="shared" si="7"/>
        <v/>
      </c>
    </row>
    <row r="512" spans="1:1" x14ac:dyDescent="0.2">
      <c r="A512" s="28" t="str">
        <f t="shared" si="7"/>
        <v/>
      </c>
    </row>
    <row r="513" spans="1:1" x14ac:dyDescent="0.2">
      <c r="A513" s="28" t="str">
        <f t="shared" si="7"/>
        <v/>
      </c>
    </row>
    <row r="514" spans="1:1" x14ac:dyDescent="0.2">
      <c r="A514" s="28" t="str">
        <f t="shared" si="7"/>
        <v/>
      </c>
    </row>
    <row r="515" spans="1:1" x14ac:dyDescent="0.2">
      <c r="A515" s="28" t="str">
        <f t="shared" si="7"/>
        <v/>
      </c>
    </row>
    <row r="516" spans="1:1" x14ac:dyDescent="0.2">
      <c r="A516" s="28" t="str">
        <f t="shared" ref="A516:A579" si="8">IF(AND(B515&lt;&gt;"",B516=""),$A$2&amp;"---&gt;","")</f>
        <v/>
      </c>
    </row>
    <row r="517" spans="1:1" x14ac:dyDescent="0.2">
      <c r="A517" s="28" t="str">
        <f t="shared" si="8"/>
        <v/>
      </c>
    </row>
    <row r="518" spans="1:1" x14ac:dyDescent="0.2">
      <c r="A518" s="28" t="str">
        <f t="shared" si="8"/>
        <v/>
      </c>
    </row>
    <row r="519" spans="1:1" x14ac:dyDescent="0.2">
      <c r="A519" s="28" t="str">
        <f t="shared" si="8"/>
        <v/>
      </c>
    </row>
    <row r="520" spans="1:1" x14ac:dyDescent="0.2">
      <c r="A520" s="28" t="str">
        <f t="shared" si="8"/>
        <v/>
      </c>
    </row>
    <row r="521" spans="1:1" x14ac:dyDescent="0.2">
      <c r="A521" s="28" t="str">
        <f t="shared" si="8"/>
        <v/>
      </c>
    </row>
    <row r="522" spans="1:1" x14ac:dyDescent="0.2">
      <c r="A522" s="28" t="str">
        <f t="shared" si="8"/>
        <v/>
      </c>
    </row>
    <row r="523" spans="1:1" x14ac:dyDescent="0.2">
      <c r="A523" s="28" t="str">
        <f t="shared" si="8"/>
        <v/>
      </c>
    </row>
    <row r="524" spans="1:1" x14ac:dyDescent="0.2">
      <c r="A524" s="28" t="str">
        <f t="shared" si="8"/>
        <v/>
      </c>
    </row>
    <row r="525" spans="1:1" x14ac:dyDescent="0.2">
      <c r="A525" s="28" t="str">
        <f t="shared" si="8"/>
        <v/>
      </c>
    </row>
    <row r="526" spans="1:1" x14ac:dyDescent="0.2">
      <c r="A526" s="28" t="str">
        <f t="shared" si="8"/>
        <v/>
      </c>
    </row>
    <row r="527" spans="1:1" x14ac:dyDescent="0.2">
      <c r="A527" s="28" t="str">
        <f t="shared" si="8"/>
        <v/>
      </c>
    </row>
    <row r="528" spans="1:1" x14ac:dyDescent="0.2">
      <c r="A528" s="28" t="str">
        <f t="shared" si="8"/>
        <v/>
      </c>
    </row>
    <row r="529" spans="1:1" x14ac:dyDescent="0.2">
      <c r="A529" s="28" t="str">
        <f t="shared" si="8"/>
        <v/>
      </c>
    </row>
    <row r="530" spans="1:1" x14ac:dyDescent="0.2">
      <c r="A530" s="28" t="str">
        <f t="shared" si="8"/>
        <v/>
      </c>
    </row>
    <row r="531" spans="1:1" x14ac:dyDescent="0.2">
      <c r="A531" s="28" t="str">
        <f t="shared" si="8"/>
        <v/>
      </c>
    </row>
    <row r="532" spans="1:1" x14ac:dyDescent="0.2">
      <c r="A532" s="28" t="str">
        <f t="shared" si="8"/>
        <v/>
      </c>
    </row>
    <row r="533" spans="1:1" x14ac:dyDescent="0.2">
      <c r="A533" s="28" t="str">
        <f t="shared" si="8"/>
        <v/>
      </c>
    </row>
    <row r="534" spans="1:1" x14ac:dyDescent="0.2">
      <c r="A534" s="28" t="str">
        <f t="shared" si="8"/>
        <v/>
      </c>
    </row>
    <row r="535" spans="1:1" x14ac:dyDescent="0.2">
      <c r="A535" s="28" t="str">
        <f t="shared" si="8"/>
        <v/>
      </c>
    </row>
    <row r="536" spans="1:1" x14ac:dyDescent="0.2">
      <c r="A536" s="28" t="str">
        <f t="shared" si="8"/>
        <v/>
      </c>
    </row>
    <row r="537" spans="1:1" x14ac:dyDescent="0.2">
      <c r="A537" s="28" t="str">
        <f t="shared" si="8"/>
        <v/>
      </c>
    </row>
    <row r="538" spans="1:1" x14ac:dyDescent="0.2">
      <c r="A538" s="28" t="str">
        <f t="shared" si="8"/>
        <v/>
      </c>
    </row>
    <row r="539" spans="1:1" x14ac:dyDescent="0.2">
      <c r="A539" s="28" t="str">
        <f t="shared" si="8"/>
        <v/>
      </c>
    </row>
    <row r="540" spans="1:1" x14ac:dyDescent="0.2">
      <c r="A540" s="28" t="str">
        <f t="shared" si="8"/>
        <v/>
      </c>
    </row>
    <row r="541" spans="1:1" x14ac:dyDescent="0.2">
      <c r="A541" s="28" t="str">
        <f t="shared" si="8"/>
        <v/>
      </c>
    </row>
    <row r="542" spans="1:1" x14ac:dyDescent="0.2">
      <c r="A542" s="28" t="str">
        <f t="shared" si="8"/>
        <v/>
      </c>
    </row>
    <row r="543" spans="1:1" x14ac:dyDescent="0.2">
      <c r="A543" s="28" t="str">
        <f t="shared" si="8"/>
        <v/>
      </c>
    </row>
    <row r="544" spans="1:1" x14ac:dyDescent="0.2">
      <c r="A544" s="28" t="str">
        <f t="shared" si="8"/>
        <v/>
      </c>
    </row>
    <row r="545" spans="1:1" x14ac:dyDescent="0.2">
      <c r="A545" s="28" t="str">
        <f t="shared" si="8"/>
        <v/>
      </c>
    </row>
    <row r="546" spans="1:1" x14ac:dyDescent="0.2">
      <c r="A546" s="28" t="str">
        <f t="shared" si="8"/>
        <v/>
      </c>
    </row>
    <row r="547" spans="1:1" x14ac:dyDescent="0.2">
      <c r="A547" s="28" t="str">
        <f t="shared" si="8"/>
        <v/>
      </c>
    </row>
    <row r="548" spans="1:1" x14ac:dyDescent="0.2">
      <c r="A548" s="28" t="str">
        <f t="shared" si="8"/>
        <v/>
      </c>
    </row>
    <row r="549" spans="1:1" x14ac:dyDescent="0.2">
      <c r="A549" s="28" t="str">
        <f t="shared" si="8"/>
        <v/>
      </c>
    </row>
    <row r="550" spans="1:1" x14ac:dyDescent="0.2">
      <c r="A550" s="28" t="str">
        <f t="shared" si="8"/>
        <v/>
      </c>
    </row>
    <row r="551" spans="1:1" x14ac:dyDescent="0.2">
      <c r="A551" s="28" t="str">
        <f t="shared" si="8"/>
        <v/>
      </c>
    </row>
    <row r="552" spans="1:1" x14ac:dyDescent="0.2">
      <c r="A552" s="28" t="str">
        <f t="shared" si="8"/>
        <v/>
      </c>
    </row>
    <row r="553" spans="1:1" x14ac:dyDescent="0.2">
      <c r="A553" s="28" t="str">
        <f t="shared" si="8"/>
        <v/>
      </c>
    </row>
    <row r="554" spans="1:1" x14ac:dyDescent="0.2">
      <c r="A554" s="28" t="str">
        <f t="shared" si="8"/>
        <v/>
      </c>
    </row>
    <row r="555" spans="1:1" x14ac:dyDescent="0.2">
      <c r="A555" s="28" t="str">
        <f t="shared" si="8"/>
        <v/>
      </c>
    </row>
    <row r="556" spans="1:1" x14ac:dyDescent="0.2">
      <c r="A556" s="28" t="str">
        <f t="shared" si="8"/>
        <v/>
      </c>
    </row>
    <row r="557" spans="1:1" x14ac:dyDescent="0.2">
      <c r="A557" s="28" t="str">
        <f t="shared" si="8"/>
        <v/>
      </c>
    </row>
    <row r="558" spans="1:1" x14ac:dyDescent="0.2">
      <c r="A558" s="28" t="str">
        <f t="shared" si="8"/>
        <v/>
      </c>
    </row>
    <row r="559" spans="1:1" x14ac:dyDescent="0.2">
      <c r="A559" s="28" t="str">
        <f t="shared" si="8"/>
        <v/>
      </c>
    </row>
    <row r="560" spans="1:1" x14ac:dyDescent="0.2">
      <c r="A560" s="28" t="str">
        <f t="shared" si="8"/>
        <v/>
      </c>
    </row>
    <row r="561" spans="1:1" x14ac:dyDescent="0.2">
      <c r="A561" s="28" t="str">
        <f t="shared" si="8"/>
        <v/>
      </c>
    </row>
    <row r="562" spans="1:1" x14ac:dyDescent="0.2">
      <c r="A562" s="28" t="str">
        <f t="shared" si="8"/>
        <v/>
      </c>
    </row>
    <row r="563" spans="1:1" x14ac:dyDescent="0.2">
      <c r="A563" s="28" t="str">
        <f t="shared" si="8"/>
        <v/>
      </c>
    </row>
    <row r="564" spans="1:1" x14ac:dyDescent="0.2">
      <c r="A564" s="28" t="str">
        <f t="shared" si="8"/>
        <v/>
      </c>
    </row>
    <row r="565" spans="1:1" x14ac:dyDescent="0.2">
      <c r="A565" s="28" t="str">
        <f t="shared" si="8"/>
        <v/>
      </c>
    </row>
    <row r="566" spans="1:1" x14ac:dyDescent="0.2">
      <c r="A566" s="28" t="str">
        <f t="shared" si="8"/>
        <v/>
      </c>
    </row>
    <row r="567" spans="1:1" x14ac:dyDescent="0.2">
      <c r="A567" s="28" t="str">
        <f t="shared" si="8"/>
        <v/>
      </c>
    </row>
    <row r="568" spans="1:1" x14ac:dyDescent="0.2">
      <c r="A568" s="28" t="str">
        <f t="shared" si="8"/>
        <v/>
      </c>
    </row>
    <row r="569" spans="1:1" x14ac:dyDescent="0.2">
      <c r="A569" s="28" t="str">
        <f t="shared" si="8"/>
        <v/>
      </c>
    </row>
    <row r="570" spans="1:1" x14ac:dyDescent="0.2">
      <c r="A570" s="28" t="str">
        <f t="shared" si="8"/>
        <v/>
      </c>
    </row>
    <row r="571" spans="1:1" x14ac:dyDescent="0.2">
      <c r="A571" s="28" t="str">
        <f t="shared" si="8"/>
        <v/>
      </c>
    </row>
    <row r="572" spans="1:1" x14ac:dyDescent="0.2">
      <c r="A572" s="28" t="str">
        <f t="shared" si="8"/>
        <v/>
      </c>
    </row>
    <row r="573" spans="1:1" x14ac:dyDescent="0.2">
      <c r="A573" s="28" t="str">
        <f t="shared" si="8"/>
        <v/>
      </c>
    </row>
    <row r="574" spans="1:1" x14ac:dyDescent="0.2">
      <c r="A574" s="28" t="str">
        <f t="shared" si="8"/>
        <v/>
      </c>
    </row>
    <row r="575" spans="1:1" x14ac:dyDescent="0.2">
      <c r="A575" s="28" t="str">
        <f t="shared" si="8"/>
        <v/>
      </c>
    </row>
    <row r="576" spans="1:1" x14ac:dyDescent="0.2">
      <c r="A576" s="28" t="str">
        <f t="shared" si="8"/>
        <v/>
      </c>
    </row>
    <row r="577" spans="1:1" x14ac:dyDescent="0.2">
      <c r="A577" s="28" t="str">
        <f t="shared" si="8"/>
        <v/>
      </c>
    </row>
    <row r="578" spans="1:1" x14ac:dyDescent="0.2">
      <c r="A578" s="28" t="str">
        <f t="shared" si="8"/>
        <v/>
      </c>
    </row>
    <row r="579" spans="1:1" x14ac:dyDescent="0.2">
      <c r="A579" s="28" t="str">
        <f t="shared" si="8"/>
        <v/>
      </c>
    </row>
    <row r="580" spans="1:1" x14ac:dyDescent="0.2">
      <c r="A580" s="28" t="str">
        <f t="shared" ref="A580:A643" si="9">IF(AND(B579&lt;&gt;"",B580=""),$A$2&amp;"---&gt;","")</f>
        <v/>
      </c>
    </row>
    <row r="581" spans="1:1" x14ac:dyDescent="0.2">
      <c r="A581" s="28" t="str">
        <f t="shared" si="9"/>
        <v/>
      </c>
    </row>
    <row r="582" spans="1:1" x14ac:dyDescent="0.2">
      <c r="A582" s="28" t="str">
        <f t="shared" si="9"/>
        <v/>
      </c>
    </row>
    <row r="583" spans="1:1" x14ac:dyDescent="0.2">
      <c r="A583" s="28" t="str">
        <f t="shared" si="9"/>
        <v/>
      </c>
    </row>
    <row r="584" spans="1:1" x14ac:dyDescent="0.2">
      <c r="A584" s="28" t="str">
        <f t="shared" si="9"/>
        <v/>
      </c>
    </row>
    <row r="585" spans="1:1" x14ac:dyDescent="0.2">
      <c r="A585" s="28" t="str">
        <f t="shared" si="9"/>
        <v/>
      </c>
    </row>
    <row r="586" spans="1:1" x14ac:dyDescent="0.2">
      <c r="A586" s="28" t="str">
        <f t="shared" si="9"/>
        <v/>
      </c>
    </row>
    <row r="587" spans="1:1" x14ac:dyDescent="0.2">
      <c r="A587" s="28" t="str">
        <f t="shared" si="9"/>
        <v/>
      </c>
    </row>
    <row r="588" spans="1:1" x14ac:dyDescent="0.2">
      <c r="A588" s="28" t="str">
        <f t="shared" si="9"/>
        <v/>
      </c>
    </row>
    <row r="589" spans="1:1" x14ac:dyDescent="0.2">
      <c r="A589" s="28" t="str">
        <f t="shared" si="9"/>
        <v/>
      </c>
    </row>
    <row r="590" spans="1:1" x14ac:dyDescent="0.2">
      <c r="A590" s="28" t="str">
        <f t="shared" si="9"/>
        <v/>
      </c>
    </row>
    <row r="591" spans="1:1" x14ac:dyDescent="0.2">
      <c r="A591" s="28" t="str">
        <f t="shared" si="9"/>
        <v/>
      </c>
    </row>
    <row r="592" spans="1:1" x14ac:dyDescent="0.2">
      <c r="A592" s="28" t="str">
        <f t="shared" si="9"/>
        <v/>
      </c>
    </row>
    <row r="593" spans="1:1" x14ac:dyDescent="0.2">
      <c r="A593" s="28" t="str">
        <f t="shared" si="9"/>
        <v/>
      </c>
    </row>
    <row r="594" spans="1:1" x14ac:dyDescent="0.2">
      <c r="A594" s="28" t="str">
        <f t="shared" si="9"/>
        <v/>
      </c>
    </row>
    <row r="595" spans="1:1" x14ac:dyDescent="0.2">
      <c r="A595" s="28" t="str">
        <f t="shared" si="9"/>
        <v/>
      </c>
    </row>
    <row r="596" spans="1:1" x14ac:dyDescent="0.2">
      <c r="A596" s="28" t="str">
        <f t="shared" si="9"/>
        <v/>
      </c>
    </row>
    <row r="597" spans="1:1" x14ac:dyDescent="0.2">
      <c r="A597" s="28" t="str">
        <f t="shared" si="9"/>
        <v/>
      </c>
    </row>
    <row r="598" spans="1:1" x14ac:dyDescent="0.2">
      <c r="A598" s="28" t="str">
        <f t="shared" si="9"/>
        <v/>
      </c>
    </row>
    <row r="599" spans="1:1" x14ac:dyDescent="0.2">
      <c r="A599" s="28" t="str">
        <f t="shared" si="9"/>
        <v/>
      </c>
    </row>
    <row r="600" spans="1:1" x14ac:dyDescent="0.2">
      <c r="A600" s="28" t="str">
        <f t="shared" si="9"/>
        <v/>
      </c>
    </row>
    <row r="601" spans="1:1" x14ac:dyDescent="0.2">
      <c r="A601" s="28" t="str">
        <f t="shared" si="9"/>
        <v/>
      </c>
    </row>
    <row r="602" spans="1:1" x14ac:dyDescent="0.2">
      <c r="A602" s="28" t="str">
        <f t="shared" si="9"/>
        <v/>
      </c>
    </row>
    <row r="603" spans="1:1" x14ac:dyDescent="0.2">
      <c r="A603" s="28" t="str">
        <f t="shared" si="9"/>
        <v/>
      </c>
    </row>
    <row r="604" spans="1:1" x14ac:dyDescent="0.2">
      <c r="A604" s="28" t="str">
        <f t="shared" si="9"/>
        <v/>
      </c>
    </row>
    <row r="605" spans="1:1" x14ac:dyDescent="0.2">
      <c r="A605" s="28" t="str">
        <f t="shared" si="9"/>
        <v/>
      </c>
    </row>
    <row r="606" spans="1:1" x14ac:dyDescent="0.2">
      <c r="A606" s="28" t="str">
        <f t="shared" si="9"/>
        <v/>
      </c>
    </row>
    <row r="607" spans="1:1" x14ac:dyDescent="0.2">
      <c r="A607" s="28" t="str">
        <f t="shared" si="9"/>
        <v/>
      </c>
    </row>
    <row r="608" spans="1:1" x14ac:dyDescent="0.2">
      <c r="A608" s="28" t="str">
        <f t="shared" si="9"/>
        <v/>
      </c>
    </row>
    <row r="609" spans="1:1" x14ac:dyDescent="0.2">
      <c r="A609" s="28" t="str">
        <f t="shared" si="9"/>
        <v/>
      </c>
    </row>
    <row r="610" spans="1:1" x14ac:dyDescent="0.2">
      <c r="A610" s="28" t="str">
        <f t="shared" si="9"/>
        <v/>
      </c>
    </row>
    <row r="611" spans="1:1" x14ac:dyDescent="0.2">
      <c r="A611" s="28" t="str">
        <f t="shared" si="9"/>
        <v/>
      </c>
    </row>
    <row r="612" spans="1:1" x14ac:dyDescent="0.2">
      <c r="A612" s="28" t="str">
        <f t="shared" si="9"/>
        <v/>
      </c>
    </row>
    <row r="613" spans="1:1" x14ac:dyDescent="0.2">
      <c r="A613" s="28" t="str">
        <f t="shared" si="9"/>
        <v/>
      </c>
    </row>
    <row r="614" spans="1:1" x14ac:dyDescent="0.2">
      <c r="A614" s="28" t="str">
        <f t="shared" si="9"/>
        <v/>
      </c>
    </row>
    <row r="615" spans="1:1" x14ac:dyDescent="0.2">
      <c r="A615" s="28" t="str">
        <f t="shared" si="9"/>
        <v/>
      </c>
    </row>
    <row r="616" spans="1:1" x14ac:dyDescent="0.2">
      <c r="A616" s="28" t="str">
        <f t="shared" si="9"/>
        <v/>
      </c>
    </row>
    <row r="617" spans="1:1" x14ac:dyDescent="0.2">
      <c r="A617" s="28" t="str">
        <f t="shared" si="9"/>
        <v/>
      </c>
    </row>
    <row r="618" spans="1:1" x14ac:dyDescent="0.2">
      <c r="A618" s="28" t="str">
        <f t="shared" si="9"/>
        <v/>
      </c>
    </row>
    <row r="619" spans="1:1" x14ac:dyDescent="0.2">
      <c r="A619" s="28" t="str">
        <f t="shared" si="9"/>
        <v/>
      </c>
    </row>
    <row r="620" spans="1:1" x14ac:dyDescent="0.2">
      <c r="A620" s="28" t="str">
        <f t="shared" si="9"/>
        <v/>
      </c>
    </row>
    <row r="621" spans="1:1" x14ac:dyDescent="0.2">
      <c r="A621" s="28" t="str">
        <f t="shared" si="9"/>
        <v/>
      </c>
    </row>
    <row r="622" spans="1:1" x14ac:dyDescent="0.2">
      <c r="A622" s="28" t="str">
        <f t="shared" si="9"/>
        <v/>
      </c>
    </row>
    <row r="623" spans="1:1" x14ac:dyDescent="0.2">
      <c r="A623" s="28" t="str">
        <f t="shared" si="9"/>
        <v/>
      </c>
    </row>
    <row r="624" spans="1:1" x14ac:dyDescent="0.2">
      <c r="A624" s="28" t="str">
        <f t="shared" si="9"/>
        <v/>
      </c>
    </row>
    <row r="625" spans="1:1" x14ac:dyDescent="0.2">
      <c r="A625" s="28" t="str">
        <f t="shared" si="9"/>
        <v/>
      </c>
    </row>
    <row r="626" spans="1:1" x14ac:dyDescent="0.2">
      <c r="A626" s="28" t="str">
        <f t="shared" si="9"/>
        <v/>
      </c>
    </row>
    <row r="627" spans="1:1" x14ac:dyDescent="0.2">
      <c r="A627" s="28" t="str">
        <f t="shared" si="9"/>
        <v/>
      </c>
    </row>
    <row r="628" spans="1:1" x14ac:dyDescent="0.2">
      <c r="A628" s="28" t="str">
        <f t="shared" si="9"/>
        <v/>
      </c>
    </row>
    <row r="629" spans="1:1" x14ac:dyDescent="0.2">
      <c r="A629" s="28" t="str">
        <f t="shared" si="9"/>
        <v/>
      </c>
    </row>
    <row r="630" spans="1:1" x14ac:dyDescent="0.2">
      <c r="A630" s="28" t="str">
        <f t="shared" si="9"/>
        <v/>
      </c>
    </row>
    <row r="631" spans="1:1" x14ac:dyDescent="0.2">
      <c r="A631" s="28" t="str">
        <f t="shared" si="9"/>
        <v/>
      </c>
    </row>
    <row r="632" spans="1:1" x14ac:dyDescent="0.2">
      <c r="A632" s="28" t="str">
        <f t="shared" si="9"/>
        <v/>
      </c>
    </row>
    <row r="633" spans="1:1" x14ac:dyDescent="0.2">
      <c r="A633" s="28" t="str">
        <f t="shared" si="9"/>
        <v/>
      </c>
    </row>
    <row r="634" spans="1:1" x14ac:dyDescent="0.2">
      <c r="A634" s="28" t="str">
        <f t="shared" si="9"/>
        <v/>
      </c>
    </row>
    <row r="635" spans="1:1" x14ac:dyDescent="0.2">
      <c r="A635" s="28" t="str">
        <f t="shared" si="9"/>
        <v/>
      </c>
    </row>
    <row r="636" spans="1:1" x14ac:dyDescent="0.2">
      <c r="A636" s="28" t="str">
        <f t="shared" si="9"/>
        <v/>
      </c>
    </row>
    <row r="637" spans="1:1" x14ac:dyDescent="0.2">
      <c r="A637" s="28" t="str">
        <f t="shared" si="9"/>
        <v/>
      </c>
    </row>
    <row r="638" spans="1:1" x14ac:dyDescent="0.2">
      <c r="A638" s="28" t="str">
        <f t="shared" si="9"/>
        <v/>
      </c>
    </row>
    <row r="639" spans="1:1" x14ac:dyDescent="0.2">
      <c r="A639" s="28" t="str">
        <f t="shared" si="9"/>
        <v/>
      </c>
    </row>
    <row r="640" spans="1:1" x14ac:dyDescent="0.2">
      <c r="A640" s="28" t="str">
        <f t="shared" si="9"/>
        <v/>
      </c>
    </row>
    <row r="641" spans="1:1" x14ac:dyDescent="0.2">
      <c r="A641" s="28" t="str">
        <f t="shared" si="9"/>
        <v/>
      </c>
    </row>
    <row r="642" spans="1:1" x14ac:dyDescent="0.2">
      <c r="A642" s="28" t="str">
        <f t="shared" si="9"/>
        <v/>
      </c>
    </row>
    <row r="643" spans="1:1" x14ac:dyDescent="0.2">
      <c r="A643" s="28" t="str">
        <f t="shared" si="9"/>
        <v/>
      </c>
    </row>
    <row r="644" spans="1:1" x14ac:dyDescent="0.2">
      <c r="A644" s="28" t="str">
        <f t="shared" ref="A644:A707" si="10">IF(AND(B643&lt;&gt;"",B644=""),$A$2&amp;"---&gt;","")</f>
        <v/>
      </c>
    </row>
    <row r="645" spans="1:1" x14ac:dyDescent="0.2">
      <c r="A645" s="28" t="str">
        <f t="shared" si="10"/>
        <v/>
      </c>
    </row>
    <row r="646" spans="1:1" x14ac:dyDescent="0.2">
      <c r="A646" s="28" t="str">
        <f t="shared" si="10"/>
        <v/>
      </c>
    </row>
    <row r="647" spans="1:1" x14ac:dyDescent="0.2">
      <c r="A647" s="28" t="str">
        <f t="shared" si="10"/>
        <v/>
      </c>
    </row>
    <row r="648" spans="1:1" x14ac:dyDescent="0.2">
      <c r="A648" s="28" t="str">
        <f t="shared" si="10"/>
        <v/>
      </c>
    </row>
    <row r="649" spans="1:1" x14ac:dyDescent="0.2">
      <c r="A649" s="28" t="str">
        <f t="shared" si="10"/>
        <v/>
      </c>
    </row>
    <row r="650" spans="1:1" x14ac:dyDescent="0.2">
      <c r="A650" s="28" t="str">
        <f t="shared" si="10"/>
        <v/>
      </c>
    </row>
    <row r="651" spans="1:1" x14ac:dyDescent="0.2">
      <c r="A651" s="28" t="str">
        <f t="shared" si="10"/>
        <v/>
      </c>
    </row>
    <row r="652" spans="1:1" x14ac:dyDescent="0.2">
      <c r="A652" s="28" t="str">
        <f t="shared" si="10"/>
        <v/>
      </c>
    </row>
    <row r="653" spans="1:1" x14ac:dyDescent="0.2">
      <c r="A653" s="28" t="str">
        <f t="shared" si="10"/>
        <v/>
      </c>
    </row>
    <row r="654" spans="1:1" x14ac:dyDescent="0.2">
      <c r="A654" s="28" t="str">
        <f t="shared" si="10"/>
        <v/>
      </c>
    </row>
    <row r="655" spans="1:1" x14ac:dyDescent="0.2">
      <c r="A655" s="28" t="str">
        <f t="shared" si="10"/>
        <v/>
      </c>
    </row>
    <row r="656" spans="1:1" x14ac:dyDescent="0.2">
      <c r="A656" s="28" t="str">
        <f t="shared" si="10"/>
        <v/>
      </c>
    </row>
    <row r="657" spans="1:1" x14ac:dyDescent="0.2">
      <c r="A657" s="28" t="str">
        <f t="shared" si="10"/>
        <v/>
      </c>
    </row>
    <row r="658" spans="1:1" x14ac:dyDescent="0.2">
      <c r="A658" s="28" t="str">
        <f t="shared" si="10"/>
        <v/>
      </c>
    </row>
    <row r="659" spans="1:1" x14ac:dyDescent="0.2">
      <c r="A659" s="28" t="str">
        <f t="shared" si="10"/>
        <v/>
      </c>
    </row>
    <row r="660" spans="1:1" x14ac:dyDescent="0.2">
      <c r="A660" s="28" t="str">
        <f t="shared" si="10"/>
        <v/>
      </c>
    </row>
    <row r="661" spans="1:1" x14ac:dyDescent="0.2">
      <c r="A661" s="28" t="str">
        <f t="shared" si="10"/>
        <v/>
      </c>
    </row>
    <row r="662" spans="1:1" x14ac:dyDescent="0.2">
      <c r="A662" s="28" t="str">
        <f t="shared" si="10"/>
        <v/>
      </c>
    </row>
    <row r="663" spans="1:1" x14ac:dyDescent="0.2">
      <c r="A663" s="28" t="str">
        <f t="shared" si="10"/>
        <v/>
      </c>
    </row>
    <row r="664" spans="1:1" x14ac:dyDescent="0.2">
      <c r="A664" s="28" t="str">
        <f t="shared" si="10"/>
        <v/>
      </c>
    </row>
    <row r="665" spans="1:1" x14ac:dyDescent="0.2">
      <c r="A665" s="28" t="str">
        <f t="shared" si="10"/>
        <v/>
      </c>
    </row>
    <row r="666" spans="1:1" x14ac:dyDescent="0.2">
      <c r="A666" s="28" t="str">
        <f t="shared" si="10"/>
        <v/>
      </c>
    </row>
    <row r="667" spans="1:1" x14ac:dyDescent="0.2">
      <c r="A667" s="28" t="str">
        <f t="shared" si="10"/>
        <v/>
      </c>
    </row>
    <row r="668" spans="1:1" x14ac:dyDescent="0.2">
      <c r="A668" s="28" t="str">
        <f t="shared" si="10"/>
        <v/>
      </c>
    </row>
    <row r="669" spans="1:1" x14ac:dyDescent="0.2">
      <c r="A669" s="28" t="str">
        <f t="shared" si="10"/>
        <v/>
      </c>
    </row>
    <row r="670" spans="1:1" x14ac:dyDescent="0.2">
      <c r="A670" s="28" t="str">
        <f t="shared" si="10"/>
        <v/>
      </c>
    </row>
    <row r="671" spans="1:1" x14ac:dyDescent="0.2">
      <c r="A671" s="28" t="str">
        <f t="shared" si="10"/>
        <v/>
      </c>
    </row>
    <row r="672" spans="1:1" x14ac:dyDescent="0.2">
      <c r="A672" s="28" t="str">
        <f t="shared" si="10"/>
        <v/>
      </c>
    </row>
    <row r="673" spans="1:1" x14ac:dyDescent="0.2">
      <c r="A673" s="28" t="str">
        <f t="shared" si="10"/>
        <v/>
      </c>
    </row>
    <row r="674" spans="1:1" x14ac:dyDescent="0.2">
      <c r="A674" s="28" t="str">
        <f t="shared" si="10"/>
        <v/>
      </c>
    </row>
    <row r="675" spans="1:1" x14ac:dyDescent="0.2">
      <c r="A675" s="28" t="str">
        <f t="shared" si="10"/>
        <v/>
      </c>
    </row>
    <row r="676" spans="1:1" x14ac:dyDescent="0.2">
      <c r="A676" s="28" t="str">
        <f t="shared" si="10"/>
        <v/>
      </c>
    </row>
    <row r="677" spans="1:1" x14ac:dyDescent="0.2">
      <c r="A677" s="28" t="str">
        <f t="shared" si="10"/>
        <v/>
      </c>
    </row>
    <row r="678" spans="1:1" x14ac:dyDescent="0.2">
      <c r="A678" s="28" t="str">
        <f t="shared" si="10"/>
        <v/>
      </c>
    </row>
    <row r="679" spans="1:1" x14ac:dyDescent="0.2">
      <c r="A679" s="28" t="str">
        <f t="shared" si="10"/>
        <v/>
      </c>
    </row>
    <row r="680" spans="1:1" x14ac:dyDescent="0.2">
      <c r="A680" s="28" t="str">
        <f t="shared" si="10"/>
        <v/>
      </c>
    </row>
    <row r="681" spans="1:1" x14ac:dyDescent="0.2">
      <c r="A681" s="28" t="str">
        <f t="shared" si="10"/>
        <v/>
      </c>
    </row>
    <row r="682" spans="1:1" x14ac:dyDescent="0.2">
      <c r="A682" s="28" t="str">
        <f t="shared" si="10"/>
        <v/>
      </c>
    </row>
    <row r="683" spans="1:1" x14ac:dyDescent="0.2">
      <c r="A683" s="28" t="str">
        <f t="shared" si="10"/>
        <v/>
      </c>
    </row>
    <row r="684" spans="1:1" x14ac:dyDescent="0.2">
      <c r="A684" s="28" t="str">
        <f t="shared" si="10"/>
        <v/>
      </c>
    </row>
    <row r="685" spans="1:1" x14ac:dyDescent="0.2">
      <c r="A685" s="28" t="str">
        <f t="shared" si="10"/>
        <v/>
      </c>
    </row>
    <row r="686" spans="1:1" x14ac:dyDescent="0.2">
      <c r="A686" s="28" t="str">
        <f t="shared" si="10"/>
        <v/>
      </c>
    </row>
    <row r="687" spans="1:1" x14ac:dyDescent="0.2">
      <c r="A687" s="28" t="str">
        <f t="shared" si="10"/>
        <v/>
      </c>
    </row>
    <row r="688" spans="1:1" x14ac:dyDescent="0.2">
      <c r="A688" s="28" t="str">
        <f t="shared" si="10"/>
        <v/>
      </c>
    </row>
    <row r="689" spans="1:1" x14ac:dyDescent="0.2">
      <c r="A689" s="28" t="str">
        <f t="shared" si="10"/>
        <v/>
      </c>
    </row>
    <row r="690" spans="1:1" x14ac:dyDescent="0.2">
      <c r="A690" s="28" t="str">
        <f t="shared" si="10"/>
        <v/>
      </c>
    </row>
    <row r="691" spans="1:1" x14ac:dyDescent="0.2">
      <c r="A691" s="28" t="str">
        <f t="shared" si="10"/>
        <v/>
      </c>
    </row>
    <row r="692" spans="1:1" x14ac:dyDescent="0.2">
      <c r="A692" s="28" t="str">
        <f t="shared" si="10"/>
        <v/>
      </c>
    </row>
    <row r="693" spans="1:1" x14ac:dyDescent="0.2">
      <c r="A693" s="28" t="str">
        <f t="shared" si="10"/>
        <v/>
      </c>
    </row>
    <row r="694" spans="1:1" x14ac:dyDescent="0.2">
      <c r="A694" s="28" t="str">
        <f t="shared" si="10"/>
        <v/>
      </c>
    </row>
    <row r="695" spans="1:1" x14ac:dyDescent="0.2">
      <c r="A695" s="28" t="str">
        <f t="shared" si="10"/>
        <v/>
      </c>
    </row>
    <row r="696" spans="1:1" x14ac:dyDescent="0.2">
      <c r="A696" s="28" t="str">
        <f t="shared" si="10"/>
        <v/>
      </c>
    </row>
    <row r="697" spans="1:1" x14ac:dyDescent="0.2">
      <c r="A697" s="28" t="str">
        <f t="shared" si="10"/>
        <v/>
      </c>
    </row>
    <row r="698" spans="1:1" x14ac:dyDescent="0.2">
      <c r="A698" s="28" t="str">
        <f t="shared" si="10"/>
        <v/>
      </c>
    </row>
    <row r="699" spans="1:1" x14ac:dyDescent="0.2">
      <c r="A699" s="28" t="str">
        <f t="shared" si="10"/>
        <v/>
      </c>
    </row>
    <row r="700" spans="1:1" x14ac:dyDescent="0.2">
      <c r="A700" s="28" t="str">
        <f t="shared" si="10"/>
        <v/>
      </c>
    </row>
    <row r="701" spans="1:1" x14ac:dyDescent="0.2">
      <c r="A701" s="28" t="str">
        <f t="shared" si="10"/>
        <v/>
      </c>
    </row>
    <row r="702" spans="1:1" x14ac:dyDescent="0.2">
      <c r="A702" s="28" t="str">
        <f t="shared" si="10"/>
        <v/>
      </c>
    </row>
    <row r="703" spans="1:1" x14ac:dyDescent="0.2">
      <c r="A703" s="28" t="str">
        <f t="shared" si="10"/>
        <v/>
      </c>
    </row>
    <row r="704" spans="1:1" x14ac:dyDescent="0.2">
      <c r="A704" s="28" t="str">
        <f t="shared" si="10"/>
        <v/>
      </c>
    </row>
    <row r="705" spans="1:1" x14ac:dyDescent="0.2">
      <c r="A705" s="28" t="str">
        <f t="shared" si="10"/>
        <v/>
      </c>
    </row>
    <row r="706" spans="1:1" x14ac:dyDescent="0.2">
      <c r="A706" s="28" t="str">
        <f t="shared" si="10"/>
        <v/>
      </c>
    </row>
    <row r="707" spans="1:1" x14ac:dyDescent="0.2">
      <c r="A707" s="28" t="str">
        <f t="shared" si="10"/>
        <v/>
      </c>
    </row>
    <row r="708" spans="1:1" x14ac:dyDescent="0.2">
      <c r="A708" s="28" t="str">
        <f t="shared" ref="A708:A771" si="11">IF(AND(B707&lt;&gt;"",B708=""),$A$2&amp;"---&gt;","")</f>
        <v/>
      </c>
    </row>
    <row r="709" spans="1:1" x14ac:dyDescent="0.2">
      <c r="A709" s="28" t="str">
        <f t="shared" si="11"/>
        <v/>
      </c>
    </row>
    <row r="710" spans="1:1" x14ac:dyDescent="0.2">
      <c r="A710" s="28" t="str">
        <f t="shared" si="11"/>
        <v/>
      </c>
    </row>
    <row r="711" spans="1:1" x14ac:dyDescent="0.2">
      <c r="A711" s="28" t="str">
        <f t="shared" si="11"/>
        <v/>
      </c>
    </row>
    <row r="712" spans="1:1" x14ac:dyDescent="0.2">
      <c r="A712" s="28" t="str">
        <f t="shared" si="11"/>
        <v/>
      </c>
    </row>
    <row r="713" spans="1:1" x14ac:dyDescent="0.2">
      <c r="A713" s="28" t="str">
        <f t="shared" si="11"/>
        <v/>
      </c>
    </row>
    <row r="714" spans="1:1" x14ac:dyDescent="0.2">
      <c r="A714" s="28" t="str">
        <f t="shared" si="11"/>
        <v/>
      </c>
    </row>
    <row r="715" spans="1:1" x14ac:dyDescent="0.2">
      <c r="A715" s="28" t="str">
        <f t="shared" si="11"/>
        <v/>
      </c>
    </row>
    <row r="716" spans="1:1" x14ac:dyDescent="0.2">
      <c r="A716" s="28" t="str">
        <f t="shared" si="11"/>
        <v/>
      </c>
    </row>
    <row r="717" spans="1:1" x14ac:dyDescent="0.2">
      <c r="A717" s="28" t="str">
        <f t="shared" si="11"/>
        <v/>
      </c>
    </row>
    <row r="718" spans="1:1" x14ac:dyDescent="0.2">
      <c r="A718" s="28" t="str">
        <f t="shared" si="11"/>
        <v/>
      </c>
    </row>
    <row r="719" spans="1:1" x14ac:dyDescent="0.2">
      <c r="A719" s="28" t="str">
        <f t="shared" si="11"/>
        <v/>
      </c>
    </row>
    <row r="720" spans="1:1" x14ac:dyDescent="0.2">
      <c r="A720" s="28" t="str">
        <f t="shared" si="11"/>
        <v/>
      </c>
    </row>
    <row r="721" spans="1:1" x14ac:dyDescent="0.2">
      <c r="A721" s="28" t="str">
        <f t="shared" si="11"/>
        <v/>
      </c>
    </row>
    <row r="722" spans="1:1" x14ac:dyDescent="0.2">
      <c r="A722" s="28" t="str">
        <f t="shared" si="11"/>
        <v/>
      </c>
    </row>
    <row r="723" spans="1:1" x14ac:dyDescent="0.2">
      <c r="A723" s="28" t="str">
        <f t="shared" si="11"/>
        <v/>
      </c>
    </row>
    <row r="724" spans="1:1" x14ac:dyDescent="0.2">
      <c r="A724" s="28" t="str">
        <f t="shared" si="11"/>
        <v/>
      </c>
    </row>
    <row r="725" spans="1:1" x14ac:dyDescent="0.2">
      <c r="A725" s="28" t="str">
        <f t="shared" si="11"/>
        <v/>
      </c>
    </row>
    <row r="726" spans="1:1" x14ac:dyDescent="0.2">
      <c r="A726" s="28" t="str">
        <f t="shared" si="11"/>
        <v/>
      </c>
    </row>
    <row r="727" spans="1:1" x14ac:dyDescent="0.2">
      <c r="A727" s="28" t="str">
        <f t="shared" si="11"/>
        <v/>
      </c>
    </row>
    <row r="728" spans="1:1" x14ac:dyDescent="0.2">
      <c r="A728" s="28" t="str">
        <f t="shared" si="11"/>
        <v/>
      </c>
    </row>
    <row r="729" spans="1:1" x14ac:dyDescent="0.2">
      <c r="A729" s="28" t="str">
        <f t="shared" si="11"/>
        <v/>
      </c>
    </row>
    <row r="730" spans="1:1" x14ac:dyDescent="0.2">
      <c r="A730" s="28" t="str">
        <f t="shared" si="11"/>
        <v/>
      </c>
    </row>
    <row r="731" spans="1:1" x14ac:dyDescent="0.2">
      <c r="A731" s="28" t="str">
        <f t="shared" si="11"/>
        <v/>
      </c>
    </row>
    <row r="732" spans="1:1" x14ac:dyDescent="0.2">
      <c r="A732" s="28" t="str">
        <f t="shared" si="11"/>
        <v/>
      </c>
    </row>
    <row r="733" spans="1:1" x14ac:dyDescent="0.2">
      <c r="A733" s="28" t="str">
        <f t="shared" si="11"/>
        <v/>
      </c>
    </row>
    <row r="734" spans="1:1" x14ac:dyDescent="0.2">
      <c r="A734" s="28" t="str">
        <f t="shared" si="11"/>
        <v/>
      </c>
    </row>
    <row r="735" spans="1:1" x14ac:dyDescent="0.2">
      <c r="A735" s="28" t="str">
        <f t="shared" si="11"/>
        <v/>
      </c>
    </row>
    <row r="736" spans="1:1" x14ac:dyDescent="0.2">
      <c r="A736" s="28" t="str">
        <f t="shared" si="11"/>
        <v/>
      </c>
    </row>
    <row r="737" spans="1:1" x14ac:dyDescent="0.2">
      <c r="A737" s="28" t="str">
        <f t="shared" si="11"/>
        <v/>
      </c>
    </row>
    <row r="738" spans="1:1" x14ac:dyDescent="0.2">
      <c r="A738" s="28" t="str">
        <f t="shared" si="11"/>
        <v/>
      </c>
    </row>
    <row r="739" spans="1:1" x14ac:dyDescent="0.2">
      <c r="A739" s="28" t="str">
        <f t="shared" si="11"/>
        <v/>
      </c>
    </row>
    <row r="740" spans="1:1" x14ac:dyDescent="0.2">
      <c r="A740" s="28" t="str">
        <f t="shared" si="11"/>
        <v/>
      </c>
    </row>
    <row r="741" spans="1:1" x14ac:dyDescent="0.2">
      <c r="A741" s="28" t="str">
        <f t="shared" si="11"/>
        <v/>
      </c>
    </row>
    <row r="742" spans="1:1" x14ac:dyDescent="0.2">
      <c r="A742" s="28" t="str">
        <f t="shared" si="11"/>
        <v/>
      </c>
    </row>
    <row r="743" spans="1:1" x14ac:dyDescent="0.2">
      <c r="A743" s="28" t="str">
        <f t="shared" si="11"/>
        <v/>
      </c>
    </row>
    <row r="744" spans="1:1" x14ac:dyDescent="0.2">
      <c r="A744" s="28" t="str">
        <f t="shared" si="11"/>
        <v/>
      </c>
    </row>
    <row r="745" spans="1:1" x14ac:dyDescent="0.2">
      <c r="A745" s="28" t="str">
        <f t="shared" si="11"/>
        <v/>
      </c>
    </row>
    <row r="746" spans="1:1" x14ac:dyDescent="0.2">
      <c r="A746" s="28" t="str">
        <f t="shared" si="11"/>
        <v/>
      </c>
    </row>
    <row r="747" spans="1:1" x14ac:dyDescent="0.2">
      <c r="A747" s="28" t="str">
        <f t="shared" si="11"/>
        <v/>
      </c>
    </row>
    <row r="748" spans="1:1" x14ac:dyDescent="0.2">
      <c r="A748" s="28" t="str">
        <f t="shared" si="11"/>
        <v/>
      </c>
    </row>
    <row r="749" spans="1:1" x14ac:dyDescent="0.2">
      <c r="A749" s="28" t="str">
        <f t="shared" si="11"/>
        <v/>
      </c>
    </row>
    <row r="750" spans="1:1" x14ac:dyDescent="0.2">
      <c r="A750" s="28" t="str">
        <f t="shared" si="11"/>
        <v/>
      </c>
    </row>
    <row r="751" spans="1:1" x14ac:dyDescent="0.2">
      <c r="A751" s="28" t="str">
        <f t="shared" si="11"/>
        <v/>
      </c>
    </row>
    <row r="752" spans="1:1" x14ac:dyDescent="0.2">
      <c r="A752" s="28" t="str">
        <f t="shared" si="11"/>
        <v/>
      </c>
    </row>
    <row r="753" spans="1:1" x14ac:dyDescent="0.2">
      <c r="A753" s="28" t="str">
        <f t="shared" si="11"/>
        <v/>
      </c>
    </row>
    <row r="754" spans="1:1" x14ac:dyDescent="0.2">
      <c r="A754" s="28" t="str">
        <f t="shared" si="11"/>
        <v/>
      </c>
    </row>
    <row r="755" spans="1:1" x14ac:dyDescent="0.2">
      <c r="A755" s="28" t="str">
        <f t="shared" si="11"/>
        <v/>
      </c>
    </row>
    <row r="756" spans="1:1" x14ac:dyDescent="0.2">
      <c r="A756" s="28" t="str">
        <f t="shared" si="11"/>
        <v/>
      </c>
    </row>
    <row r="757" spans="1:1" x14ac:dyDescent="0.2">
      <c r="A757" s="28" t="str">
        <f t="shared" si="11"/>
        <v/>
      </c>
    </row>
    <row r="758" spans="1:1" x14ac:dyDescent="0.2">
      <c r="A758" s="28" t="str">
        <f t="shared" si="11"/>
        <v/>
      </c>
    </row>
    <row r="759" spans="1:1" x14ac:dyDescent="0.2">
      <c r="A759" s="28" t="str">
        <f t="shared" si="11"/>
        <v/>
      </c>
    </row>
    <row r="760" spans="1:1" x14ac:dyDescent="0.2">
      <c r="A760" s="28" t="str">
        <f t="shared" si="11"/>
        <v/>
      </c>
    </row>
    <row r="761" spans="1:1" x14ac:dyDescent="0.2">
      <c r="A761" s="28" t="str">
        <f t="shared" si="11"/>
        <v/>
      </c>
    </row>
    <row r="762" spans="1:1" x14ac:dyDescent="0.2">
      <c r="A762" s="28" t="str">
        <f t="shared" si="11"/>
        <v/>
      </c>
    </row>
    <row r="763" spans="1:1" x14ac:dyDescent="0.2">
      <c r="A763" s="28" t="str">
        <f t="shared" si="11"/>
        <v/>
      </c>
    </row>
    <row r="764" spans="1:1" x14ac:dyDescent="0.2">
      <c r="A764" s="28" t="str">
        <f t="shared" si="11"/>
        <v/>
      </c>
    </row>
    <row r="765" spans="1:1" x14ac:dyDescent="0.2">
      <c r="A765" s="28" t="str">
        <f t="shared" si="11"/>
        <v/>
      </c>
    </row>
    <row r="766" spans="1:1" x14ac:dyDescent="0.2">
      <c r="A766" s="28" t="str">
        <f t="shared" si="11"/>
        <v/>
      </c>
    </row>
    <row r="767" spans="1:1" x14ac:dyDescent="0.2">
      <c r="A767" s="28" t="str">
        <f t="shared" si="11"/>
        <v/>
      </c>
    </row>
    <row r="768" spans="1:1" x14ac:dyDescent="0.2">
      <c r="A768" s="28" t="str">
        <f t="shared" si="11"/>
        <v/>
      </c>
    </row>
    <row r="769" spans="1:1" x14ac:dyDescent="0.2">
      <c r="A769" s="28" t="str">
        <f t="shared" si="11"/>
        <v/>
      </c>
    </row>
    <row r="770" spans="1:1" x14ac:dyDescent="0.2">
      <c r="A770" s="28" t="str">
        <f t="shared" si="11"/>
        <v/>
      </c>
    </row>
    <row r="771" spans="1:1" x14ac:dyDescent="0.2">
      <c r="A771" s="28" t="str">
        <f t="shared" si="11"/>
        <v/>
      </c>
    </row>
    <row r="772" spans="1:1" x14ac:dyDescent="0.2">
      <c r="A772" s="28" t="str">
        <f t="shared" ref="A772:A835" si="12">IF(AND(B771&lt;&gt;"",B772=""),$A$2&amp;"---&gt;","")</f>
        <v/>
      </c>
    </row>
    <row r="773" spans="1:1" x14ac:dyDescent="0.2">
      <c r="A773" s="28" t="str">
        <f t="shared" si="12"/>
        <v/>
      </c>
    </row>
    <row r="774" spans="1:1" x14ac:dyDescent="0.2">
      <c r="A774" s="28" t="str">
        <f t="shared" si="12"/>
        <v/>
      </c>
    </row>
    <row r="775" spans="1:1" x14ac:dyDescent="0.2">
      <c r="A775" s="28" t="str">
        <f t="shared" si="12"/>
        <v/>
      </c>
    </row>
    <row r="776" spans="1:1" x14ac:dyDescent="0.2">
      <c r="A776" s="28" t="str">
        <f t="shared" si="12"/>
        <v/>
      </c>
    </row>
    <row r="777" spans="1:1" x14ac:dyDescent="0.2">
      <c r="A777" s="28" t="str">
        <f t="shared" si="12"/>
        <v/>
      </c>
    </row>
    <row r="778" spans="1:1" x14ac:dyDescent="0.2">
      <c r="A778" s="28" t="str">
        <f t="shared" si="12"/>
        <v/>
      </c>
    </row>
    <row r="779" spans="1:1" x14ac:dyDescent="0.2">
      <c r="A779" s="28" t="str">
        <f t="shared" si="12"/>
        <v/>
      </c>
    </row>
    <row r="780" spans="1:1" x14ac:dyDescent="0.2">
      <c r="A780" s="28" t="str">
        <f t="shared" si="12"/>
        <v/>
      </c>
    </row>
    <row r="781" spans="1:1" x14ac:dyDescent="0.2">
      <c r="A781" s="28" t="str">
        <f t="shared" si="12"/>
        <v/>
      </c>
    </row>
    <row r="782" spans="1:1" x14ac:dyDescent="0.2">
      <c r="A782" s="28" t="str">
        <f t="shared" si="12"/>
        <v/>
      </c>
    </row>
    <row r="783" spans="1:1" x14ac:dyDescent="0.2">
      <c r="A783" s="28" t="str">
        <f t="shared" si="12"/>
        <v/>
      </c>
    </row>
    <row r="784" spans="1:1" x14ac:dyDescent="0.2">
      <c r="A784" s="28" t="str">
        <f t="shared" si="12"/>
        <v/>
      </c>
    </row>
    <row r="785" spans="1:1" x14ac:dyDescent="0.2">
      <c r="A785" s="28" t="str">
        <f t="shared" si="12"/>
        <v/>
      </c>
    </row>
    <row r="786" spans="1:1" x14ac:dyDescent="0.2">
      <c r="A786" s="28" t="str">
        <f t="shared" si="12"/>
        <v/>
      </c>
    </row>
    <row r="787" spans="1:1" x14ac:dyDescent="0.2">
      <c r="A787" s="28" t="str">
        <f t="shared" si="12"/>
        <v/>
      </c>
    </row>
    <row r="788" spans="1:1" x14ac:dyDescent="0.2">
      <c r="A788" s="28" t="str">
        <f t="shared" si="12"/>
        <v/>
      </c>
    </row>
    <row r="789" spans="1:1" x14ac:dyDescent="0.2">
      <c r="A789" s="28" t="str">
        <f t="shared" si="12"/>
        <v/>
      </c>
    </row>
    <row r="790" spans="1:1" x14ac:dyDescent="0.2">
      <c r="A790" s="28" t="str">
        <f t="shared" si="12"/>
        <v/>
      </c>
    </row>
    <row r="791" spans="1:1" x14ac:dyDescent="0.2">
      <c r="A791" s="28" t="str">
        <f t="shared" si="12"/>
        <v/>
      </c>
    </row>
    <row r="792" spans="1:1" x14ac:dyDescent="0.2">
      <c r="A792" s="28" t="str">
        <f t="shared" si="12"/>
        <v/>
      </c>
    </row>
    <row r="793" spans="1:1" x14ac:dyDescent="0.2">
      <c r="A793" s="28" t="str">
        <f t="shared" si="12"/>
        <v/>
      </c>
    </row>
    <row r="794" spans="1:1" x14ac:dyDescent="0.2">
      <c r="A794" s="28" t="str">
        <f t="shared" si="12"/>
        <v/>
      </c>
    </row>
    <row r="795" spans="1:1" x14ac:dyDescent="0.2">
      <c r="A795" s="28" t="str">
        <f t="shared" si="12"/>
        <v/>
      </c>
    </row>
    <row r="796" spans="1:1" x14ac:dyDescent="0.2">
      <c r="A796" s="28" t="str">
        <f t="shared" si="12"/>
        <v/>
      </c>
    </row>
    <row r="797" spans="1:1" x14ac:dyDescent="0.2">
      <c r="A797" s="28" t="str">
        <f t="shared" si="12"/>
        <v/>
      </c>
    </row>
    <row r="798" spans="1:1" x14ac:dyDescent="0.2">
      <c r="A798" s="28" t="str">
        <f t="shared" si="12"/>
        <v/>
      </c>
    </row>
    <row r="799" spans="1:1" x14ac:dyDescent="0.2">
      <c r="A799" s="28" t="str">
        <f t="shared" si="12"/>
        <v/>
      </c>
    </row>
    <row r="800" spans="1:1" x14ac:dyDescent="0.2">
      <c r="A800" s="28" t="str">
        <f t="shared" si="12"/>
        <v/>
      </c>
    </row>
    <row r="801" spans="1:1" x14ac:dyDescent="0.2">
      <c r="A801" s="28" t="str">
        <f t="shared" si="12"/>
        <v/>
      </c>
    </row>
    <row r="802" spans="1:1" x14ac:dyDescent="0.2">
      <c r="A802" s="28" t="str">
        <f t="shared" si="12"/>
        <v/>
      </c>
    </row>
    <row r="803" spans="1:1" x14ac:dyDescent="0.2">
      <c r="A803" s="28" t="str">
        <f t="shared" si="12"/>
        <v/>
      </c>
    </row>
    <row r="804" spans="1:1" x14ac:dyDescent="0.2">
      <c r="A804" s="28" t="str">
        <f t="shared" si="12"/>
        <v/>
      </c>
    </row>
    <row r="805" spans="1:1" x14ac:dyDescent="0.2">
      <c r="A805" s="28" t="str">
        <f t="shared" si="12"/>
        <v/>
      </c>
    </row>
    <row r="806" spans="1:1" x14ac:dyDescent="0.2">
      <c r="A806" s="28" t="str">
        <f t="shared" si="12"/>
        <v/>
      </c>
    </row>
    <row r="807" spans="1:1" x14ac:dyDescent="0.2">
      <c r="A807" s="28" t="str">
        <f t="shared" si="12"/>
        <v/>
      </c>
    </row>
    <row r="808" spans="1:1" x14ac:dyDescent="0.2">
      <c r="A808" s="28" t="str">
        <f t="shared" si="12"/>
        <v/>
      </c>
    </row>
    <row r="809" spans="1:1" x14ac:dyDescent="0.2">
      <c r="A809" s="28" t="str">
        <f t="shared" si="12"/>
        <v/>
      </c>
    </row>
    <row r="810" spans="1:1" x14ac:dyDescent="0.2">
      <c r="A810" s="28" t="str">
        <f t="shared" si="12"/>
        <v/>
      </c>
    </row>
    <row r="811" spans="1:1" x14ac:dyDescent="0.2">
      <c r="A811" s="28" t="str">
        <f t="shared" si="12"/>
        <v/>
      </c>
    </row>
    <row r="812" spans="1:1" x14ac:dyDescent="0.2">
      <c r="A812" s="28" t="str">
        <f t="shared" si="12"/>
        <v/>
      </c>
    </row>
    <row r="813" spans="1:1" x14ac:dyDescent="0.2">
      <c r="A813" s="28" t="str">
        <f t="shared" si="12"/>
        <v/>
      </c>
    </row>
    <row r="814" spans="1:1" x14ac:dyDescent="0.2">
      <c r="A814" s="28" t="str">
        <f t="shared" si="12"/>
        <v/>
      </c>
    </row>
    <row r="815" spans="1:1" x14ac:dyDescent="0.2">
      <c r="A815" s="28" t="str">
        <f t="shared" si="12"/>
        <v/>
      </c>
    </row>
    <row r="816" spans="1:1" x14ac:dyDescent="0.2">
      <c r="A816" s="28" t="str">
        <f t="shared" si="12"/>
        <v/>
      </c>
    </row>
    <row r="817" spans="1:1" x14ac:dyDescent="0.2">
      <c r="A817" s="28" t="str">
        <f t="shared" si="12"/>
        <v/>
      </c>
    </row>
    <row r="818" spans="1:1" x14ac:dyDescent="0.2">
      <c r="A818" s="28" t="str">
        <f t="shared" si="12"/>
        <v/>
      </c>
    </row>
    <row r="819" spans="1:1" x14ac:dyDescent="0.2">
      <c r="A819" s="28" t="str">
        <f t="shared" si="12"/>
        <v/>
      </c>
    </row>
    <row r="820" spans="1:1" x14ac:dyDescent="0.2">
      <c r="A820" s="28" t="str">
        <f t="shared" si="12"/>
        <v/>
      </c>
    </row>
    <row r="821" spans="1:1" x14ac:dyDescent="0.2">
      <c r="A821" s="28" t="str">
        <f t="shared" si="12"/>
        <v/>
      </c>
    </row>
    <row r="822" spans="1:1" x14ac:dyDescent="0.2">
      <c r="A822" s="28" t="str">
        <f t="shared" si="12"/>
        <v/>
      </c>
    </row>
    <row r="823" spans="1:1" x14ac:dyDescent="0.2">
      <c r="A823" s="28" t="str">
        <f t="shared" si="12"/>
        <v/>
      </c>
    </row>
    <row r="824" spans="1:1" x14ac:dyDescent="0.2">
      <c r="A824" s="28" t="str">
        <f t="shared" si="12"/>
        <v/>
      </c>
    </row>
    <row r="825" spans="1:1" x14ac:dyDescent="0.2">
      <c r="A825" s="28" t="str">
        <f t="shared" si="12"/>
        <v/>
      </c>
    </row>
    <row r="826" spans="1:1" x14ac:dyDescent="0.2">
      <c r="A826" s="28" t="str">
        <f t="shared" si="12"/>
        <v/>
      </c>
    </row>
    <row r="827" spans="1:1" x14ac:dyDescent="0.2">
      <c r="A827" s="28" t="str">
        <f t="shared" si="12"/>
        <v/>
      </c>
    </row>
    <row r="828" spans="1:1" x14ac:dyDescent="0.2">
      <c r="A828" s="28" t="str">
        <f t="shared" si="12"/>
        <v/>
      </c>
    </row>
    <row r="829" spans="1:1" x14ac:dyDescent="0.2">
      <c r="A829" s="28" t="str">
        <f t="shared" si="12"/>
        <v/>
      </c>
    </row>
    <row r="830" spans="1:1" x14ac:dyDescent="0.2">
      <c r="A830" s="28" t="str">
        <f t="shared" si="12"/>
        <v/>
      </c>
    </row>
    <row r="831" spans="1:1" x14ac:dyDescent="0.2">
      <c r="A831" s="28" t="str">
        <f t="shared" si="12"/>
        <v/>
      </c>
    </row>
    <row r="832" spans="1:1" x14ac:dyDescent="0.2">
      <c r="A832" s="28" t="str">
        <f t="shared" si="12"/>
        <v/>
      </c>
    </row>
    <row r="833" spans="1:1" x14ac:dyDescent="0.2">
      <c r="A833" s="28" t="str">
        <f t="shared" si="12"/>
        <v/>
      </c>
    </row>
    <row r="834" spans="1:1" x14ac:dyDescent="0.2">
      <c r="A834" s="28" t="str">
        <f t="shared" si="12"/>
        <v/>
      </c>
    </row>
    <row r="835" spans="1:1" x14ac:dyDescent="0.2">
      <c r="A835" s="28" t="str">
        <f t="shared" si="12"/>
        <v/>
      </c>
    </row>
    <row r="836" spans="1:1" x14ac:dyDescent="0.2">
      <c r="A836" s="28" t="str">
        <f t="shared" ref="A836:A899" si="13">IF(AND(B835&lt;&gt;"",B836=""),$A$2&amp;"---&gt;","")</f>
        <v/>
      </c>
    </row>
    <row r="837" spans="1:1" x14ac:dyDescent="0.2">
      <c r="A837" s="28" t="str">
        <f t="shared" si="13"/>
        <v/>
      </c>
    </row>
    <row r="838" spans="1:1" x14ac:dyDescent="0.2">
      <c r="A838" s="28" t="str">
        <f t="shared" si="13"/>
        <v/>
      </c>
    </row>
    <row r="839" spans="1:1" x14ac:dyDescent="0.2">
      <c r="A839" s="28" t="str">
        <f t="shared" si="13"/>
        <v/>
      </c>
    </row>
    <row r="840" spans="1:1" x14ac:dyDescent="0.2">
      <c r="A840" s="28" t="str">
        <f t="shared" si="13"/>
        <v/>
      </c>
    </row>
    <row r="841" spans="1:1" x14ac:dyDescent="0.2">
      <c r="A841" s="28" t="str">
        <f t="shared" si="13"/>
        <v/>
      </c>
    </row>
    <row r="842" spans="1:1" x14ac:dyDescent="0.2">
      <c r="A842" s="28" t="str">
        <f t="shared" si="13"/>
        <v/>
      </c>
    </row>
    <row r="843" spans="1:1" x14ac:dyDescent="0.2">
      <c r="A843" s="28" t="str">
        <f t="shared" si="13"/>
        <v/>
      </c>
    </row>
    <row r="844" spans="1:1" x14ac:dyDescent="0.2">
      <c r="A844" s="28" t="str">
        <f t="shared" si="13"/>
        <v/>
      </c>
    </row>
    <row r="845" spans="1:1" x14ac:dyDescent="0.2">
      <c r="A845" s="28" t="str">
        <f t="shared" si="13"/>
        <v/>
      </c>
    </row>
    <row r="846" spans="1:1" x14ac:dyDescent="0.2">
      <c r="A846" s="28" t="str">
        <f t="shared" si="13"/>
        <v/>
      </c>
    </row>
    <row r="847" spans="1:1" x14ac:dyDescent="0.2">
      <c r="A847" s="28" t="str">
        <f t="shared" si="13"/>
        <v/>
      </c>
    </row>
    <row r="848" spans="1:1" x14ac:dyDescent="0.2">
      <c r="A848" s="28" t="str">
        <f t="shared" si="13"/>
        <v/>
      </c>
    </row>
    <row r="849" spans="1:1" x14ac:dyDescent="0.2">
      <c r="A849" s="28" t="str">
        <f t="shared" si="13"/>
        <v/>
      </c>
    </row>
    <row r="850" spans="1:1" x14ac:dyDescent="0.2">
      <c r="A850" s="28" t="str">
        <f t="shared" si="13"/>
        <v/>
      </c>
    </row>
    <row r="851" spans="1:1" x14ac:dyDescent="0.2">
      <c r="A851" s="28" t="str">
        <f t="shared" si="13"/>
        <v/>
      </c>
    </row>
    <row r="852" spans="1:1" x14ac:dyDescent="0.2">
      <c r="A852" s="28" t="str">
        <f t="shared" si="13"/>
        <v/>
      </c>
    </row>
    <row r="853" spans="1:1" x14ac:dyDescent="0.2">
      <c r="A853" s="28" t="str">
        <f t="shared" si="13"/>
        <v/>
      </c>
    </row>
    <row r="854" spans="1:1" x14ac:dyDescent="0.2">
      <c r="A854" s="28" t="str">
        <f t="shared" si="13"/>
        <v/>
      </c>
    </row>
    <row r="855" spans="1:1" x14ac:dyDescent="0.2">
      <c r="A855" s="28" t="str">
        <f t="shared" si="13"/>
        <v/>
      </c>
    </row>
    <row r="856" spans="1:1" x14ac:dyDescent="0.2">
      <c r="A856" s="28" t="str">
        <f t="shared" si="13"/>
        <v/>
      </c>
    </row>
    <row r="857" spans="1:1" x14ac:dyDescent="0.2">
      <c r="A857" s="28" t="str">
        <f t="shared" si="13"/>
        <v/>
      </c>
    </row>
    <row r="858" spans="1:1" x14ac:dyDescent="0.2">
      <c r="A858" s="28" t="str">
        <f t="shared" si="13"/>
        <v/>
      </c>
    </row>
    <row r="859" spans="1:1" x14ac:dyDescent="0.2">
      <c r="A859" s="28" t="str">
        <f t="shared" si="13"/>
        <v/>
      </c>
    </row>
    <row r="860" spans="1:1" x14ac:dyDescent="0.2">
      <c r="A860" s="28" t="str">
        <f t="shared" si="13"/>
        <v/>
      </c>
    </row>
    <row r="861" spans="1:1" x14ac:dyDescent="0.2">
      <c r="A861" s="28" t="str">
        <f t="shared" si="13"/>
        <v/>
      </c>
    </row>
    <row r="862" spans="1:1" x14ac:dyDescent="0.2">
      <c r="A862" s="28" t="str">
        <f t="shared" si="13"/>
        <v/>
      </c>
    </row>
    <row r="863" spans="1:1" x14ac:dyDescent="0.2">
      <c r="A863" s="28" t="str">
        <f t="shared" si="13"/>
        <v/>
      </c>
    </row>
    <row r="864" spans="1:1" x14ac:dyDescent="0.2">
      <c r="A864" s="28" t="str">
        <f t="shared" si="13"/>
        <v/>
      </c>
    </row>
    <row r="865" spans="1:1" x14ac:dyDescent="0.2">
      <c r="A865" s="28" t="str">
        <f t="shared" si="13"/>
        <v/>
      </c>
    </row>
    <row r="866" spans="1:1" x14ac:dyDescent="0.2">
      <c r="A866" s="28" t="str">
        <f t="shared" si="13"/>
        <v/>
      </c>
    </row>
    <row r="867" spans="1:1" x14ac:dyDescent="0.2">
      <c r="A867" s="28" t="str">
        <f t="shared" si="13"/>
        <v/>
      </c>
    </row>
    <row r="868" spans="1:1" x14ac:dyDescent="0.2">
      <c r="A868" s="28" t="str">
        <f t="shared" si="13"/>
        <v/>
      </c>
    </row>
    <row r="869" spans="1:1" x14ac:dyDescent="0.2">
      <c r="A869" s="28" t="str">
        <f t="shared" si="13"/>
        <v/>
      </c>
    </row>
    <row r="870" spans="1:1" x14ac:dyDescent="0.2">
      <c r="A870" s="28" t="str">
        <f t="shared" si="13"/>
        <v/>
      </c>
    </row>
    <row r="871" spans="1:1" x14ac:dyDescent="0.2">
      <c r="A871" s="28" t="str">
        <f t="shared" si="13"/>
        <v/>
      </c>
    </row>
    <row r="872" spans="1:1" x14ac:dyDescent="0.2">
      <c r="A872" s="28" t="str">
        <f t="shared" si="13"/>
        <v/>
      </c>
    </row>
    <row r="873" spans="1:1" x14ac:dyDescent="0.2">
      <c r="A873" s="28" t="str">
        <f t="shared" si="13"/>
        <v/>
      </c>
    </row>
    <row r="874" spans="1:1" x14ac:dyDescent="0.2">
      <c r="A874" s="28" t="str">
        <f t="shared" si="13"/>
        <v/>
      </c>
    </row>
    <row r="875" spans="1:1" x14ac:dyDescent="0.2">
      <c r="A875" s="28" t="str">
        <f t="shared" si="13"/>
        <v/>
      </c>
    </row>
    <row r="876" spans="1:1" x14ac:dyDescent="0.2">
      <c r="A876" s="28" t="str">
        <f t="shared" si="13"/>
        <v/>
      </c>
    </row>
    <row r="877" spans="1:1" x14ac:dyDescent="0.2">
      <c r="A877" s="28" t="str">
        <f t="shared" si="13"/>
        <v/>
      </c>
    </row>
    <row r="878" spans="1:1" x14ac:dyDescent="0.2">
      <c r="A878" s="28" t="str">
        <f t="shared" si="13"/>
        <v/>
      </c>
    </row>
    <row r="879" spans="1:1" x14ac:dyDescent="0.2">
      <c r="A879" s="28" t="str">
        <f t="shared" si="13"/>
        <v/>
      </c>
    </row>
    <row r="880" spans="1:1" x14ac:dyDescent="0.2">
      <c r="A880" s="28" t="str">
        <f t="shared" si="13"/>
        <v/>
      </c>
    </row>
    <row r="881" spans="1:1" x14ac:dyDescent="0.2">
      <c r="A881" s="28" t="str">
        <f t="shared" si="13"/>
        <v/>
      </c>
    </row>
    <row r="882" spans="1:1" x14ac:dyDescent="0.2">
      <c r="A882" s="28" t="str">
        <f t="shared" si="13"/>
        <v/>
      </c>
    </row>
    <row r="883" spans="1:1" x14ac:dyDescent="0.2">
      <c r="A883" s="28" t="str">
        <f t="shared" si="13"/>
        <v/>
      </c>
    </row>
    <row r="884" spans="1:1" x14ac:dyDescent="0.2">
      <c r="A884" s="28" t="str">
        <f t="shared" si="13"/>
        <v/>
      </c>
    </row>
    <row r="885" spans="1:1" x14ac:dyDescent="0.2">
      <c r="A885" s="28" t="str">
        <f t="shared" si="13"/>
        <v/>
      </c>
    </row>
    <row r="886" spans="1:1" x14ac:dyDescent="0.2">
      <c r="A886" s="28" t="str">
        <f t="shared" si="13"/>
        <v/>
      </c>
    </row>
    <row r="887" spans="1:1" x14ac:dyDescent="0.2">
      <c r="A887" s="28" t="str">
        <f t="shared" si="13"/>
        <v/>
      </c>
    </row>
    <row r="888" spans="1:1" x14ac:dyDescent="0.2">
      <c r="A888" s="28" t="str">
        <f t="shared" si="13"/>
        <v/>
      </c>
    </row>
    <row r="889" spans="1:1" x14ac:dyDescent="0.2">
      <c r="A889" s="28" t="str">
        <f t="shared" si="13"/>
        <v/>
      </c>
    </row>
    <row r="890" spans="1:1" x14ac:dyDescent="0.2">
      <c r="A890" s="28" t="str">
        <f t="shared" si="13"/>
        <v/>
      </c>
    </row>
    <row r="891" spans="1:1" x14ac:dyDescent="0.2">
      <c r="A891" s="28" t="str">
        <f t="shared" si="13"/>
        <v/>
      </c>
    </row>
    <row r="892" spans="1:1" x14ac:dyDescent="0.2">
      <c r="A892" s="28" t="str">
        <f t="shared" si="13"/>
        <v/>
      </c>
    </row>
    <row r="893" spans="1:1" x14ac:dyDescent="0.2">
      <c r="A893" s="28" t="str">
        <f t="shared" si="13"/>
        <v/>
      </c>
    </row>
    <row r="894" spans="1:1" x14ac:dyDescent="0.2">
      <c r="A894" s="28" t="str">
        <f t="shared" si="13"/>
        <v/>
      </c>
    </row>
    <row r="895" spans="1:1" x14ac:dyDescent="0.2">
      <c r="A895" s="28" t="str">
        <f t="shared" si="13"/>
        <v/>
      </c>
    </row>
    <row r="896" spans="1:1" x14ac:dyDescent="0.2">
      <c r="A896" s="28" t="str">
        <f t="shared" si="13"/>
        <v/>
      </c>
    </row>
    <row r="897" spans="1:1" x14ac:dyDescent="0.2">
      <c r="A897" s="28" t="str">
        <f t="shared" si="13"/>
        <v/>
      </c>
    </row>
    <row r="898" spans="1:1" x14ac:dyDescent="0.2">
      <c r="A898" s="28" t="str">
        <f t="shared" si="13"/>
        <v/>
      </c>
    </row>
    <row r="899" spans="1:1" x14ac:dyDescent="0.2">
      <c r="A899" s="28" t="str">
        <f t="shared" si="13"/>
        <v/>
      </c>
    </row>
    <row r="900" spans="1:1" x14ac:dyDescent="0.2">
      <c r="A900" s="28" t="str">
        <f t="shared" ref="A900:A963" si="14">IF(AND(B899&lt;&gt;"",B900=""),$A$2&amp;"---&gt;","")</f>
        <v/>
      </c>
    </row>
    <row r="901" spans="1:1" x14ac:dyDescent="0.2">
      <c r="A901" s="28" t="str">
        <f t="shared" si="14"/>
        <v/>
      </c>
    </row>
    <row r="902" spans="1:1" x14ac:dyDescent="0.2">
      <c r="A902" s="28" t="str">
        <f t="shared" si="14"/>
        <v/>
      </c>
    </row>
    <row r="903" spans="1:1" x14ac:dyDescent="0.2">
      <c r="A903" s="28" t="str">
        <f t="shared" si="14"/>
        <v/>
      </c>
    </row>
    <row r="904" spans="1:1" x14ac:dyDescent="0.2">
      <c r="A904" s="28" t="str">
        <f t="shared" si="14"/>
        <v/>
      </c>
    </row>
    <row r="905" spans="1:1" x14ac:dyDescent="0.2">
      <c r="A905" s="28" t="str">
        <f t="shared" si="14"/>
        <v/>
      </c>
    </row>
    <row r="906" spans="1:1" x14ac:dyDescent="0.2">
      <c r="A906" s="28" t="str">
        <f t="shared" si="14"/>
        <v/>
      </c>
    </row>
    <row r="907" spans="1:1" x14ac:dyDescent="0.2">
      <c r="A907" s="28" t="str">
        <f t="shared" si="14"/>
        <v/>
      </c>
    </row>
    <row r="908" spans="1:1" x14ac:dyDescent="0.2">
      <c r="A908" s="28" t="str">
        <f t="shared" si="14"/>
        <v/>
      </c>
    </row>
    <row r="909" spans="1:1" x14ac:dyDescent="0.2">
      <c r="A909" s="28" t="str">
        <f t="shared" si="14"/>
        <v/>
      </c>
    </row>
    <row r="910" spans="1:1" x14ac:dyDescent="0.2">
      <c r="A910" s="28" t="str">
        <f t="shared" si="14"/>
        <v/>
      </c>
    </row>
    <row r="911" spans="1:1" x14ac:dyDescent="0.2">
      <c r="A911" s="28" t="str">
        <f t="shared" si="14"/>
        <v/>
      </c>
    </row>
    <row r="912" spans="1:1" x14ac:dyDescent="0.2">
      <c r="A912" s="28" t="str">
        <f t="shared" si="14"/>
        <v/>
      </c>
    </row>
    <row r="913" spans="1:1" x14ac:dyDescent="0.2">
      <c r="A913" s="28" t="str">
        <f t="shared" si="14"/>
        <v/>
      </c>
    </row>
    <row r="914" spans="1:1" x14ac:dyDescent="0.2">
      <c r="A914" s="28" t="str">
        <f t="shared" si="14"/>
        <v/>
      </c>
    </row>
    <row r="915" spans="1:1" x14ac:dyDescent="0.2">
      <c r="A915" s="28" t="str">
        <f t="shared" si="14"/>
        <v/>
      </c>
    </row>
    <row r="916" spans="1:1" x14ac:dyDescent="0.2">
      <c r="A916" s="28" t="str">
        <f t="shared" si="14"/>
        <v/>
      </c>
    </row>
    <row r="917" spans="1:1" x14ac:dyDescent="0.2">
      <c r="A917" s="28" t="str">
        <f t="shared" si="14"/>
        <v/>
      </c>
    </row>
    <row r="918" spans="1:1" x14ac:dyDescent="0.2">
      <c r="A918" s="28" t="str">
        <f t="shared" si="14"/>
        <v/>
      </c>
    </row>
    <row r="919" spans="1:1" x14ac:dyDescent="0.2">
      <c r="A919" s="28" t="str">
        <f t="shared" si="14"/>
        <v/>
      </c>
    </row>
    <row r="920" spans="1:1" x14ac:dyDescent="0.2">
      <c r="A920" s="28" t="str">
        <f t="shared" si="14"/>
        <v/>
      </c>
    </row>
    <row r="921" spans="1:1" x14ac:dyDescent="0.2">
      <c r="A921" s="28" t="str">
        <f t="shared" si="14"/>
        <v/>
      </c>
    </row>
    <row r="922" spans="1:1" x14ac:dyDescent="0.2">
      <c r="A922" s="28" t="str">
        <f t="shared" si="14"/>
        <v/>
      </c>
    </row>
    <row r="923" spans="1:1" x14ac:dyDescent="0.2">
      <c r="A923" s="28" t="str">
        <f t="shared" si="14"/>
        <v/>
      </c>
    </row>
    <row r="924" spans="1:1" x14ac:dyDescent="0.2">
      <c r="A924" s="28" t="str">
        <f t="shared" si="14"/>
        <v/>
      </c>
    </row>
    <row r="925" spans="1:1" x14ac:dyDescent="0.2">
      <c r="A925" s="28" t="str">
        <f t="shared" si="14"/>
        <v/>
      </c>
    </row>
    <row r="926" spans="1:1" x14ac:dyDescent="0.2">
      <c r="A926" s="28" t="str">
        <f t="shared" si="14"/>
        <v/>
      </c>
    </row>
    <row r="927" spans="1:1" x14ac:dyDescent="0.2">
      <c r="A927" s="28" t="str">
        <f t="shared" si="14"/>
        <v/>
      </c>
    </row>
    <row r="928" spans="1:1" x14ac:dyDescent="0.2">
      <c r="A928" s="28" t="str">
        <f t="shared" si="14"/>
        <v/>
      </c>
    </row>
    <row r="929" spans="1:1" x14ac:dyDescent="0.2">
      <c r="A929" s="28" t="str">
        <f t="shared" si="14"/>
        <v/>
      </c>
    </row>
    <row r="930" spans="1:1" x14ac:dyDescent="0.2">
      <c r="A930" s="28" t="str">
        <f t="shared" si="14"/>
        <v/>
      </c>
    </row>
    <row r="931" spans="1:1" x14ac:dyDescent="0.2">
      <c r="A931" s="28" t="str">
        <f t="shared" si="14"/>
        <v/>
      </c>
    </row>
    <row r="932" spans="1:1" x14ac:dyDescent="0.2">
      <c r="A932" s="28" t="str">
        <f t="shared" si="14"/>
        <v/>
      </c>
    </row>
    <row r="933" spans="1:1" x14ac:dyDescent="0.2">
      <c r="A933" s="28" t="str">
        <f t="shared" si="14"/>
        <v/>
      </c>
    </row>
    <row r="934" spans="1:1" x14ac:dyDescent="0.2">
      <c r="A934" s="28" t="str">
        <f t="shared" si="14"/>
        <v/>
      </c>
    </row>
    <row r="935" spans="1:1" x14ac:dyDescent="0.2">
      <c r="A935" s="28" t="str">
        <f t="shared" si="14"/>
        <v/>
      </c>
    </row>
    <row r="936" spans="1:1" x14ac:dyDescent="0.2">
      <c r="A936" s="28" t="str">
        <f t="shared" si="14"/>
        <v/>
      </c>
    </row>
    <row r="937" spans="1:1" x14ac:dyDescent="0.2">
      <c r="A937" s="28" t="str">
        <f t="shared" si="14"/>
        <v/>
      </c>
    </row>
    <row r="938" spans="1:1" x14ac:dyDescent="0.2">
      <c r="A938" s="28" t="str">
        <f t="shared" si="14"/>
        <v/>
      </c>
    </row>
    <row r="939" spans="1:1" x14ac:dyDescent="0.2">
      <c r="A939" s="28" t="str">
        <f t="shared" si="14"/>
        <v/>
      </c>
    </row>
    <row r="940" spans="1:1" x14ac:dyDescent="0.2">
      <c r="A940" s="28" t="str">
        <f t="shared" si="14"/>
        <v/>
      </c>
    </row>
    <row r="941" spans="1:1" x14ac:dyDescent="0.2">
      <c r="A941" s="28" t="str">
        <f t="shared" si="14"/>
        <v/>
      </c>
    </row>
    <row r="942" spans="1:1" x14ac:dyDescent="0.2">
      <c r="A942" s="28" t="str">
        <f t="shared" si="14"/>
        <v/>
      </c>
    </row>
    <row r="943" spans="1:1" x14ac:dyDescent="0.2">
      <c r="A943" s="28" t="str">
        <f t="shared" si="14"/>
        <v/>
      </c>
    </row>
    <row r="944" spans="1:1" x14ac:dyDescent="0.2">
      <c r="A944" s="28" t="str">
        <f t="shared" si="14"/>
        <v/>
      </c>
    </row>
    <row r="945" spans="1:1" x14ac:dyDescent="0.2">
      <c r="A945" s="28" t="str">
        <f t="shared" si="14"/>
        <v/>
      </c>
    </row>
    <row r="946" spans="1:1" x14ac:dyDescent="0.2">
      <c r="A946" s="28" t="str">
        <f t="shared" si="14"/>
        <v/>
      </c>
    </row>
    <row r="947" spans="1:1" x14ac:dyDescent="0.2">
      <c r="A947" s="28" t="str">
        <f t="shared" si="14"/>
        <v/>
      </c>
    </row>
    <row r="948" spans="1:1" x14ac:dyDescent="0.2">
      <c r="A948" s="28" t="str">
        <f t="shared" si="14"/>
        <v/>
      </c>
    </row>
    <row r="949" spans="1:1" x14ac:dyDescent="0.2">
      <c r="A949" s="28" t="str">
        <f t="shared" si="14"/>
        <v/>
      </c>
    </row>
    <row r="950" spans="1:1" x14ac:dyDescent="0.2">
      <c r="A950" s="28" t="str">
        <f t="shared" si="14"/>
        <v/>
      </c>
    </row>
    <row r="951" spans="1:1" x14ac:dyDescent="0.2">
      <c r="A951" s="28" t="str">
        <f t="shared" si="14"/>
        <v/>
      </c>
    </row>
    <row r="952" spans="1:1" x14ac:dyDescent="0.2">
      <c r="A952" s="28" t="str">
        <f t="shared" si="14"/>
        <v/>
      </c>
    </row>
    <row r="953" spans="1:1" x14ac:dyDescent="0.2">
      <c r="A953" s="28" t="str">
        <f t="shared" si="14"/>
        <v/>
      </c>
    </row>
    <row r="954" spans="1:1" x14ac:dyDescent="0.2">
      <c r="A954" s="28" t="str">
        <f t="shared" si="14"/>
        <v/>
      </c>
    </row>
    <row r="955" spans="1:1" x14ac:dyDescent="0.2">
      <c r="A955" s="28" t="str">
        <f t="shared" si="14"/>
        <v/>
      </c>
    </row>
    <row r="956" spans="1:1" x14ac:dyDescent="0.2">
      <c r="A956" s="28" t="str">
        <f t="shared" si="14"/>
        <v/>
      </c>
    </row>
    <row r="957" spans="1:1" x14ac:dyDescent="0.2">
      <c r="A957" s="28" t="str">
        <f t="shared" si="14"/>
        <v/>
      </c>
    </row>
    <row r="958" spans="1:1" x14ac:dyDescent="0.2">
      <c r="A958" s="28" t="str">
        <f t="shared" si="14"/>
        <v/>
      </c>
    </row>
    <row r="959" spans="1:1" x14ac:dyDescent="0.2">
      <c r="A959" s="28" t="str">
        <f t="shared" si="14"/>
        <v/>
      </c>
    </row>
    <row r="960" spans="1:1" x14ac:dyDescent="0.2">
      <c r="A960" s="28" t="str">
        <f t="shared" si="14"/>
        <v/>
      </c>
    </row>
    <row r="961" spans="1:1" x14ac:dyDescent="0.2">
      <c r="A961" s="28" t="str">
        <f t="shared" si="14"/>
        <v/>
      </c>
    </row>
    <row r="962" spans="1:1" x14ac:dyDescent="0.2">
      <c r="A962" s="28" t="str">
        <f t="shared" si="14"/>
        <v/>
      </c>
    </row>
    <row r="963" spans="1:1" x14ac:dyDescent="0.2">
      <c r="A963" s="28" t="str">
        <f t="shared" si="14"/>
        <v/>
      </c>
    </row>
    <row r="964" spans="1:1" x14ac:dyDescent="0.2">
      <c r="A964" s="28" t="str">
        <f t="shared" ref="A964:A998" si="15">IF(AND(B963&lt;&gt;"",B964=""),$A$2&amp;"---&gt;","")</f>
        <v/>
      </c>
    </row>
    <row r="965" spans="1:1" x14ac:dyDescent="0.2">
      <c r="A965" s="28" t="str">
        <f t="shared" si="15"/>
        <v/>
      </c>
    </row>
    <row r="966" spans="1:1" x14ac:dyDescent="0.2">
      <c r="A966" s="28" t="str">
        <f t="shared" si="15"/>
        <v/>
      </c>
    </row>
    <row r="967" spans="1:1" x14ac:dyDescent="0.2">
      <c r="A967" s="28" t="str">
        <f t="shared" si="15"/>
        <v/>
      </c>
    </row>
    <row r="968" spans="1:1" x14ac:dyDescent="0.2">
      <c r="A968" s="28" t="str">
        <f t="shared" si="15"/>
        <v/>
      </c>
    </row>
    <row r="969" spans="1:1" x14ac:dyDescent="0.2">
      <c r="A969" s="28" t="str">
        <f t="shared" si="15"/>
        <v/>
      </c>
    </row>
    <row r="970" spans="1:1" x14ac:dyDescent="0.2">
      <c r="A970" s="28" t="str">
        <f t="shared" si="15"/>
        <v/>
      </c>
    </row>
    <row r="971" spans="1:1" x14ac:dyDescent="0.2">
      <c r="A971" s="28" t="str">
        <f t="shared" si="15"/>
        <v/>
      </c>
    </row>
    <row r="972" spans="1:1" x14ac:dyDescent="0.2">
      <c r="A972" s="28" t="str">
        <f t="shared" si="15"/>
        <v/>
      </c>
    </row>
    <row r="973" spans="1:1" x14ac:dyDescent="0.2">
      <c r="A973" s="28" t="str">
        <f t="shared" si="15"/>
        <v/>
      </c>
    </row>
    <row r="974" spans="1:1" x14ac:dyDescent="0.2">
      <c r="A974" s="28" t="str">
        <f t="shared" si="15"/>
        <v/>
      </c>
    </row>
    <row r="975" spans="1:1" x14ac:dyDescent="0.2">
      <c r="A975" s="28" t="str">
        <f t="shared" si="15"/>
        <v/>
      </c>
    </row>
    <row r="976" spans="1:1" x14ac:dyDescent="0.2">
      <c r="A976" s="28" t="str">
        <f t="shared" si="15"/>
        <v/>
      </c>
    </row>
    <row r="977" spans="1:1" x14ac:dyDescent="0.2">
      <c r="A977" s="28" t="str">
        <f t="shared" si="15"/>
        <v/>
      </c>
    </row>
    <row r="978" spans="1:1" x14ac:dyDescent="0.2">
      <c r="A978" s="28" t="str">
        <f t="shared" si="15"/>
        <v/>
      </c>
    </row>
    <row r="979" spans="1:1" x14ac:dyDescent="0.2">
      <c r="A979" s="28" t="str">
        <f t="shared" si="15"/>
        <v/>
      </c>
    </row>
    <row r="980" spans="1:1" x14ac:dyDescent="0.2">
      <c r="A980" s="28" t="str">
        <f t="shared" si="15"/>
        <v/>
      </c>
    </row>
    <row r="981" spans="1:1" x14ac:dyDescent="0.2">
      <c r="A981" s="28" t="str">
        <f t="shared" si="15"/>
        <v/>
      </c>
    </row>
    <row r="982" spans="1:1" x14ac:dyDescent="0.2">
      <c r="A982" s="28" t="str">
        <f t="shared" si="15"/>
        <v/>
      </c>
    </row>
    <row r="983" spans="1:1" x14ac:dyDescent="0.2">
      <c r="A983" s="28" t="str">
        <f t="shared" si="15"/>
        <v/>
      </c>
    </row>
    <row r="984" spans="1:1" x14ac:dyDescent="0.2">
      <c r="A984" s="28" t="str">
        <f t="shared" si="15"/>
        <v/>
      </c>
    </row>
    <row r="985" spans="1:1" x14ac:dyDescent="0.2">
      <c r="A985" s="28" t="str">
        <f t="shared" si="15"/>
        <v/>
      </c>
    </row>
    <row r="986" spans="1:1" x14ac:dyDescent="0.2">
      <c r="A986" s="28" t="str">
        <f t="shared" si="15"/>
        <v/>
      </c>
    </row>
    <row r="987" spans="1:1" x14ac:dyDescent="0.2">
      <c r="A987" s="28" t="str">
        <f t="shared" si="15"/>
        <v/>
      </c>
    </row>
    <row r="988" spans="1:1" x14ac:dyDescent="0.2">
      <c r="A988" s="28" t="str">
        <f t="shared" si="15"/>
        <v/>
      </c>
    </row>
    <row r="989" spans="1:1" x14ac:dyDescent="0.2">
      <c r="A989" s="28" t="str">
        <f t="shared" si="15"/>
        <v/>
      </c>
    </row>
    <row r="990" spans="1:1" x14ac:dyDescent="0.2">
      <c r="A990" s="28" t="str">
        <f t="shared" si="15"/>
        <v/>
      </c>
    </row>
    <row r="991" spans="1:1" x14ac:dyDescent="0.2">
      <c r="A991" s="28" t="str">
        <f t="shared" si="15"/>
        <v/>
      </c>
    </row>
    <row r="992" spans="1:1" x14ac:dyDescent="0.2">
      <c r="A992" s="28" t="str">
        <f t="shared" si="15"/>
        <v/>
      </c>
    </row>
    <row r="993" spans="1:1" x14ac:dyDescent="0.2">
      <c r="A993" s="28" t="str">
        <f t="shared" si="15"/>
        <v/>
      </c>
    </row>
    <row r="994" spans="1:1" x14ac:dyDescent="0.2">
      <c r="A994" s="28" t="str">
        <f t="shared" si="15"/>
        <v/>
      </c>
    </row>
    <row r="995" spans="1:1" x14ac:dyDescent="0.2">
      <c r="A995" s="28" t="str">
        <f t="shared" si="15"/>
        <v/>
      </c>
    </row>
    <row r="996" spans="1:1" x14ac:dyDescent="0.2">
      <c r="A996" s="28" t="str">
        <f t="shared" si="15"/>
        <v/>
      </c>
    </row>
    <row r="997" spans="1:1" x14ac:dyDescent="0.2">
      <c r="A997" s="28" t="str">
        <f t="shared" si="15"/>
        <v/>
      </c>
    </row>
    <row r="998" spans="1:1" x14ac:dyDescent="0.2">
      <c r="A998" s="28" t="str">
        <f t="shared" si="15"/>
        <v/>
      </c>
    </row>
  </sheetData>
  <phoneticPr fontId="4" type="noConversion"/>
  <pageMargins left="0.7" right="0.7" top="0.75" bottom="0.75" header="0.3" footer="0.3"/>
  <customProperties>
    <customPr name="EpmWorksheetKeyString_GUID" r:id="rId1"/>
  </customProperties>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014FA6-EFD6-4DAD-AE0C-FD5CAE92C862}">
  <sheetPr codeName="Sheet4">
    <tabColor rgb="FF8FCFAD"/>
  </sheetPr>
  <dimension ref="A2:L1999"/>
  <sheetViews>
    <sheetView showGridLines="0" showRowColHeaders="0" zoomScale="110" zoomScaleNormal="110" workbookViewId="0">
      <pane ySplit="2" topLeftCell="A153" activePane="bottomLeft" state="frozen"/>
      <selection pane="bottomLeft" activeCell="F164" sqref="F164"/>
    </sheetView>
  </sheetViews>
  <sheetFormatPr defaultColWidth="0" defaultRowHeight="12.75" x14ac:dyDescent="0.2"/>
  <cols>
    <col min="1" max="1" width="13.42578125" customWidth="1"/>
    <col min="2" max="2" width="16.140625" customWidth="1"/>
    <col min="3" max="4" width="10.140625" customWidth="1"/>
    <col min="5" max="6" width="25.28515625" customWidth="1"/>
    <col min="7" max="11" width="14.7109375" customWidth="1"/>
    <col min="12" max="12" width="2" customWidth="1"/>
    <col min="13" max="16384" width="9.140625" hidden="1"/>
  </cols>
  <sheetData>
    <row r="2" spans="1:11" s="34" customFormat="1" ht="51" customHeight="1" thickBot="1" x14ac:dyDescent="0.25">
      <c r="A2" s="35" t="s">
        <v>55</v>
      </c>
      <c r="B2" s="36" t="s">
        <v>53</v>
      </c>
      <c r="C2" s="36" t="s">
        <v>12</v>
      </c>
      <c r="D2" s="36" t="s">
        <v>13</v>
      </c>
      <c r="E2" s="36" t="s">
        <v>10</v>
      </c>
      <c r="F2" s="36" t="s">
        <v>56</v>
      </c>
      <c r="G2" s="36" t="s">
        <v>57</v>
      </c>
      <c r="H2" s="36" t="s">
        <v>58</v>
      </c>
      <c r="I2" s="36" t="s">
        <v>59</v>
      </c>
      <c r="J2" s="36" t="s">
        <v>60</v>
      </c>
      <c r="K2" s="36" t="s">
        <v>61</v>
      </c>
    </row>
    <row r="3" spans="1:11" x14ac:dyDescent="0.2">
      <c r="A3" s="24" t="str">
        <f>IF(AND(B2&lt;&gt;"",B3=""),$A$2&amp;"---&gt;","")</f>
        <v/>
      </c>
      <c r="B3" s="37">
        <v>43466</v>
      </c>
      <c r="C3" s="39">
        <f>IF(HRM[[#This Row],[Date]]="","",HRM[[#This Row],[Date]])</f>
        <v>43466</v>
      </c>
      <c r="D3" s="40">
        <f>IF(HRM[[#This Row],[Date]]="","",HRM[[#This Row],[Date]])</f>
        <v>43466</v>
      </c>
      <c r="E3" s="38" t="s">
        <v>23</v>
      </c>
      <c r="F3" s="41" t="str">
        <f>IFERROR(IF(HRM[[#This Row],[Employee Name]]="","",VLOOKUP(HRM[[#This Row],[Employee Name]],'Employee Database'!B:K,2,0)),"")</f>
        <v>Field Force</v>
      </c>
      <c r="G3" s="50">
        <v>101306</v>
      </c>
      <c r="H3" s="48">
        <f>IFERROR(IF(HRM[[#This Row],[Employee Name]]="","",VLOOKUP(HRM[[#This Row],[Employee Name]],'Employee Database'!B:K,8,0)),"")</f>
        <v>6139.1333333333341</v>
      </c>
      <c r="I3" s="48">
        <f>IFERROR(IF(HRM[[#This Row],[Employee Name]]="","",((VLOOKUP(HRM[[#This Row],[Employee Name]],'Employee Database'!B:K,9,0))*VLOOKUP(HRM[[#This Row],[Employee Name]],'Employee Database'!B:K,8,0))),"")</f>
        <v>368.34800000000001</v>
      </c>
      <c r="J3" s="48">
        <f>IFERROR(IF(HRM[[#This Row],[Employee Name]]="","",(VLOOKUP(HRM[[#This Row],[Employee Name]],'Employee Database'!B:K,10,0))*HRM[[#This Row],[Revenue generated by employee]]),"")</f>
        <v>810.44799999999998</v>
      </c>
      <c r="K3" s="48">
        <f>IF(COUNT(HRM[[#This Row],[Base salary]:[Comission]])=0,"",SUM(HRM[[#This Row],[Base salary]:[Comission]]))</f>
        <v>7317.9293333333344</v>
      </c>
    </row>
    <row r="4" spans="1:11" x14ac:dyDescent="0.2">
      <c r="A4" s="24" t="str">
        <f t="shared" ref="A4:A67" si="0">IF(AND(B3&lt;&gt;"",B4=""),$A$2&amp;"---&gt;","")</f>
        <v/>
      </c>
      <c r="B4" s="43">
        <v>43466</v>
      </c>
      <c r="C4" s="44">
        <f>IF(HRM[[#This Row],[Date]]="","",HRM[[#This Row],[Date]])</f>
        <v>43466</v>
      </c>
      <c r="D4" s="45">
        <f>IF(HRM[[#This Row],[Date]]="","",HRM[[#This Row],[Date]])</f>
        <v>43466</v>
      </c>
      <c r="E4" s="46" t="s">
        <v>24</v>
      </c>
      <c r="F4" s="47" t="str">
        <f>IFERROR(IF(HRM[[#This Row],[Employee Name]]="","",VLOOKUP(HRM[[#This Row],[Employee Name]],'Employee Database'!B:K,2,0)),"")</f>
        <v>Field Force</v>
      </c>
      <c r="G4" s="51">
        <v>124872</v>
      </c>
      <c r="H4" s="49">
        <f>IFERROR(IF(HRM[[#This Row],[Employee Name]]="","",VLOOKUP(HRM[[#This Row],[Employee Name]],'Employee Database'!B:K,8,0)),"")</f>
        <v>5232.916666666667</v>
      </c>
      <c r="I4" s="49">
        <f>IFERROR(IF(HRM[[#This Row],[Employee Name]]="","",((VLOOKUP(HRM[[#This Row],[Employee Name]],'Employee Database'!B:K,9,0))*VLOOKUP(HRM[[#This Row],[Employee Name]],'Employee Database'!B:K,8,0))),"")</f>
        <v>313.97500000000002</v>
      </c>
      <c r="J4" s="49">
        <f>IFERROR(IF(HRM[[#This Row],[Employee Name]]="","",(VLOOKUP(HRM[[#This Row],[Employee Name]],'Employee Database'!B:K,10,0))*HRM[[#This Row],[Revenue generated by employee]]),"")</f>
        <v>1248.72</v>
      </c>
      <c r="K4" s="49">
        <f>IF(COUNT(HRM[[#This Row],[Base salary]:[Comission]])=0,"",SUM(HRM[[#This Row],[Base salary]:[Comission]]))</f>
        <v>6795.6116666666676</v>
      </c>
    </row>
    <row r="5" spans="1:11" x14ac:dyDescent="0.2">
      <c r="A5" s="24" t="str">
        <f t="shared" si="0"/>
        <v/>
      </c>
      <c r="B5" s="43">
        <v>43466</v>
      </c>
      <c r="C5" s="44">
        <f>IF(HRM[[#This Row],[Date]]="","",HRM[[#This Row],[Date]])</f>
        <v>43466</v>
      </c>
      <c r="D5" s="45">
        <f>IF(HRM[[#This Row],[Date]]="","",HRM[[#This Row],[Date]])</f>
        <v>43466</v>
      </c>
      <c r="E5" s="46" t="s">
        <v>25</v>
      </c>
      <c r="F5" s="47" t="str">
        <f>IFERROR(IF(HRM[[#This Row],[Employee Name]]="","",VLOOKUP(HRM[[#This Row],[Employee Name]],'Employee Database'!B:K,2,0)),"")</f>
        <v>Administrative</v>
      </c>
      <c r="G5" s="51">
        <v>0</v>
      </c>
      <c r="H5" s="49">
        <f>IFERROR(IF(HRM[[#This Row],[Employee Name]]="","",VLOOKUP(HRM[[#This Row],[Employee Name]],'Employee Database'!B:K,8,0)),"")</f>
        <v>6207.5</v>
      </c>
      <c r="I5" s="49">
        <f>IFERROR(IF(HRM[[#This Row],[Employee Name]]="","",((VLOOKUP(HRM[[#This Row],[Employee Name]],'Employee Database'!B:K,9,0))*VLOOKUP(HRM[[#This Row],[Employee Name]],'Employee Database'!B:K,8,0))),"")</f>
        <v>620.75</v>
      </c>
      <c r="J5" s="49">
        <f>IFERROR(IF(HRM[[#This Row],[Employee Name]]="","",(VLOOKUP(HRM[[#This Row],[Employee Name]],'Employee Database'!B:K,10,0))*HRM[[#This Row],[Revenue generated by employee]]),"")</f>
        <v>0</v>
      </c>
      <c r="K5" s="49">
        <f>IF(COUNT(HRM[[#This Row],[Base salary]:[Comission]])=0,"",SUM(HRM[[#This Row],[Base salary]:[Comission]]))</f>
        <v>6828.25</v>
      </c>
    </row>
    <row r="6" spans="1:11" x14ac:dyDescent="0.2">
      <c r="A6" s="24" t="str">
        <f t="shared" si="0"/>
        <v/>
      </c>
      <c r="B6" s="43">
        <v>43466</v>
      </c>
      <c r="C6" s="44">
        <f>IF(HRM[[#This Row],[Date]]="","",HRM[[#This Row],[Date]])</f>
        <v>43466</v>
      </c>
      <c r="D6" s="45">
        <f>IF(HRM[[#This Row],[Date]]="","",HRM[[#This Row],[Date]])</f>
        <v>43466</v>
      </c>
      <c r="E6" s="46" t="s">
        <v>27</v>
      </c>
      <c r="F6" s="47" t="str">
        <f>IFERROR(IF(HRM[[#This Row],[Employee Name]]="","",VLOOKUP(HRM[[#This Row],[Employee Name]],'Employee Database'!B:K,2,0)),"")</f>
        <v>Field Force</v>
      </c>
      <c r="G6" s="51">
        <v>0</v>
      </c>
      <c r="H6" s="49">
        <f>IFERROR(IF(HRM[[#This Row],[Employee Name]]="","",VLOOKUP(HRM[[#This Row],[Employee Name]],'Employee Database'!B:K,8,0)),"")</f>
        <v>4132.666666666667</v>
      </c>
      <c r="I6" s="49">
        <f>IFERROR(IF(HRM[[#This Row],[Employee Name]]="","",((VLOOKUP(HRM[[#This Row],[Employee Name]],'Employee Database'!B:K,9,0))*VLOOKUP(HRM[[#This Row],[Employee Name]],'Employee Database'!B:K,8,0))),"")</f>
        <v>247.96</v>
      </c>
      <c r="J6" s="49">
        <f>IFERROR(IF(HRM[[#This Row],[Employee Name]]="","",(VLOOKUP(HRM[[#This Row],[Employee Name]],'Employee Database'!B:K,10,0))*HRM[[#This Row],[Revenue generated by employee]]),"")</f>
        <v>0</v>
      </c>
      <c r="K6" s="49">
        <f>IF(COUNT(HRM[[#This Row],[Base salary]:[Comission]])=0,"",SUM(HRM[[#This Row],[Base salary]:[Comission]]))</f>
        <v>4380.626666666667</v>
      </c>
    </row>
    <row r="7" spans="1:11" x14ac:dyDescent="0.2">
      <c r="A7" s="24" t="str">
        <f t="shared" si="0"/>
        <v/>
      </c>
      <c r="B7" s="43">
        <v>43466</v>
      </c>
      <c r="C7" s="44">
        <f>IF(HRM[[#This Row],[Date]]="","",HRM[[#This Row],[Date]])</f>
        <v>43466</v>
      </c>
      <c r="D7" s="45">
        <f>IF(HRM[[#This Row],[Date]]="","",HRM[[#This Row],[Date]])</f>
        <v>43466</v>
      </c>
      <c r="E7" s="46" t="s">
        <v>28</v>
      </c>
      <c r="F7" s="47" t="str">
        <f>IFERROR(IF(HRM[[#This Row],[Employee Name]]="","",VLOOKUP(HRM[[#This Row],[Employee Name]],'Employee Database'!B:K,2,0)),"")</f>
        <v>IT</v>
      </c>
      <c r="G7" s="51">
        <v>0</v>
      </c>
      <c r="H7" s="49">
        <f>IFERROR(IF(HRM[[#This Row],[Employee Name]]="","",VLOOKUP(HRM[[#This Row],[Employee Name]],'Employee Database'!B:K,8,0)),"")</f>
        <v>6109.166666666667</v>
      </c>
      <c r="I7" s="49">
        <f>IFERROR(IF(HRM[[#This Row],[Employee Name]]="","",((VLOOKUP(HRM[[#This Row],[Employee Name]],'Employee Database'!B:K,9,0))*VLOOKUP(HRM[[#This Row],[Employee Name]],'Employee Database'!B:K,8,0))),"")</f>
        <v>610.91666666666674</v>
      </c>
      <c r="J7" s="49">
        <f>IFERROR(IF(HRM[[#This Row],[Employee Name]]="","",(VLOOKUP(HRM[[#This Row],[Employee Name]],'Employee Database'!B:K,10,0))*HRM[[#This Row],[Revenue generated by employee]]),"")</f>
        <v>0</v>
      </c>
      <c r="K7" s="49">
        <f>IF(COUNT(HRM[[#This Row],[Base salary]:[Comission]])=0,"",SUM(HRM[[#This Row],[Base salary]:[Comission]]))</f>
        <v>6720.0833333333339</v>
      </c>
    </row>
    <row r="8" spans="1:11" x14ac:dyDescent="0.2">
      <c r="A8" s="24" t="str">
        <f t="shared" si="0"/>
        <v/>
      </c>
      <c r="B8" s="43">
        <v>43466</v>
      </c>
      <c r="C8" s="44">
        <f>IF(HRM[[#This Row],[Date]]="","",HRM[[#This Row],[Date]])</f>
        <v>43466</v>
      </c>
      <c r="D8" s="45">
        <f>IF(HRM[[#This Row],[Date]]="","",HRM[[#This Row],[Date]])</f>
        <v>43466</v>
      </c>
      <c r="E8" s="46" t="s">
        <v>29</v>
      </c>
      <c r="F8" s="47" t="str">
        <f>IFERROR(IF(HRM[[#This Row],[Employee Name]]="","",VLOOKUP(HRM[[#This Row],[Employee Name]],'Employee Database'!B:K,2,0)),"")</f>
        <v>General Management</v>
      </c>
      <c r="G8" s="51">
        <v>0</v>
      </c>
      <c r="H8" s="49">
        <f>IFERROR(IF(HRM[[#This Row],[Employee Name]]="","",VLOOKUP(HRM[[#This Row],[Employee Name]],'Employee Database'!B:K,8,0)),"")</f>
        <v>10388.76923076923</v>
      </c>
      <c r="I8" s="49">
        <f>IFERROR(IF(HRM[[#This Row],[Employee Name]]="","",((VLOOKUP(HRM[[#This Row],[Employee Name]],'Employee Database'!B:K,9,0))*VLOOKUP(HRM[[#This Row],[Employee Name]],'Employee Database'!B:K,8,0))),"")</f>
        <v>1246.6523076923077</v>
      </c>
      <c r="J8" s="49">
        <f>IFERROR(IF(HRM[[#This Row],[Employee Name]]="","",(VLOOKUP(HRM[[#This Row],[Employee Name]],'Employee Database'!B:K,10,0))*HRM[[#This Row],[Revenue generated by employee]]),"")</f>
        <v>0</v>
      </c>
      <c r="K8" s="49">
        <f>IF(COUNT(HRM[[#This Row],[Base salary]:[Comission]])=0,"",SUM(HRM[[#This Row],[Base salary]:[Comission]]))</f>
        <v>11635.421538461538</v>
      </c>
    </row>
    <row r="9" spans="1:11" x14ac:dyDescent="0.2">
      <c r="A9" s="24" t="str">
        <f t="shared" si="0"/>
        <v/>
      </c>
      <c r="B9" s="43">
        <v>43466</v>
      </c>
      <c r="C9" s="44">
        <f>IF(HRM[[#This Row],[Date]]="","",HRM[[#This Row],[Date]])</f>
        <v>43466</v>
      </c>
      <c r="D9" s="45">
        <f>IF(HRM[[#This Row],[Date]]="","",HRM[[#This Row],[Date]])</f>
        <v>43466</v>
      </c>
      <c r="E9" s="46" t="s">
        <v>30</v>
      </c>
      <c r="F9" s="47" t="str">
        <f>IFERROR(IF(HRM[[#This Row],[Employee Name]]="","",VLOOKUP(HRM[[#This Row],[Employee Name]],'Employee Database'!B:K,2,0)),"")</f>
        <v>Administrative</v>
      </c>
      <c r="G9" s="51">
        <v>0</v>
      </c>
      <c r="H9" s="49">
        <f>IFERROR(IF(HRM[[#This Row],[Employee Name]]="","",VLOOKUP(HRM[[#This Row],[Employee Name]],'Employee Database'!B:K,8,0)),"")</f>
        <v>4230</v>
      </c>
      <c r="I9" s="49">
        <f>IFERROR(IF(HRM[[#This Row],[Employee Name]]="","",((VLOOKUP(HRM[[#This Row],[Employee Name]],'Employee Database'!B:K,9,0))*VLOOKUP(HRM[[#This Row],[Employee Name]],'Employee Database'!B:K,8,0))),"")</f>
        <v>423</v>
      </c>
      <c r="J9" s="49">
        <f>IFERROR(IF(HRM[[#This Row],[Employee Name]]="","",(VLOOKUP(HRM[[#This Row],[Employee Name]],'Employee Database'!B:K,10,0))*HRM[[#This Row],[Revenue generated by employee]]),"")</f>
        <v>0</v>
      </c>
      <c r="K9" s="49">
        <f>IF(COUNT(HRM[[#This Row],[Base salary]:[Comission]])=0,"",SUM(HRM[[#This Row],[Base salary]:[Comission]]))</f>
        <v>4653</v>
      </c>
    </row>
    <row r="10" spans="1:11" x14ac:dyDescent="0.2">
      <c r="A10" s="24" t="str">
        <f t="shared" si="0"/>
        <v/>
      </c>
      <c r="B10" s="43">
        <v>43497</v>
      </c>
      <c r="C10" s="44">
        <f>IF(HRM[[#This Row],[Date]]="","",HRM[[#This Row],[Date]])</f>
        <v>43497</v>
      </c>
      <c r="D10" s="45">
        <f>IF(HRM[[#This Row],[Date]]="","",HRM[[#This Row],[Date]])</f>
        <v>43497</v>
      </c>
      <c r="E10" s="46" t="s">
        <v>23</v>
      </c>
      <c r="F10" s="47" t="str">
        <f>IFERROR(IF(HRM[[#This Row],[Employee Name]]="","",VLOOKUP(HRM[[#This Row],[Employee Name]],'Employee Database'!B:K,2,0)),"")</f>
        <v>Field Force</v>
      </c>
      <c r="G10" s="51">
        <v>97104</v>
      </c>
      <c r="H10" s="49">
        <f>IFERROR(IF(HRM[[#This Row],[Employee Name]]="","",VLOOKUP(HRM[[#This Row],[Employee Name]],'Employee Database'!B:K,8,0)),"")</f>
        <v>6139.1333333333341</v>
      </c>
      <c r="I10" s="49">
        <f>IFERROR(IF(HRM[[#This Row],[Employee Name]]="","",((VLOOKUP(HRM[[#This Row],[Employee Name]],'Employee Database'!B:K,9,0))*VLOOKUP(HRM[[#This Row],[Employee Name]],'Employee Database'!B:K,8,0))),"")</f>
        <v>368.34800000000001</v>
      </c>
      <c r="J10" s="49">
        <f>IFERROR(IF(HRM[[#This Row],[Employee Name]]="","",(VLOOKUP(HRM[[#This Row],[Employee Name]],'Employee Database'!B:K,10,0))*HRM[[#This Row],[Revenue generated by employee]]),"")</f>
        <v>776.83199999999999</v>
      </c>
      <c r="K10" s="49">
        <f>IF(COUNT(HRM[[#This Row],[Base salary]:[Comission]])=0,"",SUM(HRM[[#This Row],[Base salary]:[Comission]]))</f>
        <v>7284.3133333333344</v>
      </c>
    </row>
    <row r="11" spans="1:11" x14ac:dyDescent="0.2">
      <c r="A11" s="24" t="str">
        <f t="shared" si="0"/>
        <v/>
      </c>
      <c r="B11" s="43">
        <v>43497</v>
      </c>
      <c r="C11" s="44">
        <f>IF(HRM[[#This Row],[Date]]="","",HRM[[#This Row],[Date]])</f>
        <v>43497</v>
      </c>
      <c r="D11" s="45">
        <f>IF(HRM[[#This Row],[Date]]="","",HRM[[#This Row],[Date]])</f>
        <v>43497</v>
      </c>
      <c r="E11" s="46" t="s">
        <v>24</v>
      </c>
      <c r="F11" s="47" t="str">
        <f>IFERROR(IF(HRM[[#This Row],[Employee Name]]="","",VLOOKUP(HRM[[#This Row],[Employee Name]],'Employee Database'!B:K,2,0)),"")</f>
        <v>Field Force</v>
      </c>
      <c r="G11" s="51">
        <v>77753</v>
      </c>
      <c r="H11" s="49">
        <f>IFERROR(IF(HRM[[#This Row],[Employee Name]]="","",VLOOKUP(HRM[[#This Row],[Employee Name]],'Employee Database'!B:K,8,0)),"")</f>
        <v>5232.916666666667</v>
      </c>
      <c r="I11" s="49">
        <f>IFERROR(IF(HRM[[#This Row],[Employee Name]]="","",((VLOOKUP(HRM[[#This Row],[Employee Name]],'Employee Database'!B:K,9,0))*VLOOKUP(HRM[[#This Row],[Employee Name]],'Employee Database'!B:K,8,0))),"")</f>
        <v>313.97500000000002</v>
      </c>
      <c r="J11" s="49">
        <f>IFERROR(IF(HRM[[#This Row],[Employee Name]]="","",(VLOOKUP(HRM[[#This Row],[Employee Name]],'Employee Database'!B:K,10,0))*HRM[[#This Row],[Revenue generated by employee]]),"")</f>
        <v>777.53</v>
      </c>
      <c r="K11" s="49">
        <f>IF(COUNT(HRM[[#This Row],[Base salary]:[Comission]])=0,"",SUM(HRM[[#This Row],[Base salary]:[Comission]]))</f>
        <v>6324.4216666666671</v>
      </c>
    </row>
    <row r="12" spans="1:11" x14ac:dyDescent="0.2">
      <c r="A12" s="24" t="str">
        <f t="shared" si="0"/>
        <v/>
      </c>
      <c r="B12" s="43">
        <v>43497</v>
      </c>
      <c r="C12" s="44">
        <f>IF(HRM[[#This Row],[Date]]="","",HRM[[#This Row],[Date]])</f>
        <v>43497</v>
      </c>
      <c r="D12" s="45">
        <f>IF(HRM[[#This Row],[Date]]="","",HRM[[#This Row],[Date]])</f>
        <v>43497</v>
      </c>
      <c r="E12" s="46" t="s">
        <v>25</v>
      </c>
      <c r="F12" s="47" t="str">
        <f>IFERROR(IF(HRM[[#This Row],[Employee Name]]="","",VLOOKUP(HRM[[#This Row],[Employee Name]],'Employee Database'!B:K,2,0)),"")</f>
        <v>Administrative</v>
      </c>
      <c r="G12" s="51">
        <v>0</v>
      </c>
      <c r="H12" s="49">
        <f>IFERROR(IF(HRM[[#This Row],[Employee Name]]="","",VLOOKUP(HRM[[#This Row],[Employee Name]],'Employee Database'!B:K,8,0)),"")</f>
        <v>6207.5</v>
      </c>
      <c r="I12" s="49">
        <f>IFERROR(IF(HRM[[#This Row],[Employee Name]]="","",((VLOOKUP(HRM[[#This Row],[Employee Name]],'Employee Database'!B:K,9,0))*VLOOKUP(HRM[[#This Row],[Employee Name]],'Employee Database'!B:K,8,0))),"")</f>
        <v>620.75</v>
      </c>
      <c r="J12" s="49">
        <f>IFERROR(IF(HRM[[#This Row],[Employee Name]]="","",(VLOOKUP(HRM[[#This Row],[Employee Name]],'Employee Database'!B:K,10,0))*HRM[[#This Row],[Revenue generated by employee]]),"")</f>
        <v>0</v>
      </c>
      <c r="K12" s="49">
        <f>IF(COUNT(HRM[[#This Row],[Base salary]:[Comission]])=0,"",SUM(HRM[[#This Row],[Base salary]:[Comission]]))</f>
        <v>6828.25</v>
      </c>
    </row>
    <row r="13" spans="1:11" x14ac:dyDescent="0.2">
      <c r="A13" s="24" t="str">
        <f t="shared" si="0"/>
        <v/>
      </c>
      <c r="B13" s="43">
        <v>43497</v>
      </c>
      <c r="C13" s="44">
        <f>IF(HRM[[#This Row],[Date]]="","",HRM[[#This Row],[Date]])</f>
        <v>43497</v>
      </c>
      <c r="D13" s="45">
        <f>IF(HRM[[#This Row],[Date]]="","",HRM[[#This Row],[Date]])</f>
        <v>43497</v>
      </c>
      <c r="E13" s="46" t="s">
        <v>27</v>
      </c>
      <c r="F13" s="47" t="str">
        <f>IFERROR(IF(HRM[[#This Row],[Employee Name]]="","",VLOOKUP(HRM[[#This Row],[Employee Name]],'Employee Database'!B:K,2,0)),"")</f>
        <v>Field Force</v>
      </c>
      <c r="G13" s="51">
        <v>0</v>
      </c>
      <c r="H13" s="49">
        <f>IFERROR(IF(HRM[[#This Row],[Employee Name]]="","",VLOOKUP(HRM[[#This Row],[Employee Name]],'Employee Database'!B:K,8,0)),"")</f>
        <v>4132.666666666667</v>
      </c>
      <c r="I13" s="49">
        <f>IFERROR(IF(HRM[[#This Row],[Employee Name]]="","",((VLOOKUP(HRM[[#This Row],[Employee Name]],'Employee Database'!B:K,9,0))*VLOOKUP(HRM[[#This Row],[Employee Name]],'Employee Database'!B:K,8,0))),"")</f>
        <v>247.96</v>
      </c>
      <c r="J13" s="49">
        <f>IFERROR(IF(HRM[[#This Row],[Employee Name]]="","",(VLOOKUP(HRM[[#This Row],[Employee Name]],'Employee Database'!B:K,10,0))*HRM[[#This Row],[Revenue generated by employee]]),"")</f>
        <v>0</v>
      </c>
      <c r="K13" s="49">
        <f>IF(COUNT(HRM[[#This Row],[Base salary]:[Comission]])=0,"",SUM(HRM[[#This Row],[Base salary]:[Comission]]))</f>
        <v>4380.626666666667</v>
      </c>
    </row>
    <row r="14" spans="1:11" x14ac:dyDescent="0.2">
      <c r="A14" s="24" t="str">
        <f t="shared" si="0"/>
        <v/>
      </c>
      <c r="B14" s="43">
        <v>43497</v>
      </c>
      <c r="C14" s="44">
        <f>IF(HRM[[#This Row],[Date]]="","",HRM[[#This Row],[Date]])</f>
        <v>43497</v>
      </c>
      <c r="D14" s="45">
        <f>IF(HRM[[#This Row],[Date]]="","",HRM[[#This Row],[Date]])</f>
        <v>43497</v>
      </c>
      <c r="E14" s="46" t="s">
        <v>28</v>
      </c>
      <c r="F14" s="47" t="str">
        <f>IFERROR(IF(HRM[[#This Row],[Employee Name]]="","",VLOOKUP(HRM[[#This Row],[Employee Name]],'Employee Database'!B:K,2,0)),"")</f>
        <v>IT</v>
      </c>
      <c r="G14" s="51">
        <v>0</v>
      </c>
      <c r="H14" s="49">
        <f>IFERROR(IF(HRM[[#This Row],[Employee Name]]="","",VLOOKUP(HRM[[#This Row],[Employee Name]],'Employee Database'!B:K,8,0)),"")</f>
        <v>6109.166666666667</v>
      </c>
      <c r="I14" s="49">
        <f>IFERROR(IF(HRM[[#This Row],[Employee Name]]="","",((VLOOKUP(HRM[[#This Row],[Employee Name]],'Employee Database'!B:K,9,0))*VLOOKUP(HRM[[#This Row],[Employee Name]],'Employee Database'!B:K,8,0))),"")</f>
        <v>610.91666666666674</v>
      </c>
      <c r="J14" s="49">
        <f>IFERROR(IF(HRM[[#This Row],[Employee Name]]="","",(VLOOKUP(HRM[[#This Row],[Employee Name]],'Employee Database'!B:K,10,0))*HRM[[#This Row],[Revenue generated by employee]]),"")</f>
        <v>0</v>
      </c>
      <c r="K14" s="49">
        <f>IF(COUNT(HRM[[#This Row],[Base salary]:[Comission]])=0,"",SUM(HRM[[#This Row],[Base salary]:[Comission]]))</f>
        <v>6720.0833333333339</v>
      </c>
    </row>
    <row r="15" spans="1:11" x14ac:dyDescent="0.2">
      <c r="A15" s="24" t="str">
        <f t="shared" si="0"/>
        <v/>
      </c>
      <c r="B15" s="43">
        <v>43497</v>
      </c>
      <c r="C15" s="44">
        <f>IF(HRM[[#This Row],[Date]]="","",HRM[[#This Row],[Date]])</f>
        <v>43497</v>
      </c>
      <c r="D15" s="45">
        <f>IF(HRM[[#This Row],[Date]]="","",HRM[[#This Row],[Date]])</f>
        <v>43497</v>
      </c>
      <c r="E15" s="46" t="s">
        <v>29</v>
      </c>
      <c r="F15" s="47" t="str">
        <f>IFERROR(IF(HRM[[#This Row],[Employee Name]]="","",VLOOKUP(HRM[[#This Row],[Employee Name]],'Employee Database'!B:K,2,0)),"")</f>
        <v>General Management</v>
      </c>
      <c r="G15" s="51">
        <v>0</v>
      </c>
      <c r="H15" s="49">
        <f>IFERROR(IF(HRM[[#This Row],[Employee Name]]="","",VLOOKUP(HRM[[#This Row],[Employee Name]],'Employee Database'!B:K,8,0)),"")</f>
        <v>10388.76923076923</v>
      </c>
      <c r="I15" s="49">
        <f>IFERROR(IF(HRM[[#This Row],[Employee Name]]="","",((VLOOKUP(HRM[[#This Row],[Employee Name]],'Employee Database'!B:K,9,0))*VLOOKUP(HRM[[#This Row],[Employee Name]],'Employee Database'!B:K,8,0))),"")</f>
        <v>1246.6523076923077</v>
      </c>
      <c r="J15" s="49">
        <f>IFERROR(IF(HRM[[#This Row],[Employee Name]]="","",(VLOOKUP(HRM[[#This Row],[Employee Name]],'Employee Database'!B:K,10,0))*HRM[[#This Row],[Revenue generated by employee]]),"")</f>
        <v>0</v>
      </c>
      <c r="K15" s="49">
        <f>IF(COUNT(HRM[[#This Row],[Base salary]:[Comission]])=0,"",SUM(HRM[[#This Row],[Base salary]:[Comission]]))</f>
        <v>11635.421538461538</v>
      </c>
    </row>
    <row r="16" spans="1:11" x14ac:dyDescent="0.2">
      <c r="A16" s="24" t="str">
        <f t="shared" si="0"/>
        <v/>
      </c>
      <c r="B16" s="43">
        <v>43497</v>
      </c>
      <c r="C16" s="44">
        <f>IF(HRM[[#This Row],[Date]]="","",HRM[[#This Row],[Date]])</f>
        <v>43497</v>
      </c>
      <c r="D16" s="45">
        <f>IF(HRM[[#This Row],[Date]]="","",HRM[[#This Row],[Date]])</f>
        <v>43497</v>
      </c>
      <c r="E16" s="46" t="s">
        <v>30</v>
      </c>
      <c r="F16" s="47" t="str">
        <f>IFERROR(IF(HRM[[#This Row],[Employee Name]]="","",VLOOKUP(HRM[[#This Row],[Employee Name]],'Employee Database'!B:K,2,0)),"")</f>
        <v>Administrative</v>
      </c>
      <c r="G16" s="51">
        <v>0</v>
      </c>
      <c r="H16" s="49">
        <f>IFERROR(IF(HRM[[#This Row],[Employee Name]]="","",VLOOKUP(HRM[[#This Row],[Employee Name]],'Employee Database'!B:K,8,0)),"")</f>
        <v>4230</v>
      </c>
      <c r="I16" s="49">
        <f>IFERROR(IF(HRM[[#This Row],[Employee Name]]="","",((VLOOKUP(HRM[[#This Row],[Employee Name]],'Employee Database'!B:K,9,0))*VLOOKUP(HRM[[#This Row],[Employee Name]],'Employee Database'!B:K,8,0))),"")</f>
        <v>423</v>
      </c>
      <c r="J16" s="49">
        <f>IFERROR(IF(HRM[[#This Row],[Employee Name]]="","",(VLOOKUP(HRM[[#This Row],[Employee Name]],'Employee Database'!B:K,10,0))*HRM[[#This Row],[Revenue generated by employee]]),"")</f>
        <v>0</v>
      </c>
      <c r="K16" s="49">
        <f>IF(COUNT(HRM[[#This Row],[Base salary]:[Comission]])=0,"",SUM(HRM[[#This Row],[Base salary]:[Comission]]))</f>
        <v>4653</v>
      </c>
    </row>
    <row r="17" spans="1:11" x14ac:dyDescent="0.2">
      <c r="A17" s="24" t="str">
        <f t="shared" si="0"/>
        <v/>
      </c>
      <c r="B17" s="43">
        <v>43525</v>
      </c>
      <c r="C17" s="44">
        <f>IF(HRM[[#This Row],[Date]]="","",HRM[[#This Row],[Date]])</f>
        <v>43525</v>
      </c>
      <c r="D17" s="45">
        <f>IF(HRM[[#This Row],[Date]]="","",HRM[[#This Row],[Date]])</f>
        <v>43525</v>
      </c>
      <c r="E17" s="46" t="s">
        <v>23</v>
      </c>
      <c r="F17" s="47" t="str">
        <f>IFERROR(IF(HRM[[#This Row],[Employee Name]]="","",VLOOKUP(HRM[[#This Row],[Employee Name]],'Employee Database'!B:K,2,0)),"")</f>
        <v>Field Force</v>
      </c>
      <c r="G17" s="51">
        <v>117041</v>
      </c>
      <c r="H17" s="49">
        <f>IFERROR(IF(HRM[[#This Row],[Employee Name]]="","",VLOOKUP(HRM[[#This Row],[Employee Name]],'Employee Database'!B:K,8,0)),"")</f>
        <v>6139.1333333333341</v>
      </c>
      <c r="I17" s="49">
        <f>IFERROR(IF(HRM[[#This Row],[Employee Name]]="","",((VLOOKUP(HRM[[#This Row],[Employee Name]],'Employee Database'!B:K,9,0))*VLOOKUP(HRM[[#This Row],[Employee Name]],'Employee Database'!B:K,8,0))),"")</f>
        <v>368.34800000000001</v>
      </c>
      <c r="J17" s="49">
        <f>IFERROR(IF(HRM[[#This Row],[Employee Name]]="","",(VLOOKUP(HRM[[#This Row],[Employee Name]],'Employee Database'!B:K,10,0))*HRM[[#This Row],[Revenue generated by employee]]),"")</f>
        <v>936.32799999999997</v>
      </c>
      <c r="K17" s="49">
        <f>IF(COUNT(HRM[[#This Row],[Base salary]:[Comission]])=0,"",SUM(HRM[[#This Row],[Base salary]:[Comission]]))</f>
        <v>7443.8093333333345</v>
      </c>
    </row>
    <row r="18" spans="1:11" x14ac:dyDescent="0.2">
      <c r="A18" s="24" t="str">
        <f t="shared" si="0"/>
        <v/>
      </c>
      <c r="B18" s="43">
        <v>43525</v>
      </c>
      <c r="C18" s="44">
        <f>IF(HRM[[#This Row],[Date]]="","",HRM[[#This Row],[Date]])</f>
        <v>43525</v>
      </c>
      <c r="D18" s="45">
        <f>IF(HRM[[#This Row],[Date]]="","",HRM[[#This Row],[Date]])</f>
        <v>43525</v>
      </c>
      <c r="E18" s="46" t="s">
        <v>24</v>
      </c>
      <c r="F18" s="47" t="str">
        <f>IFERROR(IF(HRM[[#This Row],[Employee Name]]="","",VLOOKUP(HRM[[#This Row],[Employee Name]],'Employee Database'!B:K,2,0)),"")</f>
        <v>Field Force</v>
      </c>
      <c r="G18" s="51">
        <v>123516</v>
      </c>
      <c r="H18" s="49">
        <f>IFERROR(IF(HRM[[#This Row],[Employee Name]]="","",VLOOKUP(HRM[[#This Row],[Employee Name]],'Employee Database'!B:K,8,0)),"")</f>
        <v>5232.916666666667</v>
      </c>
      <c r="I18" s="49">
        <f>IFERROR(IF(HRM[[#This Row],[Employee Name]]="","",((VLOOKUP(HRM[[#This Row],[Employee Name]],'Employee Database'!B:K,9,0))*VLOOKUP(HRM[[#This Row],[Employee Name]],'Employee Database'!B:K,8,0))),"")</f>
        <v>313.97500000000002</v>
      </c>
      <c r="J18" s="49">
        <f>IFERROR(IF(HRM[[#This Row],[Employee Name]]="","",(VLOOKUP(HRM[[#This Row],[Employee Name]],'Employee Database'!B:K,10,0))*HRM[[#This Row],[Revenue generated by employee]]),"")</f>
        <v>1235.1600000000001</v>
      </c>
      <c r="K18" s="49">
        <f>IF(COUNT(HRM[[#This Row],[Base salary]:[Comission]])=0,"",SUM(HRM[[#This Row],[Base salary]:[Comission]]))</f>
        <v>6782.0516666666672</v>
      </c>
    </row>
    <row r="19" spans="1:11" x14ac:dyDescent="0.2">
      <c r="A19" s="24" t="str">
        <f t="shared" si="0"/>
        <v/>
      </c>
      <c r="B19" s="43">
        <v>43525</v>
      </c>
      <c r="C19" s="44">
        <f>IF(HRM[[#This Row],[Date]]="","",HRM[[#This Row],[Date]])</f>
        <v>43525</v>
      </c>
      <c r="D19" s="45">
        <f>IF(HRM[[#This Row],[Date]]="","",HRM[[#This Row],[Date]])</f>
        <v>43525</v>
      </c>
      <c r="E19" s="46" t="s">
        <v>25</v>
      </c>
      <c r="F19" s="47" t="str">
        <f>IFERROR(IF(HRM[[#This Row],[Employee Name]]="","",VLOOKUP(HRM[[#This Row],[Employee Name]],'Employee Database'!B:K,2,0)),"")</f>
        <v>Administrative</v>
      </c>
      <c r="G19" s="51">
        <v>0</v>
      </c>
      <c r="H19" s="49">
        <f>IFERROR(IF(HRM[[#This Row],[Employee Name]]="","",VLOOKUP(HRM[[#This Row],[Employee Name]],'Employee Database'!B:K,8,0)),"")</f>
        <v>6207.5</v>
      </c>
      <c r="I19" s="49">
        <f>IFERROR(IF(HRM[[#This Row],[Employee Name]]="","",((VLOOKUP(HRM[[#This Row],[Employee Name]],'Employee Database'!B:K,9,0))*VLOOKUP(HRM[[#This Row],[Employee Name]],'Employee Database'!B:K,8,0))),"")</f>
        <v>620.75</v>
      </c>
      <c r="J19" s="49">
        <f>IFERROR(IF(HRM[[#This Row],[Employee Name]]="","",(VLOOKUP(HRM[[#This Row],[Employee Name]],'Employee Database'!B:K,10,0))*HRM[[#This Row],[Revenue generated by employee]]),"")</f>
        <v>0</v>
      </c>
      <c r="K19" s="49">
        <f>IF(COUNT(HRM[[#This Row],[Base salary]:[Comission]])=0,"",SUM(HRM[[#This Row],[Base salary]:[Comission]]))</f>
        <v>6828.25</v>
      </c>
    </row>
    <row r="20" spans="1:11" x14ac:dyDescent="0.2">
      <c r="A20" s="24" t="str">
        <f t="shared" si="0"/>
        <v/>
      </c>
      <c r="B20" s="43">
        <v>43525</v>
      </c>
      <c r="C20" s="44">
        <f>IF(HRM[[#This Row],[Date]]="","",HRM[[#This Row],[Date]])</f>
        <v>43525</v>
      </c>
      <c r="D20" s="45">
        <f>IF(HRM[[#This Row],[Date]]="","",HRM[[#This Row],[Date]])</f>
        <v>43525</v>
      </c>
      <c r="E20" s="46" t="s">
        <v>27</v>
      </c>
      <c r="F20" s="47" t="str">
        <f>IFERROR(IF(HRM[[#This Row],[Employee Name]]="","",VLOOKUP(HRM[[#This Row],[Employee Name]],'Employee Database'!B:K,2,0)),"")</f>
        <v>Field Force</v>
      </c>
      <c r="G20" s="51">
        <v>0</v>
      </c>
      <c r="H20" s="49">
        <f>IFERROR(IF(HRM[[#This Row],[Employee Name]]="","",VLOOKUP(HRM[[#This Row],[Employee Name]],'Employee Database'!B:K,8,0)),"")</f>
        <v>4132.666666666667</v>
      </c>
      <c r="I20" s="49">
        <f>IFERROR(IF(HRM[[#This Row],[Employee Name]]="","",((VLOOKUP(HRM[[#This Row],[Employee Name]],'Employee Database'!B:K,9,0))*VLOOKUP(HRM[[#This Row],[Employee Name]],'Employee Database'!B:K,8,0))),"")</f>
        <v>247.96</v>
      </c>
      <c r="J20" s="49">
        <f>IFERROR(IF(HRM[[#This Row],[Employee Name]]="","",(VLOOKUP(HRM[[#This Row],[Employee Name]],'Employee Database'!B:K,10,0))*HRM[[#This Row],[Revenue generated by employee]]),"")</f>
        <v>0</v>
      </c>
      <c r="K20" s="49">
        <f>IF(COUNT(HRM[[#This Row],[Base salary]:[Comission]])=0,"",SUM(HRM[[#This Row],[Base salary]:[Comission]]))</f>
        <v>4380.626666666667</v>
      </c>
    </row>
    <row r="21" spans="1:11" x14ac:dyDescent="0.2">
      <c r="A21" s="24" t="str">
        <f t="shared" si="0"/>
        <v/>
      </c>
      <c r="B21" s="43">
        <v>43525</v>
      </c>
      <c r="C21" s="44">
        <f>IF(HRM[[#This Row],[Date]]="","",HRM[[#This Row],[Date]])</f>
        <v>43525</v>
      </c>
      <c r="D21" s="45">
        <f>IF(HRM[[#This Row],[Date]]="","",HRM[[#This Row],[Date]])</f>
        <v>43525</v>
      </c>
      <c r="E21" s="46" t="s">
        <v>28</v>
      </c>
      <c r="F21" s="47" t="str">
        <f>IFERROR(IF(HRM[[#This Row],[Employee Name]]="","",VLOOKUP(HRM[[#This Row],[Employee Name]],'Employee Database'!B:K,2,0)),"")</f>
        <v>IT</v>
      </c>
      <c r="G21" s="51">
        <v>0</v>
      </c>
      <c r="H21" s="49">
        <f>IFERROR(IF(HRM[[#This Row],[Employee Name]]="","",VLOOKUP(HRM[[#This Row],[Employee Name]],'Employee Database'!B:K,8,0)),"")</f>
        <v>6109.166666666667</v>
      </c>
      <c r="I21" s="49">
        <f>IFERROR(IF(HRM[[#This Row],[Employee Name]]="","",((VLOOKUP(HRM[[#This Row],[Employee Name]],'Employee Database'!B:K,9,0))*VLOOKUP(HRM[[#This Row],[Employee Name]],'Employee Database'!B:K,8,0))),"")</f>
        <v>610.91666666666674</v>
      </c>
      <c r="J21" s="49">
        <f>IFERROR(IF(HRM[[#This Row],[Employee Name]]="","",(VLOOKUP(HRM[[#This Row],[Employee Name]],'Employee Database'!B:K,10,0))*HRM[[#This Row],[Revenue generated by employee]]),"")</f>
        <v>0</v>
      </c>
      <c r="K21" s="49">
        <f>IF(COUNT(HRM[[#This Row],[Base salary]:[Comission]])=0,"",SUM(HRM[[#This Row],[Base salary]:[Comission]]))</f>
        <v>6720.0833333333339</v>
      </c>
    </row>
    <row r="22" spans="1:11" x14ac:dyDescent="0.2">
      <c r="A22" s="24" t="str">
        <f t="shared" si="0"/>
        <v/>
      </c>
      <c r="B22" s="43">
        <v>43525</v>
      </c>
      <c r="C22" s="44">
        <f>IF(HRM[[#This Row],[Date]]="","",HRM[[#This Row],[Date]])</f>
        <v>43525</v>
      </c>
      <c r="D22" s="45">
        <f>IF(HRM[[#This Row],[Date]]="","",HRM[[#This Row],[Date]])</f>
        <v>43525</v>
      </c>
      <c r="E22" s="46" t="s">
        <v>29</v>
      </c>
      <c r="F22" s="47" t="str">
        <f>IFERROR(IF(HRM[[#This Row],[Employee Name]]="","",VLOOKUP(HRM[[#This Row],[Employee Name]],'Employee Database'!B:K,2,0)),"")</f>
        <v>General Management</v>
      </c>
      <c r="G22" s="51">
        <v>0</v>
      </c>
      <c r="H22" s="49">
        <f>IFERROR(IF(HRM[[#This Row],[Employee Name]]="","",VLOOKUP(HRM[[#This Row],[Employee Name]],'Employee Database'!B:K,8,0)),"")</f>
        <v>10388.76923076923</v>
      </c>
      <c r="I22" s="49">
        <f>IFERROR(IF(HRM[[#This Row],[Employee Name]]="","",((VLOOKUP(HRM[[#This Row],[Employee Name]],'Employee Database'!B:K,9,0))*VLOOKUP(HRM[[#This Row],[Employee Name]],'Employee Database'!B:K,8,0))),"")</f>
        <v>1246.6523076923077</v>
      </c>
      <c r="J22" s="49">
        <f>IFERROR(IF(HRM[[#This Row],[Employee Name]]="","",(VLOOKUP(HRM[[#This Row],[Employee Name]],'Employee Database'!B:K,10,0))*HRM[[#This Row],[Revenue generated by employee]]),"")</f>
        <v>0</v>
      </c>
      <c r="K22" s="49">
        <f>IF(COUNT(HRM[[#This Row],[Base salary]:[Comission]])=0,"",SUM(HRM[[#This Row],[Base salary]:[Comission]]))</f>
        <v>11635.421538461538</v>
      </c>
    </row>
    <row r="23" spans="1:11" x14ac:dyDescent="0.2">
      <c r="A23" s="24" t="str">
        <f t="shared" si="0"/>
        <v/>
      </c>
      <c r="B23" s="43">
        <v>43525</v>
      </c>
      <c r="C23" s="44">
        <f>IF(HRM[[#This Row],[Date]]="","",HRM[[#This Row],[Date]])</f>
        <v>43525</v>
      </c>
      <c r="D23" s="45">
        <f>IF(HRM[[#This Row],[Date]]="","",HRM[[#This Row],[Date]])</f>
        <v>43525</v>
      </c>
      <c r="E23" s="46" t="s">
        <v>30</v>
      </c>
      <c r="F23" s="47" t="str">
        <f>IFERROR(IF(HRM[[#This Row],[Employee Name]]="","",VLOOKUP(HRM[[#This Row],[Employee Name]],'Employee Database'!B:K,2,0)),"")</f>
        <v>Administrative</v>
      </c>
      <c r="G23" s="51">
        <v>0</v>
      </c>
      <c r="H23" s="49">
        <f>IFERROR(IF(HRM[[#This Row],[Employee Name]]="","",VLOOKUP(HRM[[#This Row],[Employee Name]],'Employee Database'!B:K,8,0)),"")</f>
        <v>4230</v>
      </c>
      <c r="I23" s="49">
        <f>IFERROR(IF(HRM[[#This Row],[Employee Name]]="","",((VLOOKUP(HRM[[#This Row],[Employee Name]],'Employee Database'!B:K,9,0))*VLOOKUP(HRM[[#This Row],[Employee Name]],'Employee Database'!B:K,8,0))),"")</f>
        <v>423</v>
      </c>
      <c r="J23" s="49">
        <f>IFERROR(IF(HRM[[#This Row],[Employee Name]]="","",(VLOOKUP(HRM[[#This Row],[Employee Name]],'Employee Database'!B:K,10,0))*HRM[[#This Row],[Revenue generated by employee]]),"")</f>
        <v>0</v>
      </c>
      <c r="K23" s="49">
        <f>IF(COUNT(HRM[[#This Row],[Base salary]:[Comission]])=0,"",SUM(HRM[[#This Row],[Base salary]:[Comission]]))</f>
        <v>4653</v>
      </c>
    </row>
    <row r="24" spans="1:11" x14ac:dyDescent="0.2">
      <c r="A24" s="24" t="str">
        <f t="shared" si="0"/>
        <v/>
      </c>
      <c r="B24" s="43">
        <v>43556</v>
      </c>
      <c r="C24" s="44">
        <f>IF(HRM[[#This Row],[Date]]="","",HRM[[#This Row],[Date]])</f>
        <v>43556</v>
      </c>
      <c r="D24" s="45">
        <f>IF(HRM[[#This Row],[Date]]="","",HRM[[#This Row],[Date]])</f>
        <v>43556</v>
      </c>
      <c r="E24" s="46" t="s">
        <v>23</v>
      </c>
      <c r="F24" s="47" t="str">
        <f>IFERROR(IF(HRM[[#This Row],[Employee Name]]="","",VLOOKUP(HRM[[#This Row],[Employee Name]],'Employee Database'!B:K,2,0)),"")</f>
        <v>Field Force</v>
      </c>
      <c r="G24" s="51">
        <v>109258</v>
      </c>
      <c r="H24" s="49">
        <f>IFERROR(IF(HRM[[#This Row],[Employee Name]]="","",VLOOKUP(HRM[[#This Row],[Employee Name]],'Employee Database'!B:K,8,0)),"")</f>
        <v>6139.1333333333341</v>
      </c>
      <c r="I24" s="49">
        <f>IFERROR(IF(HRM[[#This Row],[Employee Name]]="","",((VLOOKUP(HRM[[#This Row],[Employee Name]],'Employee Database'!B:K,9,0))*VLOOKUP(HRM[[#This Row],[Employee Name]],'Employee Database'!B:K,8,0))),"")</f>
        <v>368.34800000000001</v>
      </c>
      <c r="J24" s="49">
        <f>IFERROR(IF(HRM[[#This Row],[Employee Name]]="","",(VLOOKUP(HRM[[#This Row],[Employee Name]],'Employee Database'!B:K,10,0))*HRM[[#This Row],[Revenue generated by employee]]),"")</f>
        <v>874.06399999999996</v>
      </c>
      <c r="K24" s="49">
        <f>IF(COUNT(HRM[[#This Row],[Base salary]:[Comission]])=0,"",SUM(HRM[[#This Row],[Base salary]:[Comission]]))</f>
        <v>7381.5453333333344</v>
      </c>
    </row>
    <row r="25" spans="1:11" x14ac:dyDescent="0.2">
      <c r="A25" s="24" t="str">
        <f t="shared" si="0"/>
        <v/>
      </c>
      <c r="B25" s="43">
        <v>43556</v>
      </c>
      <c r="C25" s="44">
        <f>IF(HRM[[#This Row],[Date]]="","",HRM[[#This Row],[Date]])</f>
        <v>43556</v>
      </c>
      <c r="D25" s="45">
        <f>IF(HRM[[#This Row],[Date]]="","",HRM[[#This Row],[Date]])</f>
        <v>43556</v>
      </c>
      <c r="E25" s="46" t="s">
        <v>24</v>
      </c>
      <c r="F25" s="47" t="str">
        <f>IFERROR(IF(HRM[[#This Row],[Employee Name]]="","",VLOOKUP(HRM[[#This Row],[Employee Name]],'Employee Database'!B:K,2,0)),"")</f>
        <v>Field Force</v>
      </c>
      <c r="G25" s="51">
        <v>105252</v>
      </c>
      <c r="H25" s="49">
        <f>IFERROR(IF(HRM[[#This Row],[Employee Name]]="","",VLOOKUP(HRM[[#This Row],[Employee Name]],'Employee Database'!B:K,8,0)),"")</f>
        <v>5232.916666666667</v>
      </c>
      <c r="I25" s="49">
        <f>IFERROR(IF(HRM[[#This Row],[Employee Name]]="","",((VLOOKUP(HRM[[#This Row],[Employee Name]],'Employee Database'!B:K,9,0))*VLOOKUP(HRM[[#This Row],[Employee Name]],'Employee Database'!B:K,8,0))),"")</f>
        <v>313.97500000000002</v>
      </c>
      <c r="J25" s="49">
        <f>IFERROR(IF(HRM[[#This Row],[Employee Name]]="","",(VLOOKUP(HRM[[#This Row],[Employee Name]],'Employee Database'!B:K,10,0))*HRM[[#This Row],[Revenue generated by employee]]),"")</f>
        <v>1052.52</v>
      </c>
      <c r="K25" s="49">
        <f>IF(COUNT(HRM[[#This Row],[Base salary]:[Comission]])=0,"",SUM(HRM[[#This Row],[Base salary]:[Comission]]))</f>
        <v>6599.4116666666669</v>
      </c>
    </row>
    <row r="26" spans="1:11" x14ac:dyDescent="0.2">
      <c r="A26" s="24" t="str">
        <f t="shared" si="0"/>
        <v/>
      </c>
      <c r="B26" s="43">
        <v>43556</v>
      </c>
      <c r="C26" s="44">
        <f>IF(HRM[[#This Row],[Date]]="","",HRM[[#This Row],[Date]])</f>
        <v>43556</v>
      </c>
      <c r="D26" s="45">
        <f>IF(HRM[[#This Row],[Date]]="","",HRM[[#This Row],[Date]])</f>
        <v>43556</v>
      </c>
      <c r="E26" s="46" t="s">
        <v>25</v>
      </c>
      <c r="F26" s="47" t="str">
        <f>IFERROR(IF(HRM[[#This Row],[Employee Name]]="","",VLOOKUP(HRM[[#This Row],[Employee Name]],'Employee Database'!B:K,2,0)),"")</f>
        <v>Administrative</v>
      </c>
      <c r="G26" s="51">
        <v>0</v>
      </c>
      <c r="H26" s="49">
        <f>IFERROR(IF(HRM[[#This Row],[Employee Name]]="","",VLOOKUP(HRM[[#This Row],[Employee Name]],'Employee Database'!B:K,8,0)),"")</f>
        <v>6207.5</v>
      </c>
      <c r="I26" s="49">
        <f>IFERROR(IF(HRM[[#This Row],[Employee Name]]="","",((VLOOKUP(HRM[[#This Row],[Employee Name]],'Employee Database'!B:K,9,0))*VLOOKUP(HRM[[#This Row],[Employee Name]],'Employee Database'!B:K,8,0))),"")</f>
        <v>620.75</v>
      </c>
      <c r="J26" s="49">
        <f>IFERROR(IF(HRM[[#This Row],[Employee Name]]="","",(VLOOKUP(HRM[[#This Row],[Employee Name]],'Employee Database'!B:K,10,0))*HRM[[#This Row],[Revenue generated by employee]]),"")</f>
        <v>0</v>
      </c>
      <c r="K26" s="49">
        <f>IF(COUNT(HRM[[#This Row],[Base salary]:[Comission]])=0,"",SUM(HRM[[#This Row],[Base salary]:[Comission]]))</f>
        <v>6828.25</v>
      </c>
    </row>
    <row r="27" spans="1:11" x14ac:dyDescent="0.2">
      <c r="A27" s="24" t="str">
        <f t="shared" si="0"/>
        <v/>
      </c>
      <c r="B27" s="43">
        <v>43556</v>
      </c>
      <c r="C27" s="44">
        <f>IF(HRM[[#This Row],[Date]]="","",HRM[[#This Row],[Date]])</f>
        <v>43556</v>
      </c>
      <c r="D27" s="45">
        <f>IF(HRM[[#This Row],[Date]]="","",HRM[[#This Row],[Date]])</f>
        <v>43556</v>
      </c>
      <c r="E27" s="46" t="s">
        <v>27</v>
      </c>
      <c r="F27" s="47" t="str">
        <f>IFERROR(IF(HRM[[#This Row],[Employee Name]]="","",VLOOKUP(HRM[[#This Row],[Employee Name]],'Employee Database'!B:K,2,0)),"")</f>
        <v>Field Force</v>
      </c>
      <c r="G27" s="51">
        <v>0</v>
      </c>
      <c r="H27" s="49">
        <f>IFERROR(IF(HRM[[#This Row],[Employee Name]]="","",VLOOKUP(HRM[[#This Row],[Employee Name]],'Employee Database'!B:K,8,0)),"")</f>
        <v>4132.666666666667</v>
      </c>
      <c r="I27" s="49">
        <f>IFERROR(IF(HRM[[#This Row],[Employee Name]]="","",((VLOOKUP(HRM[[#This Row],[Employee Name]],'Employee Database'!B:K,9,0))*VLOOKUP(HRM[[#This Row],[Employee Name]],'Employee Database'!B:K,8,0))),"")</f>
        <v>247.96</v>
      </c>
      <c r="J27" s="49">
        <f>IFERROR(IF(HRM[[#This Row],[Employee Name]]="","",(VLOOKUP(HRM[[#This Row],[Employee Name]],'Employee Database'!B:K,10,0))*HRM[[#This Row],[Revenue generated by employee]]),"")</f>
        <v>0</v>
      </c>
      <c r="K27" s="49">
        <f>IF(COUNT(HRM[[#This Row],[Base salary]:[Comission]])=0,"",SUM(HRM[[#This Row],[Base salary]:[Comission]]))</f>
        <v>4380.626666666667</v>
      </c>
    </row>
    <row r="28" spans="1:11" x14ac:dyDescent="0.2">
      <c r="A28" s="24" t="str">
        <f t="shared" si="0"/>
        <v/>
      </c>
      <c r="B28" s="43">
        <v>43556</v>
      </c>
      <c r="C28" s="44">
        <f>IF(HRM[[#This Row],[Date]]="","",HRM[[#This Row],[Date]])</f>
        <v>43556</v>
      </c>
      <c r="D28" s="45">
        <f>IF(HRM[[#This Row],[Date]]="","",HRM[[#This Row],[Date]])</f>
        <v>43556</v>
      </c>
      <c r="E28" s="46" t="s">
        <v>28</v>
      </c>
      <c r="F28" s="47" t="str">
        <f>IFERROR(IF(HRM[[#This Row],[Employee Name]]="","",VLOOKUP(HRM[[#This Row],[Employee Name]],'Employee Database'!B:K,2,0)),"")</f>
        <v>IT</v>
      </c>
      <c r="G28" s="51">
        <v>0</v>
      </c>
      <c r="H28" s="49">
        <f>IFERROR(IF(HRM[[#This Row],[Employee Name]]="","",VLOOKUP(HRM[[#This Row],[Employee Name]],'Employee Database'!B:K,8,0)),"")</f>
        <v>6109.166666666667</v>
      </c>
      <c r="I28" s="49">
        <f>IFERROR(IF(HRM[[#This Row],[Employee Name]]="","",((VLOOKUP(HRM[[#This Row],[Employee Name]],'Employee Database'!B:K,9,0))*VLOOKUP(HRM[[#This Row],[Employee Name]],'Employee Database'!B:K,8,0))),"")</f>
        <v>610.91666666666674</v>
      </c>
      <c r="J28" s="49">
        <f>IFERROR(IF(HRM[[#This Row],[Employee Name]]="","",(VLOOKUP(HRM[[#This Row],[Employee Name]],'Employee Database'!B:K,10,0))*HRM[[#This Row],[Revenue generated by employee]]),"")</f>
        <v>0</v>
      </c>
      <c r="K28" s="49">
        <f>IF(COUNT(HRM[[#This Row],[Base salary]:[Comission]])=0,"",SUM(HRM[[#This Row],[Base salary]:[Comission]]))</f>
        <v>6720.0833333333339</v>
      </c>
    </row>
    <row r="29" spans="1:11" x14ac:dyDescent="0.2">
      <c r="A29" s="24" t="str">
        <f t="shared" si="0"/>
        <v/>
      </c>
      <c r="B29" s="43">
        <v>43556</v>
      </c>
      <c r="C29" s="44">
        <f>IF(HRM[[#This Row],[Date]]="","",HRM[[#This Row],[Date]])</f>
        <v>43556</v>
      </c>
      <c r="D29" s="45">
        <f>IF(HRM[[#This Row],[Date]]="","",HRM[[#This Row],[Date]])</f>
        <v>43556</v>
      </c>
      <c r="E29" s="46" t="s">
        <v>29</v>
      </c>
      <c r="F29" s="47" t="str">
        <f>IFERROR(IF(HRM[[#This Row],[Employee Name]]="","",VLOOKUP(HRM[[#This Row],[Employee Name]],'Employee Database'!B:K,2,0)),"")</f>
        <v>General Management</v>
      </c>
      <c r="G29" s="51">
        <v>0</v>
      </c>
      <c r="H29" s="49">
        <f>IFERROR(IF(HRM[[#This Row],[Employee Name]]="","",VLOOKUP(HRM[[#This Row],[Employee Name]],'Employee Database'!B:K,8,0)),"")</f>
        <v>10388.76923076923</v>
      </c>
      <c r="I29" s="49">
        <f>IFERROR(IF(HRM[[#This Row],[Employee Name]]="","",((VLOOKUP(HRM[[#This Row],[Employee Name]],'Employee Database'!B:K,9,0))*VLOOKUP(HRM[[#This Row],[Employee Name]],'Employee Database'!B:K,8,0))),"")</f>
        <v>1246.6523076923077</v>
      </c>
      <c r="J29" s="49">
        <f>IFERROR(IF(HRM[[#This Row],[Employee Name]]="","",(VLOOKUP(HRM[[#This Row],[Employee Name]],'Employee Database'!B:K,10,0))*HRM[[#This Row],[Revenue generated by employee]]),"")</f>
        <v>0</v>
      </c>
      <c r="K29" s="49">
        <f>IF(COUNT(HRM[[#This Row],[Base salary]:[Comission]])=0,"",SUM(HRM[[#This Row],[Base salary]:[Comission]]))</f>
        <v>11635.421538461538</v>
      </c>
    </row>
    <row r="30" spans="1:11" x14ac:dyDescent="0.2">
      <c r="A30" s="24" t="str">
        <f t="shared" si="0"/>
        <v/>
      </c>
      <c r="B30" s="43">
        <v>43556</v>
      </c>
      <c r="C30" s="44">
        <f>IF(HRM[[#This Row],[Date]]="","",HRM[[#This Row],[Date]])</f>
        <v>43556</v>
      </c>
      <c r="D30" s="45">
        <f>IF(HRM[[#This Row],[Date]]="","",HRM[[#This Row],[Date]])</f>
        <v>43556</v>
      </c>
      <c r="E30" s="46" t="s">
        <v>30</v>
      </c>
      <c r="F30" s="47" t="str">
        <f>IFERROR(IF(HRM[[#This Row],[Employee Name]]="","",VLOOKUP(HRM[[#This Row],[Employee Name]],'Employee Database'!B:K,2,0)),"")</f>
        <v>Administrative</v>
      </c>
      <c r="G30" s="51">
        <v>0</v>
      </c>
      <c r="H30" s="49">
        <f>IFERROR(IF(HRM[[#This Row],[Employee Name]]="","",VLOOKUP(HRM[[#This Row],[Employee Name]],'Employee Database'!B:K,8,0)),"")</f>
        <v>4230</v>
      </c>
      <c r="I30" s="49">
        <f>IFERROR(IF(HRM[[#This Row],[Employee Name]]="","",((VLOOKUP(HRM[[#This Row],[Employee Name]],'Employee Database'!B:K,9,0))*VLOOKUP(HRM[[#This Row],[Employee Name]],'Employee Database'!B:K,8,0))),"")</f>
        <v>423</v>
      </c>
      <c r="J30" s="49">
        <f>IFERROR(IF(HRM[[#This Row],[Employee Name]]="","",(VLOOKUP(HRM[[#This Row],[Employee Name]],'Employee Database'!B:K,10,0))*HRM[[#This Row],[Revenue generated by employee]]),"")</f>
        <v>0</v>
      </c>
      <c r="K30" s="49">
        <f>IF(COUNT(HRM[[#This Row],[Base salary]:[Comission]])=0,"",SUM(HRM[[#This Row],[Base salary]:[Comission]]))</f>
        <v>4653</v>
      </c>
    </row>
    <row r="31" spans="1:11" x14ac:dyDescent="0.2">
      <c r="A31" s="24" t="str">
        <f t="shared" si="0"/>
        <v/>
      </c>
      <c r="B31" s="43">
        <v>43586</v>
      </c>
      <c r="C31" s="44">
        <f>IF(HRM[[#This Row],[Date]]="","",HRM[[#This Row],[Date]])</f>
        <v>43586</v>
      </c>
      <c r="D31" s="45">
        <f>IF(HRM[[#This Row],[Date]]="","",HRM[[#This Row],[Date]])</f>
        <v>43586</v>
      </c>
      <c r="E31" s="46" t="s">
        <v>23</v>
      </c>
      <c r="F31" s="47" t="str">
        <f>IFERROR(IF(HRM[[#This Row],[Employee Name]]="","",VLOOKUP(HRM[[#This Row],[Employee Name]],'Employee Database'!B:K,2,0)),"")</f>
        <v>Field Force</v>
      </c>
      <c r="G31" s="51">
        <v>92000</v>
      </c>
      <c r="H31" s="49">
        <f>IFERROR(IF(HRM[[#This Row],[Employee Name]]="","",VLOOKUP(HRM[[#This Row],[Employee Name]],'Employee Database'!B:K,8,0)),"")</f>
        <v>6139.1333333333341</v>
      </c>
      <c r="I31" s="49">
        <f>IFERROR(IF(HRM[[#This Row],[Employee Name]]="","",((VLOOKUP(HRM[[#This Row],[Employee Name]],'Employee Database'!B:K,9,0))*VLOOKUP(HRM[[#This Row],[Employee Name]],'Employee Database'!B:K,8,0))),"")</f>
        <v>368.34800000000001</v>
      </c>
      <c r="J31" s="49">
        <f>IFERROR(IF(HRM[[#This Row],[Employee Name]]="","",(VLOOKUP(HRM[[#This Row],[Employee Name]],'Employee Database'!B:K,10,0))*HRM[[#This Row],[Revenue generated by employee]]),"")</f>
        <v>736</v>
      </c>
      <c r="K31" s="49">
        <f>IF(COUNT(HRM[[#This Row],[Base salary]:[Comission]])=0,"",SUM(HRM[[#This Row],[Base salary]:[Comission]]))</f>
        <v>7243.4813333333341</v>
      </c>
    </row>
    <row r="32" spans="1:11" x14ac:dyDescent="0.2">
      <c r="A32" s="24" t="str">
        <f t="shared" si="0"/>
        <v/>
      </c>
      <c r="B32" s="43">
        <v>43586</v>
      </c>
      <c r="C32" s="44">
        <f>IF(HRM[[#This Row],[Date]]="","",HRM[[#This Row],[Date]])</f>
        <v>43586</v>
      </c>
      <c r="D32" s="45">
        <f>IF(HRM[[#This Row],[Date]]="","",HRM[[#This Row],[Date]])</f>
        <v>43586</v>
      </c>
      <c r="E32" s="46" t="s">
        <v>24</v>
      </c>
      <c r="F32" s="47" t="str">
        <f>IFERROR(IF(HRM[[#This Row],[Employee Name]]="","",VLOOKUP(HRM[[#This Row],[Employee Name]],'Employee Database'!B:K,2,0)),"")</f>
        <v>Field Force</v>
      </c>
      <c r="G32" s="51">
        <v>76507</v>
      </c>
      <c r="H32" s="49">
        <f>IFERROR(IF(HRM[[#This Row],[Employee Name]]="","",VLOOKUP(HRM[[#This Row],[Employee Name]],'Employee Database'!B:K,8,0)),"")</f>
        <v>5232.916666666667</v>
      </c>
      <c r="I32" s="49">
        <f>IFERROR(IF(HRM[[#This Row],[Employee Name]]="","",((VLOOKUP(HRM[[#This Row],[Employee Name]],'Employee Database'!B:K,9,0))*VLOOKUP(HRM[[#This Row],[Employee Name]],'Employee Database'!B:K,8,0))),"")</f>
        <v>313.97500000000002</v>
      </c>
      <c r="J32" s="49">
        <f>IFERROR(IF(HRM[[#This Row],[Employee Name]]="","",(VLOOKUP(HRM[[#This Row],[Employee Name]],'Employee Database'!B:K,10,0))*HRM[[#This Row],[Revenue generated by employee]]),"")</f>
        <v>765.07</v>
      </c>
      <c r="K32" s="49">
        <f>IF(COUNT(HRM[[#This Row],[Base salary]:[Comission]])=0,"",SUM(HRM[[#This Row],[Base salary]:[Comission]]))</f>
        <v>6311.961666666667</v>
      </c>
    </row>
    <row r="33" spans="1:11" x14ac:dyDescent="0.2">
      <c r="A33" s="24" t="str">
        <f t="shared" si="0"/>
        <v/>
      </c>
      <c r="B33" s="43">
        <v>43586</v>
      </c>
      <c r="C33" s="44">
        <f>IF(HRM[[#This Row],[Date]]="","",HRM[[#This Row],[Date]])</f>
        <v>43586</v>
      </c>
      <c r="D33" s="45">
        <f>IF(HRM[[#This Row],[Date]]="","",HRM[[#This Row],[Date]])</f>
        <v>43586</v>
      </c>
      <c r="E33" s="46" t="s">
        <v>25</v>
      </c>
      <c r="F33" s="47" t="str">
        <f>IFERROR(IF(HRM[[#This Row],[Employee Name]]="","",VLOOKUP(HRM[[#This Row],[Employee Name]],'Employee Database'!B:K,2,0)),"")</f>
        <v>Administrative</v>
      </c>
      <c r="G33" s="51">
        <v>0</v>
      </c>
      <c r="H33" s="49">
        <f>IFERROR(IF(HRM[[#This Row],[Employee Name]]="","",VLOOKUP(HRM[[#This Row],[Employee Name]],'Employee Database'!B:K,8,0)),"")</f>
        <v>6207.5</v>
      </c>
      <c r="I33" s="49">
        <f>IFERROR(IF(HRM[[#This Row],[Employee Name]]="","",((VLOOKUP(HRM[[#This Row],[Employee Name]],'Employee Database'!B:K,9,0))*VLOOKUP(HRM[[#This Row],[Employee Name]],'Employee Database'!B:K,8,0))),"")</f>
        <v>620.75</v>
      </c>
      <c r="J33" s="49">
        <f>IFERROR(IF(HRM[[#This Row],[Employee Name]]="","",(VLOOKUP(HRM[[#This Row],[Employee Name]],'Employee Database'!B:K,10,0))*HRM[[#This Row],[Revenue generated by employee]]),"")</f>
        <v>0</v>
      </c>
      <c r="K33" s="49">
        <f>IF(COUNT(HRM[[#This Row],[Base salary]:[Comission]])=0,"",SUM(HRM[[#This Row],[Base salary]:[Comission]]))</f>
        <v>6828.25</v>
      </c>
    </row>
    <row r="34" spans="1:11" x14ac:dyDescent="0.2">
      <c r="A34" s="24" t="str">
        <f t="shared" si="0"/>
        <v/>
      </c>
      <c r="B34" s="43">
        <v>43586</v>
      </c>
      <c r="C34" s="44">
        <f>IF(HRM[[#This Row],[Date]]="","",HRM[[#This Row],[Date]])</f>
        <v>43586</v>
      </c>
      <c r="D34" s="45">
        <f>IF(HRM[[#This Row],[Date]]="","",HRM[[#This Row],[Date]])</f>
        <v>43586</v>
      </c>
      <c r="E34" s="46" t="s">
        <v>27</v>
      </c>
      <c r="F34" s="47" t="str">
        <f>IFERROR(IF(HRM[[#This Row],[Employee Name]]="","",VLOOKUP(HRM[[#This Row],[Employee Name]],'Employee Database'!B:K,2,0)),"")</f>
        <v>Field Force</v>
      </c>
      <c r="G34" s="51">
        <v>0</v>
      </c>
      <c r="H34" s="49">
        <f>IFERROR(IF(HRM[[#This Row],[Employee Name]]="","",VLOOKUP(HRM[[#This Row],[Employee Name]],'Employee Database'!B:K,8,0)),"")</f>
        <v>4132.666666666667</v>
      </c>
      <c r="I34" s="49">
        <f>IFERROR(IF(HRM[[#This Row],[Employee Name]]="","",((VLOOKUP(HRM[[#This Row],[Employee Name]],'Employee Database'!B:K,9,0))*VLOOKUP(HRM[[#This Row],[Employee Name]],'Employee Database'!B:K,8,0))),"")</f>
        <v>247.96</v>
      </c>
      <c r="J34" s="49">
        <f>IFERROR(IF(HRM[[#This Row],[Employee Name]]="","",(VLOOKUP(HRM[[#This Row],[Employee Name]],'Employee Database'!B:K,10,0))*HRM[[#This Row],[Revenue generated by employee]]),"")</f>
        <v>0</v>
      </c>
      <c r="K34" s="49">
        <f>IF(COUNT(HRM[[#This Row],[Base salary]:[Comission]])=0,"",SUM(HRM[[#This Row],[Base salary]:[Comission]]))</f>
        <v>4380.626666666667</v>
      </c>
    </row>
    <row r="35" spans="1:11" x14ac:dyDescent="0.2">
      <c r="A35" s="24" t="str">
        <f t="shared" si="0"/>
        <v/>
      </c>
      <c r="B35" s="43">
        <v>43586</v>
      </c>
      <c r="C35" s="44">
        <f>IF(HRM[[#This Row],[Date]]="","",HRM[[#This Row],[Date]])</f>
        <v>43586</v>
      </c>
      <c r="D35" s="45">
        <f>IF(HRM[[#This Row],[Date]]="","",HRM[[#This Row],[Date]])</f>
        <v>43586</v>
      </c>
      <c r="E35" s="46" t="s">
        <v>28</v>
      </c>
      <c r="F35" s="47" t="str">
        <f>IFERROR(IF(HRM[[#This Row],[Employee Name]]="","",VLOOKUP(HRM[[#This Row],[Employee Name]],'Employee Database'!B:K,2,0)),"")</f>
        <v>IT</v>
      </c>
      <c r="G35" s="51">
        <v>0</v>
      </c>
      <c r="H35" s="49">
        <f>IFERROR(IF(HRM[[#This Row],[Employee Name]]="","",VLOOKUP(HRM[[#This Row],[Employee Name]],'Employee Database'!B:K,8,0)),"")</f>
        <v>6109.166666666667</v>
      </c>
      <c r="I35" s="49">
        <f>IFERROR(IF(HRM[[#This Row],[Employee Name]]="","",((VLOOKUP(HRM[[#This Row],[Employee Name]],'Employee Database'!B:K,9,0))*VLOOKUP(HRM[[#This Row],[Employee Name]],'Employee Database'!B:K,8,0))),"")</f>
        <v>610.91666666666674</v>
      </c>
      <c r="J35" s="49">
        <f>IFERROR(IF(HRM[[#This Row],[Employee Name]]="","",(VLOOKUP(HRM[[#This Row],[Employee Name]],'Employee Database'!B:K,10,0))*HRM[[#This Row],[Revenue generated by employee]]),"")</f>
        <v>0</v>
      </c>
      <c r="K35" s="49">
        <f>IF(COUNT(HRM[[#This Row],[Base salary]:[Comission]])=0,"",SUM(HRM[[#This Row],[Base salary]:[Comission]]))</f>
        <v>6720.0833333333339</v>
      </c>
    </row>
    <row r="36" spans="1:11" x14ac:dyDescent="0.2">
      <c r="A36" s="24" t="str">
        <f t="shared" si="0"/>
        <v/>
      </c>
      <c r="B36" s="43">
        <v>43586</v>
      </c>
      <c r="C36" s="44">
        <f>IF(HRM[[#This Row],[Date]]="","",HRM[[#This Row],[Date]])</f>
        <v>43586</v>
      </c>
      <c r="D36" s="45">
        <f>IF(HRM[[#This Row],[Date]]="","",HRM[[#This Row],[Date]])</f>
        <v>43586</v>
      </c>
      <c r="E36" s="46" t="s">
        <v>29</v>
      </c>
      <c r="F36" s="47" t="str">
        <f>IFERROR(IF(HRM[[#This Row],[Employee Name]]="","",VLOOKUP(HRM[[#This Row],[Employee Name]],'Employee Database'!B:K,2,0)),"")</f>
        <v>General Management</v>
      </c>
      <c r="G36" s="51">
        <v>0</v>
      </c>
      <c r="H36" s="49">
        <f>IFERROR(IF(HRM[[#This Row],[Employee Name]]="","",VLOOKUP(HRM[[#This Row],[Employee Name]],'Employee Database'!B:K,8,0)),"")</f>
        <v>10388.76923076923</v>
      </c>
      <c r="I36" s="49">
        <f>IFERROR(IF(HRM[[#This Row],[Employee Name]]="","",((VLOOKUP(HRM[[#This Row],[Employee Name]],'Employee Database'!B:K,9,0))*VLOOKUP(HRM[[#This Row],[Employee Name]],'Employee Database'!B:K,8,0))),"")</f>
        <v>1246.6523076923077</v>
      </c>
      <c r="J36" s="49">
        <f>IFERROR(IF(HRM[[#This Row],[Employee Name]]="","",(VLOOKUP(HRM[[#This Row],[Employee Name]],'Employee Database'!B:K,10,0))*HRM[[#This Row],[Revenue generated by employee]]),"")</f>
        <v>0</v>
      </c>
      <c r="K36" s="49">
        <f>IF(COUNT(HRM[[#This Row],[Base salary]:[Comission]])=0,"",SUM(HRM[[#This Row],[Base salary]:[Comission]]))</f>
        <v>11635.421538461538</v>
      </c>
    </row>
    <row r="37" spans="1:11" x14ac:dyDescent="0.2">
      <c r="A37" s="24" t="str">
        <f t="shared" si="0"/>
        <v/>
      </c>
      <c r="B37" s="43">
        <v>43586</v>
      </c>
      <c r="C37" s="44">
        <f>IF(HRM[[#This Row],[Date]]="","",HRM[[#This Row],[Date]])</f>
        <v>43586</v>
      </c>
      <c r="D37" s="45">
        <f>IF(HRM[[#This Row],[Date]]="","",HRM[[#This Row],[Date]])</f>
        <v>43586</v>
      </c>
      <c r="E37" s="46" t="s">
        <v>30</v>
      </c>
      <c r="F37" s="47" t="str">
        <f>IFERROR(IF(HRM[[#This Row],[Employee Name]]="","",VLOOKUP(HRM[[#This Row],[Employee Name]],'Employee Database'!B:K,2,0)),"")</f>
        <v>Administrative</v>
      </c>
      <c r="G37" s="51">
        <v>0</v>
      </c>
      <c r="H37" s="49">
        <f>IFERROR(IF(HRM[[#This Row],[Employee Name]]="","",VLOOKUP(HRM[[#This Row],[Employee Name]],'Employee Database'!B:K,8,0)),"")</f>
        <v>4230</v>
      </c>
      <c r="I37" s="49">
        <f>IFERROR(IF(HRM[[#This Row],[Employee Name]]="","",((VLOOKUP(HRM[[#This Row],[Employee Name]],'Employee Database'!B:K,9,0))*VLOOKUP(HRM[[#This Row],[Employee Name]],'Employee Database'!B:K,8,0))),"")</f>
        <v>423</v>
      </c>
      <c r="J37" s="49">
        <f>IFERROR(IF(HRM[[#This Row],[Employee Name]]="","",(VLOOKUP(HRM[[#This Row],[Employee Name]],'Employee Database'!B:K,10,0))*HRM[[#This Row],[Revenue generated by employee]]),"")</f>
        <v>0</v>
      </c>
      <c r="K37" s="49">
        <f>IF(COUNT(HRM[[#This Row],[Base salary]:[Comission]])=0,"",SUM(HRM[[#This Row],[Base salary]:[Comission]]))</f>
        <v>4653</v>
      </c>
    </row>
    <row r="38" spans="1:11" x14ac:dyDescent="0.2">
      <c r="A38" s="24" t="str">
        <f t="shared" si="0"/>
        <v/>
      </c>
      <c r="B38" s="43">
        <v>43617</v>
      </c>
      <c r="C38" s="44">
        <f>IF(HRM[[#This Row],[Date]]="","",HRM[[#This Row],[Date]])</f>
        <v>43617</v>
      </c>
      <c r="D38" s="45">
        <f>IF(HRM[[#This Row],[Date]]="","",HRM[[#This Row],[Date]])</f>
        <v>43617</v>
      </c>
      <c r="E38" s="46" t="s">
        <v>23</v>
      </c>
      <c r="F38" s="47" t="str">
        <f>IFERROR(IF(HRM[[#This Row],[Employee Name]]="","",VLOOKUP(HRM[[#This Row],[Employee Name]],'Employee Database'!B:K,2,0)),"")</f>
        <v>Field Force</v>
      </c>
      <c r="G38" s="51">
        <v>123613</v>
      </c>
      <c r="H38" s="49">
        <f>IFERROR(IF(HRM[[#This Row],[Employee Name]]="","",VLOOKUP(HRM[[#This Row],[Employee Name]],'Employee Database'!B:K,8,0)),"")</f>
        <v>6139.1333333333341</v>
      </c>
      <c r="I38" s="49">
        <f>IFERROR(IF(HRM[[#This Row],[Employee Name]]="","",((VLOOKUP(HRM[[#This Row],[Employee Name]],'Employee Database'!B:K,9,0))*VLOOKUP(HRM[[#This Row],[Employee Name]],'Employee Database'!B:K,8,0))),"")</f>
        <v>368.34800000000001</v>
      </c>
      <c r="J38" s="49">
        <f>IFERROR(IF(HRM[[#This Row],[Employee Name]]="","",(VLOOKUP(HRM[[#This Row],[Employee Name]],'Employee Database'!B:K,10,0))*HRM[[#This Row],[Revenue generated by employee]]),"")</f>
        <v>988.904</v>
      </c>
      <c r="K38" s="49">
        <f>IF(COUNT(HRM[[#This Row],[Base salary]:[Comission]])=0,"",SUM(HRM[[#This Row],[Base salary]:[Comission]]))</f>
        <v>7496.3853333333336</v>
      </c>
    </row>
    <row r="39" spans="1:11" x14ac:dyDescent="0.2">
      <c r="A39" s="24" t="str">
        <f t="shared" si="0"/>
        <v/>
      </c>
      <c r="B39" s="43">
        <v>43617</v>
      </c>
      <c r="C39" s="44">
        <f>IF(HRM[[#This Row],[Date]]="","",HRM[[#This Row],[Date]])</f>
        <v>43617</v>
      </c>
      <c r="D39" s="45">
        <f>IF(HRM[[#This Row],[Date]]="","",HRM[[#This Row],[Date]])</f>
        <v>43617</v>
      </c>
      <c r="E39" s="46" t="s">
        <v>24</v>
      </c>
      <c r="F39" s="47" t="str">
        <f>IFERROR(IF(HRM[[#This Row],[Employee Name]]="","",VLOOKUP(HRM[[#This Row],[Employee Name]],'Employee Database'!B:K,2,0)),"")</f>
        <v>Field Force</v>
      </c>
      <c r="G39" s="51">
        <v>106363</v>
      </c>
      <c r="H39" s="49">
        <f>IFERROR(IF(HRM[[#This Row],[Employee Name]]="","",VLOOKUP(HRM[[#This Row],[Employee Name]],'Employee Database'!B:K,8,0)),"")</f>
        <v>5232.916666666667</v>
      </c>
      <c r="I39" s="49">
        <f>IFERROR(IF(HRM[[#This Row],[Employee Name]]="","",((VLOOKUP(HRM[[#This Row],[Employee Name]],'Employee Database'!B:K,9,0))*VLOOKUP(HRM[[#This Row],[Employee Name]],'Employee Database'!B:K,8,0))),"")</f>
        <v>313.97500000000002</v>
      </c>
      <c r="J39" s="49">
        <f>IFERROR(IF(HRM[[#This Row],[Employee Name]]="","",(VLOOKUP(HRM[[#This Row],[Employee Name]],'Employee Database'!B:K,10,0))*HRM[[#This Row],[Revenue generated by employee]]),"")</f>
        <v>1063.6300000000001</v>
      </c>
      <c r="K39" s="49">
        <f>IF(COUNT(HRM[[#This Row],[Base salary]:[Comission]])=0,"",SUM(HRM[[#This Row],[Base salary]:[Comission]]))</f>
        <v>6610.5216666666674</v>
      </c>
    </row>
    <row r="40" spans="1:11" x14ac:dyDescent="0.2">
      <c r="A40" s="24" t="str">
        <f t="shared" si="0"/>
        <v/>
      </c>
      <c r="B40" s="43">
        <v>43617</v>
      </c>
      <c r="C40" s="44">
        <f>IF(HRM[[#This Row],[Date]]="","",HRM[[#This Row],[Date]])</f>
        <v>43617</v>
      </c>
      <c r="D40" s="45">
        <f>IF(HRM[[#This Row],[Date]]="","",HRM[[#This Row],[Date]])</f>
        <v>43617</v>
      </c>
      <c r="E40" s="46" t="s">
        <v>25</v>
      </c>
      <c r="F40" s="47" t="str">
        <f>IFERROR(IF(HRM[[#This Row],[Employee Name]]="","",VLOOKUP(HRM[[#This Row],[Employee Name]],'Employee Database'!B:K,2,0)),"")</f>
        <v>Administrative</v>
      </c>
      <c r="G40" s="51">
        <v>0</v>
      </c>
      <c r="H40" s="49">
        <f>IFERROR(IF(HRM[[#This Row],[Employee Name]]="","",VLOOKUP(HRM[[#This Row],[Employee Name]],'Employee Database'!B:K,8,0)),"")</f>
        <v>6207.5</v>
      </c>
      <c r="I40" s="49">
        <f>IFERROR(IF(HRM[[#This Row],[Employee Name]]="","",((VLOOKUP(HRM[[#This Row],[Employee Name]],'Employee Database'!B:K,9,0))*VLOOKUP(HRM[[#This Row],[Employee Name]],'Employee Database'!B:K,8,0))),"")</f>
        <v>620.75</v>
      </c>
      <c r="J40" s="49">
        <f>IFERROR(IF(HRM[[#This Row],[Employee Name]]="","",(VLOOKUP(HRM[[#This Row],[Employee Name]],'Employee Database'!B:K,10,0))*HRM[[#This Row],[Revenue generated by employee]]),"")</f>
        <v>0</v>
      </c>
      <c r="K40" s="49">
        <f>IF(COUNT(HRM[[#This Row],[Base salary]:[Comission]])=0,"",SUM(HRM[[#This Row],[Base salary]:[Comission]]))</f>
        <v>6828.25</v>
      </c>
    </row>
    <row r="41" spans="1:11" x14ac:dyDescent="0.2">
      <c r="A41" s="24" t="str">
        <f t="shared" si="0"/>
        <v/>
      </c>
      <c r="B41" s="43">
        <v>43617</v>
      </c>
      <c r="C41" s="44">
        <f>IF(HRM[[#This Row],[Date]]="","",HRM[[#This Row],[Date]])</f>
        <v>43617</v>
      </c>
      <c r="D41" s="45">
        <f>IF(HRM[[#This Row],[Date]]="","",HRM[[#This Row],[Date]])</f>
        <v>43617</v>
      </c>
      <c r="E41" s="46" t="s">
        <v>26</v>
      </c>
      <c r="F41" s="47" t="str">
        <f>IFERROR(IF(HRM[[#This Row],[Employee Name]]="","",VLOOKUP(HRM[[#This Row],[Employee Name]],'Employee Database'!B:K,2,0)),"")</f>
        <v>Field Force</v>
      </c>
      <c r="G41" s="51">
        <v>0</v>
      </c>
      <c r="H41" s="49">
        <f>IFERROR(IF(HRM[[#This Row],[Employee Name]]="","",VLOOKUP(HRM[[#This Row],[Employee Name]],'Employee Database'!B:K,8,0)),"")</f>
        <v>6858.083333333333</v>
      </c>
      <c r="I41" s="49">
        <f>IFERROR(IF(HRM[[#This Row],[Employee Name]]="","",((VLOOKUP(HRM[[#This Row],[Employee Name]],'Employee Database'!B:K,9,0))*VLOOKUP(HRM[[#This Row],[Employee Name]],'Employee Database'!B:K,8,0))),"")</f>
        <v>411.48499999999996</v>
      </c>
      <c r="J41" s="49">
        <f>IFERROR(IF(HRM[[#This Row],[Employee Name]]="","",(VLOOKUP(HRM[[#This Row],[Employee Name]],'Employee Database'!B:K,10,0))*HRM[[#This Row],[Revenue generated by employee]]),"")</f>
        <v>0</v>
      </c>
      <c r="K41" s="49">
        <f>IF(COUNT(HRM[[#This Row],[Base salary]:[Comission]])=0,"",SUM(HRM[[#This Row],[Base salary]:[Comission]]))</f>
        <v>7269.5683333333327</v>
      </c>
    </row>
    <row r="42" spans="1:11" x14ac:dyDescent="0.2">
      <c r="A42" s="24" t="str">
        <f t="shared" si="0"/>
        <v/>
      </c>
      <c r="B42" s="43">
        <v>43617</v>
      </c>
      <c r="C42" s="44">
        <f>IF(HRM[[#This Row],[Date]]="","",HRM[[#This Row],[Date]])</f>
        <v>43617</v>
      </c>
      <c r="D42" s="45">
        <f>IF(HRM[[#This Row],[Date]]="","",HRM[[#This Row],[Date]])</f>
        <v>43617</v>
      </c>
      <c r="E42" s="46" t="s">
        <v>27</v>
      </c>
      <c r="F42" s="47" t="str">
        <f>IFERROR(IF(HRM[[#This Row],[Employee Name]]="","",VLOOKUP(HRM[[#This Row],[Employee Name]],'Employee Database'!B:K,2,0)),"")</f>
        <v>Field Force</v>
      </c>
      <c r="G42" s="51">
        <v>0</v>
      </c>
      <c r="H42" s="49">
        <f>IFERROR(IF(HRM[[#This Row],[Employee Name]]="","",VLOOKUP(HRM[[#This Row],[Employee Name]],'Employee Database'!B:K,8,0)),"")</f>
        <v>4132.666666666667</v>
      </c>
      <c r="I42" s="49">
        <f>IFERROR(IF(HRM[[#This Row],[Employee Name]]="","",((VLOOKUP(HRM[[#This Row],[Employee Name]],'Employee Database'!B:K,9,0))*VLOOKUP(HRM[[#This Row],[Employee Name]],'Employee Database'!B:K,8,0))),"")</f>
        <v>247.96</v>
      </c>
      <c r="J42" s="49">
        <f>IFERROR(IF(HRM[[#This Row],[Employee Name]]="","",(VLOOKUP(HRM[[#This Row],[Employee Name]],'Employee Database'!B:K,10,0))*HRM[[#This Row],[Revenue generated by employee]]),"")</f>
        <v>0</v>
      </c>
      <c r="K42" s="49">
        <f>IF(COUNT(HRM[[#This Row],[Base salary]:[Comission]])=0,"",SUM(HRM[[#This Row],[Base salary]:[Comission]]))</f>
        <v>4380.626666666667</v>
      </c>
    </row>
    <row r="43" spans="1:11" x14ac:dyDescent="0.2">
      <c r="A43" s="24" t="str">
        <f t="shared" si="0"/>
        <v/>
      </c>
      <c r="B43" s="43">
        <v>43617</v>
      </c>
      <c r="C43" s="44">
        <f>IF(HRM[[#This Row],[Date]]="","",HRM[[#This Row],[Date]])</f>
        <v>43617</v>
      </c>
      <c r="D43" s="45">
        <f>IF(HRM[[#This Row],[Date]]="","",HRM[[#This Row],[Date]])</f>
        <v>43617</v>
      </c>
      <c r="E43" s="46" t="s">
        <v>28</v>
      </c>
      <c r="F43" s="47" t="str">
        <f>IFERROR(IF(HRM[[#This Row],[Employee Name]]="","",VLOOKUP(HRM[[#This Row],[Employee Name]],'Employee Database'!B:K,2,0)),"")</f>
        <v>IT</v>
      </c>
      <c r="G43" s="51">
        <v>0</v>
      </c>
      <c r="H43" s="49">
        <f>IFERROR(IF(HRM[[#This Row],[Employee Name]]="","",VLOOKUP(HRM[[#This Row],[Employee Name]],'Employee Database'!B:K,8,0)),"")</f>
        <v>6109.166666666667</v>
      </c>
      <c r="I43" s="49">
        <f>IFERROR(IF(HRM[[#This Row],[Employee Name]]="","",((VLOOKUP(HRM[[#This Row],[Employee Name]],'Employee Database'!B:K,9,0))*VLOOKUP(HRM[[#This Row],[Employee Name]],'Employee Database'!B:K,8,0))),"")</f>
        <v>610.91666666666674</v>
      </c>
      <c r="J43" s="49">
        <f>IFERROR(IF(HRM[[#This Row],[Employee Name]]="","",(VLOOKUP(HRM[[#This Row],[Employee Name]],'Employee Database'!B:K,10,0))*HRM[[#This Row],[Revenue generated by employee]]),"")</f>
        <v>0</v>
      </c>
      <c r="K43" s="49">
        <f>IF(COUNT(HRM[[#This Row],[Base salary]:[Comission]])=0,"",SUM(HRM[[#This Row],[Base salary]:[Comission]]))</f>
        <v>6720.0833333333339</v>
      </c>
    </row>
    <row r="44" spans="1:11" x14ac:dyDescent="0.2">
      <c r="A44" s="24" t="str">
        <f t="shared" si="0"/>
        <v/>
      </c>
      <c r="B44" s="43">
        <v>43617</v>
      </c>
      <c r="C44" s="44">
        <f>IF(HRM[[#This Row],[Date]]="","",HRM[[#This Row],[Date]])</f>
        <v>43617</v>
      </c>
      <c r="D44" s="45">
        <f>IF(HRM[[#This Row],[Date]]="","",HRM[[#This Row],[Date]])</f>
        <v>43617</v>
      </c>
      <c r="E44" s="46" t="s">
        <v>29</v>
      </c>
      <c r="F44" s="47" t="str">
        <f>IFERROR(IF(HRM[[#This Row],[Employee Name]]="","",VLOOKUP(HRM[[#This Row],[Employee Name]],'Employee Database'!B:K,2,0)),"")</f>
        <v>General Management</v>
      </c>
      <c r="G44" s="51">
        <v>0</v>
      </c>
      <c r="H44" s="49">
        <f>IFERROR(IF(HRM[[#This Row],[Employee Name]]="","",VLOOKUP(HRM[[#This Row],[Employee Name]],'Employee Database'!B:K,8,0)),"")</f>
        <v>10388.76923076923</v>
      </c>
      <c r="I44" s="49">
        <f>IFERROR(IF(HRM[[#This Row],[Employee Name]]="","",((VLOOKUP(HRM[[#This Row],[Employee Name]],'Employee Database'!B:K,9,0))*VLOOKUP(HRM[[#This Row],[Employee Name]],'Employee Database'!B:K,8,0))),"")</f>
        <v>1246.6523076923077</v>
      </c>
      <c r="J44" s="49">
        <f>IFERROR(IF(HRM[[#This Row],[Employee Name]]="","",(VLOOKUP(HRM[[#This Row],[Employee Name]],'Employee Database'!B:K,10,0))*HRM[[#This Row],[Revenue generated by employee]]),"")</f>
        <v>0</v>
      </c>
      <c r="K44" s="49">
        <f>IF(COUNT(HRM[[#This Row],[Base salary]:[Comission]])=0,"",SUM(HRM[[#This Row],[Base salary]:[Comission]]))</f>
        <v>11635.421538461538</v>
      </c>
    </row>
    <row r="45" spans="1:11" x14ac:dyDescent="0.2">
      <c r="A45" s="24" t="str">
        <f t="shared" si="0"/>
        <v/>
      </c>
      <c r="B45" s="43">
        <v>43617</v>
      </c>
      <c r="C45" s="44">
        <f>IF(HRM[[#This Row],[Date]]="","",HRM[[#This Row],[Date]])</f>
        <v>43617</v>
      </c>
      <c r="D45" s="45">
        <f>IF(HRM[[#This Row],[Date]]="","",HRM[[#This Row],[Date]])</f>
        <v>43617</v>
      </c>
      <c r="E45" s="46" t="s">
        <v>30</v>
      </c>
      <c r="F45" s="47" t="str">
        <f>IFERROR(IF(HRM[[#This Row],[Employee Name]]="","",VLOOKUP(HRM[[#This Row],[Employee Name]],'Employee Database'!B:K,2,0)),"")</f>
        <v>Administrative</v>
      </c>
      <c r="G45" s="51">
        <v>0</v>
      </c>
      <c r="H45" s="49">
        <f>IFERROR(IF(HRM[[#This Row],[Employee Name]]="","",VLOOKUP(HRM[[#This Row],[Employee Name]],'Employee Database'!B:K,8,0)),"")</f>
        <v>4230</v>
      </c>
      <c r="I45" s="49">
        <f>IFERROR(IF(HRM[[#This Row],[Employee Name]]="","",((VLOOKUP(HRM[[#This Row],[Employee Name]],'Employee Database'!B:K,9,0))*VLOOKUP(HRM[[#This Row],[Employee Name]],'Employee Database'!B:K,8,0))),"")</f>
        <v>423</v>
      </c>
      <c r="J45" s="49">
        <f>IFERROR(IF(HRM[[#This Row],[Employee Name]]="","",(VLOOKUP(HRM[[#This Row],[Employee Name]],'Employee Database'!B:K,10,0))*HRM[[#This Row],[Revenue generated by employee]]),"")</f>
        <v>0</v>
      </c>
      <c r="K45" s="49">
        <f>IF(COUNT(HRM[[#This Row],[Base salary]:[Comission]])=0,"",SUM(HRM[[#This Row],[Base salary]:[Comission]]))</f>
        <v>4653</v>
      </c>
    </row>
    <row r="46" spans="1:11" x14ac:dyDescent="0.2">
      <c r="A46" s="24" t="str">
        <f t="shared" si="0"/>
        <v/>
      </c>
      <c r="B46" s="43">
        <v>43647</v>
      </c>
      <c r="C46" s="44">
        <f>IF(HRM[[#This Row],[Date]]="","",HRM[[#This Row],[Date]])</f>
        <v>43647</v>
      </c>
      <c r="D46" s="45">
        <f>IF(HRM[[#This Row],[Date]]="","",HRM[[#This Row],[Date]])</f>
        <v>43647</v>
      </c>
      <c r="E46" s="46" t="s">
        <v>23</v>
      </c>
      <c r="F46" s="47" t="str">
        <f>IFERROR(IF(HRM[[#This Row],[Employee Name]]="","",VLOOKUP(HRM[[#This Row],[Employee Name]],'Employee Database'!B:K,2,0)),"")</f>
        <v>Field Force</v>
      </c>
      <c r="G46" s="51">
        <v>84015</v>
      </c>
      <c r="H46" s="49">
        <f>IFERROR(IF(HRM[[#This Row],[Employee Name]]="","",VLOOKUP(HRM[[#This Row],[Employee Name]],'Employee Database'!B:K,8,0)),"")</f>
        <v>6139.1333333333341</v>
      </c>
      <c r="I46" s="49">
        <f>IFERROR(IF(HRM[[#This Row],[Employee Name]]="","",((VLOOKUP(HRM[[#This Row],[Employee Name]],'Employee Database'!B:K,9,0))*VLOOKUP(HRM[[#This Row],[Employee Name]],'Employee Database'!B:K,8,0))),"")</f>
        <v>368.34800000000001</v>
      </c>
      <c r="J46" s="49">
        <f>IFERROR(IF(HRM[[#This Row],[Employee Name]]="","",(VLOOKUP(HRM[[#This Row],[Employee Name]],'Employee Database'!B:K,10,0))*HRM[[#This Row],[Revenue generated by employee]]),"")</f>
        <v>672.12</v>
      </c>
      <c r="K46" s="49">
        <f>IF(COUNT(HRM[[#This Row],[Base salary]:[Comission]])=0,"",SUM(HRM[[#This Row],[Base salary]:[Comission]]))</f>
        <v>7179.601333333334</v>
      </c>
    </row>
    <row r="47" spans="1:11" x14ac:dyDescent="0.2">
      <c r="A47" s="24" t="str">
        <f t="shared" si="0"/>
        <v/>
      </c>
      <c r="B47" s="43">
        <v>43647</v>
      </c>
      <c r="C47" s="44">
        <f>IF(HRM[[#This Row],[Date]]="","",HRM[[#This Row],[Date]])</f>
        <v>43647</v>
      </c>
      <c r="D47" s="45">
        <f>IF(HRM[[#This Row],[Date]]="","",HRM[[#This Row],[Date]])</f>
        <v>43647</v>
      </c>
      <c r="E47" s="46" t="s">
        <v>24</v>
      </c>
      <c r="F47" s="47" t="str">
        <f>IFERROR(IF(HRM[[#This Row],[Employee Name]]="","",VLOOKUP(HRM[[#This Row],[Employee Name]],'Employee Database'!B:K,2,0)),"")</f>
        <v>Field Force</v>
      </c>
      <c r="G47" s="51">
        <v>117475</v>
      </c>
      <c r="H47" s="49">
        <f>IFERROR(IF(HRM[[#This Row],[Employee Name]]="","",VLOOKUP(HRM[[#This Row],[Employee Name]],'Employee Database'!B:K,8,0)),"")</f>
        <v>5232.916666666667</v>
      </c>
      <c r="I47" s="49">
        <f>IFERROR(IF(HRM[[#This Row],[Employee Name]]="","",((VLOOKUP(HRM[[#This Row],[Employee Name]],'Employee Database'!B:K,9,0))*VLOOKUP(HRM[[#This Row],[Employee Name]],'Employee Database'!B:K,8,0))),"")</f>
        <v>313.97500000000002</v>
      </c>
      <c r="J47" s="49">
        <f>IFERROR(IF(HRM[[#This Row],[Employee Name]]="","",(VLOOKUP(HRM[[#This Row],[Employee Name]],'Employee Database'!B:K,10,0))*HRM[[#This Row],[Revenue generated by employee]]),"")</f>
        <v>1174.75</v>
      </c>
      <c r="K47" s="49">
        <f>IF(COUNT(HRM[[#This Row],[Base salary]:[Comission]])=0,"",SUM(HRM[[#This Row],[Base salary]:[Comission]]))</f>
        <v>6721.6416666666673</v>
      </c>
    </row>
    <row r="48" spans="1:11" x14ac:dyDescent="0.2">
      <c r="A48" s="24" t="str">
        <f t="shared" si="0"/>
        <v/>
      </c>
      <c r="B48" s="43">
        <v>43647</v>
      </c>
      <c r="C48" s="44">
        <f>IF(HRM[[#This Row],[Date]]="","",HRM[[#This Row],[Date]])</f>
        <v>43647</v>
      </c>
      <c r="D48" s="45">
        <f>IF(HRM[[#This Row],[Date]]="","",HRM[[#This Row],[Date]])</f>
        <v>43647</v>
      </c>
      <c r="E48" s="46" t="s">
        <v>25</v>
      </c>
      <c r="F48" s="47" t="str">
        <f>IFERROR(IF(HRM[[#This Row],[Employee Name]]="","",VLOOKUP(HRM[[#This Row],[Employee Name]],'Employee Database'!B:K,2,0)),"")</f>
        <v>Administrative</v>
      </c>
      <c r="G48" s="51">
        <v>0</v>
      </c>
      <c r="H48" s="49">
        <f>IFERROR(IF(HRM[[#This Row],[Employee Name]]="","",VLOOKUP(HRM[[#This Row],[Employee Name]],'Employee Database'!B:K,8,0)),"")</f>
        <v>6207.5</v>
      </c>
      <c r="I48" s="49">
        <f>IFERROR(IF(HRM[[#This Row],[Employee Name]]="","",((VLOOKUP(HRM[[#This Row],[Employee Name]],'Employee Database'!B:K,9,0))*VLOOKUP(HRM[[#This Row],[Employee Name]],'Employee Database'!B:K,8,0))),"")</f>
        <v>620.75</v>
      </c>
      <c r="J48" s="49">
        <f>IFERROR(IF(HRM[[#This Row],[Employee Name]]="","",(VLOOKUP(HRM[[#This Row],[Employee Name]],'Employee Database'!B:K,10,0))*HRM[[#This Row],[Revenue generated by employee]]),"")</f>
        <v>0</v>
      </c>
      <c r="K48" s="49">
        <f>IF(COUNT(HRM[[#This Row],[Base salary]:[Comission]])=0,"",SUM(HRM[[#This Row],[Base salary]:[Comission]]))</f>
        <v>6828.25</v>
      </c>
    </row>
    <row r="49" spans="1:11" x14ac:dyDescent="0.2">
      <c r="A49" s="24" t="str">
        <f t="shared" si="0"/>
        <v/>
      </c>
      <c r="B49" s="43">
        <v>43647</v>
      </c>
      <c r="C49" s="44">
        <f>IF(HRM[[#This Row],[Date]]="","",HRM[[#This Row],[Date]])</f>
        <v>43647</v>
      </c>
      <c r="D49" s="45">
        <f>IF(HRM[[#This Row],[Date]]="","",HRM[[#This Row],[Date]])</f>
        <v>43647</v>
      </c>
      <c r="E49" s="46" t="s">
        <v>26</v>
      </c>
      <c r="F49" s="47" t="str">
        <f>IFERROR(IF(HRM[[#This Row],[Employee Name]]="","",VLOOKUP(HRM[[#This Row],[Employee Name]],'Employee Database'!B:K,2,0)),"")</f>
        <v>Field Force</v>
      </c>
      <c r="G49" s="51">
        <v>109073</v>
      </c>
      <c r="H49" s="49">
        <f>IFERROR(IF(HRM[[#This Row],[Employee Name]]="","",VLOOKUP(HRM[[#This Row],[Employee Name]],'Employee Database'!B:K,8,0)),"")</f>
        <v>6858.083333333333</v>
      </c>
      <c r="I49" s="49">
        <f>IFERROR(IF(HRM[[#This Row],[Employee Name]]="","",((VLOOKUP(HRM[[#This Row],[Employee Name]],'Employee Database'!B:K,9,0))*VLOOKUP(HRM[[#This Row],[Employee Name]],'Employee Database'!B:K,8,0))),"")</f>
        <v>411.48499999999996</v>
      </c>
      <c r="J49" s="49">
        <f>IFERROR(IF(HRM[[#This Row],[Employee Name]]="","",(VLOOKUP(HRM[[#This Row],[Employee Name]],'Employee Database'!B:K,10,0))*HRM[[#This Row],[Revenue generated by employee]]),"")</f>
        <v>1090.73</v>
      </c>
      <c r="K49" s="49">
        <f>IF(COUNT(HRM[[#This Row],[Base salary]:[Comission]])=0,"",SUM(HRM[[#This Row],[Base salary]:[Comission]]))</f>
        <v>8360.2983333333323</v>
      </c>
    </row>
    <row r="50" spans="1:11" x14ac:dyDescent="0.2">
      <c r="A50" s="24" t="str">
        <f t="shared" si="0"/>
        <v/>
      </c>
      <c r="B50" s="43">
        <v>43647</v>
      </c>
      <c r="C50" s="44">
        <f>IF(HRM[[#This Row],[Date]]="","",HRM[[#This Row],[Date]])</f>
        <v>43647</v>
      </c>
      <c r="D50" s="45">
        <f>IF(HRM[[#This Row],[Date]]="","",HRM[[#This Row],[Date]])</f>
        <v>43647</v>
      </c>
      <c r="E50" s="46" t="s">
        <v>27</v>
      </c>
      <c r="F50" s="47" t="str">
        <f>IFERROR(IF(HRM[[#This Row],[Employee Name]]="","",VLOOKUP(HRM[[#This Row],[Employee Name]],'Employee Database'!B:K,2,0)),"")</f>
        <v>Field Force</v>
      </c>
      <c r="G50" s="51">
        <v>0</v>
      </c>
      <c r="H50" s="49">
        <f>IFERROR(IF(HRM[[#This Row],[Employee Name]]="","",VLOOKUP(HRM[[#This Row],[Employee Name]],'Employee Database'!B:K,8,0)),"")</f>
        <v>4132.666666666667</v>
      </c>
      <c r="I50" s="49">
        <f>IFERROR(IF(HRM[[#This Row],[Employee Name]]="","",((VLOOKUP(HRM[[#This Row],[Employee Name]],'Employee Database'!B:K,9,0))*VLOOKUP(HRM[[#This Row],[Employee Name]],'Employee Database'!B:K,8,0))),"")</f>
        <v>247.96</v>
      </c>
      <c r="J50" s="49">
        <f>IFERROR(IF(HRM[[#This Row],[Employee Name]]="","",(VLOOKUP(HRM[[#This Row],[Employee Name]],'Employee Database'!B:K,10,0))*HRM[[#This Row],[Revenue generated by employee]]),"")</f>
        <v>0</v>
      </c>
      <c r="K50" s="49">
        <f>IF(COUNT(HRM[[#This Row],[Base salary]:[Comission]])=0,"",SUM(HRM[[#This Row],[Base salary]:[Comission]]))</f>
        <v>4380.626666666667</v>
      </c>
    </row>
    <row r="51" spans="1:11" x14ac:dyDescent="0.2">
      <c r="A51" s="24" t="str">
        <f t="shared" si="0"/>
        <v/>
      </c>
      <c r="B51" s="43">
        <v>43647</v>
      </c>
      <c r="C51" s="44">
        <f>IF(HRM[[#This Row],[Date]]="","",HRM[[#This Row],[Date]])</f>
        <v>43647</v>
      </c>
      <c r="D51" s="45">
        <f>IF(HRM[[#This Row],[Date]]="","",HRM[[#This Row],[Date]])</f>
        <v>43647</v>
      </c>
      <c r="E51" s="46" t="s">
        <v>28</v>
      </c>
      <c r="F51" s="47" t="str">
        <f>IFERROR(IF(HRM[[#This Row],[Employee Name]]="","",VLOOKUP(HRM[[#This Row],[Employee Name]],'Employee Database'!B:K,2,0)),"")</f>
        <v>IT</v>
      </c>
      <c r="G51" s="51">
        <v>0</v>
      </c>
      <c r="H51" s="49">
        <f>IFERROR(IF(HRM[[#This Row],[Employee Name]]="","",VLOOKUP(HRM[[#This Row],[Employee Name]],'Employee Database'!B:K,8,0)),"")</f>
        <v>6109.166666666667</v>
      </c>
      <c r="I51" s="49">
        <f>IFERROR(IF(HRM[[#This Row],[Employee Name]]="","",((VLOOKUP(HRM[[#This Row],[Employee Name]],'Employee Database'!B:K,9,0))*VLOOKUP(HRM[[#This Row],[Employee Name]],'Employee Database'!B:K,8,0))),"")</f>
        <v>610.91666666666674</v>
      </c>
      <c r="J51" s="49">
        <f>IFERROR(IF(HRM[[#This Row],[Employee Name]]="","",(VLOOKUP(HRM[[#This Row],[Employee Name]],'Employee Database'!B:K,10,0))*HRM[[#This Row],[Revenue generated by employee]]),"")</f>
        <v>0</v>
      </c>
      <c r="K51" s="49">
        <f>IF(COUNT(HRM[[#This Row],[Base salary]:[Comission]])=0,"",SUM(HRM[[#This Row],[Base salary]:[Comission]]))</f>
        <v>6720.0833333333339</v>
      </c>
    </row>
    <row r="52" spans="1:11" x14ac:dyDescent="0.2">
      <c r="A52" s="24" t="str">
        <f t="shared" si="0"/>
        <v/>
      </c>
      <c r="B52" s="43">
        <v>43647</v>
      </c>
      <c r="C52" s="44">
        <f>IF(HRM[[#This Row],[Date]]="","",HRM[[#This Row],[Date]])</f>
        <v>43647</v>
      </c>
      <c r="D52" s="45">
        <f>IF(HRM[[#This Row],[Date]]="","",HRM[[#This Row],[Date]])</f>
        <v>43647</v>
      </c>
      <c r="E52" s="46" t="s">
        <v>29</v>
      </c>
      <c r="F52" s="47" t="str">
        <f>IFERROR(IF(HRM[[#This Row],[Employee Name]]="","",VLOOKUP(HRM[[#This Row],[Employee Name]],'Employee Database'!B:K,2,0)),"")</f>
        <v>General Management</v>
      </c>
      <c r="G52" s="51">
        <v>0</v>
      </c>
      <c r="H52" s="49">
        <f>IFERROR(IF(HRM[[#This Row],[Employee Name]]="","",VLOOKUP(HRM[[#This Row],[Employee Name]],'Employee Database'!B:K,8,0)),"")</f>
        <v>10388.76923076923</v>
      </c>
      <c r="I52" s="49">
        <f>IFERROR(IF(HRM[[#This Row],[Employee Name]]="","",((VLOOKUP(HRM[[#This Row],[Employee Name]],'Employee Database'!B:K,9,0))*VLOOKUP(HRM[[#This Row],[Employee Name]],'Employee Database'!B:K,8,0))),"")</f>
        <v>1246.6523076923077</v>
      </c>
      <c r="J52" s="49">
        <f>IFERROR(IF(HRM[[#This Row],[Employee Name]]="","",(VLOOKUP(HRM[[#This Row],[Employee Name]],'Employee Database'!B:K,10,0))*HRM[[#This Row],[Revenue generated by employee]]),"")</f>
        <v>0</v>
      </c>
      <c r="K52" s="49">
        <f>IF(COUNT(HRM[[#This Row],[Base salary]:[Comission]])=0,"",SUM(HRM[[#This Row],[Base salary]:[Comission]]))</f>
        <v>11635.421538461538</v>
      </c>
    </row>
    <row r="53" spans="1:11" x14ac:dyDescent="0.2">
      <c r="A53" s="24" t="str">
        <f t="shared" si="0"/>
        <v/>
      </c>
      <c r="B53" s="43">
        <v>43647</v>
      </c>
      <c r="C53" s="44">
        <f>IF(HRM[[#This Row],[Date]]="","",HRM[[#This Row],[Date]])</f>
        <v>43647</v>
      </c>
      <c r="D53" s="45">
        <f>IF(HRM[[#This Row],[Date]]="","",HRM[[#This Row],[Date]])</f>
        <v>43647</v>
      </c>
      <c r="E53" s="46" t="s">
        <v>30</v>
      </c>
      <c r="F53" s="47" t="str">
        <f>IFERROR(IF(HRM[[#This Row],[Employee Name]]="","",VLOOKUP(HRM[[#This Row],[Employee Name]],'Employee Database'!B:K,2,0)),"")</f>
        <v>Administrative</v>
      </c>
      <c r="G53" s="51">
        <v>0</v>
      </c>
      <c r="H53" s="49">
        <f>IFERROR(IF(HRM[[#This Row],[Employee Name]]="","",VLOOKUP(HRM[[#This Row],[Employee Name]],'Employee Database'!B:K,8,0)),"")</f>
        <v>4230</v>
      </c>
      <c r="I53" s="49">
        <f>IFERROR(IF(HRM[[#This Row],[Employee Name]]="","",((VLOOKUP(HRM[[#This Row],[Employee Name]],'Employee Database'!B:K,9,0))*VLOOKUP(HRM[[#This Row],[Employee Name]],'Employee Database'!B:K,8,0))),"")</f>
        <v>423</v>
      </c>
      <c r="J53" s="49">
        <f>IFERROR(IF(HRM[[#This Row],[Employee Name]]="","",(VLOOKUP(HRM[[#This Row],[Employee Name]],'Employee Database'!B:K,10,0))*HRM[[#This Row],[Revenue generated by employee]]),"")</f>
        <v>0</v>
      </c>
      <c r="K53" s="49">
        <f>IF(COUNT(HRM[[#This Row],[Base salary]:[Comission]])=0,"",SUM(HRM[[#This Row],[Base salary]:[Comission]]))</f>
        <v>4653</v>
      </c>
    </row>
    <row r="54" spans="1:11" x14ac:dyDescent="0.2">
      <c r="A54" s="24" t="str">
        <f t="shared" si="0"/>
        <v/>
      </c>
      <c r="B54" s="43">
        <v>43678</v>
      </c>
      <c r="C54" s="44">
        <f>IF(HRM[[#This Row],[Date]]="","",HRM[[#This Row],[Date]])</f>
        <v>43678</v>
      </c>
      <c r="D54" s="45">
        <f>IF(HRM[[#This Row],[Date]]="","",HRM[[#This Row],[Date]])</f>
        <v>43678</v>
      </c>
      <c r="E54" s="46" t="s">
        <v>23</v>
      </c>
      <c r="F54" s="47" t="str">
        <f>IFERROR(IF(HRM[[#This Row],[Employee Name]]="","",VLOOKUP(HRM[[#This Row],[Employee Name]],'Employee Database'!B:K,2,0)),"")</f>
        <v>Field Force</v>
      </c>
      <c r="G54" s="51">
        <v>122193</v>
      </c>
      <c r="H54" s="49">
        <f>IFERROR(IF(HRM[[#This Row],[Employee Name]]="","",VLOOKUP(HRM[[#This Row],[Employee Name]],'Employee Database'!B:K,8,0)),"")</f>
        <v>6139.1333333333341</v>
      </c>
      <c r="I54" s="49">
        <f>IFERROR(IF(HRM[[#This Row],[Employee Name]]="","",((VLOOKUP(HRM[[#This Row],[Employee Name]],'Employee Database'!B:K,9,0))*VLOOKUP(HRM[[#This Row],[Employee Name]],'Employee Database'!B:K,8,0))),"")</f>
        <v>368.34800000000001</v>
      </c>
      <c r="J54" s="49">
        <f>IFERROR(IF(HRM[[#This Row],[Employee Name]]="","",(VLOOKUP(HRM[[#This Row],[Employee Name]],'Employee Database'!B:K,10,0))*HRM[[#This Row],[Revenue generated by employee]]),"")</f>
        <v>977.54399999999998</v>
      </c>
      <c r="K54" s="49">
        <f>IF(COUNT(HRM[[#This Row],[Base salary]:[Comission]])=0,"",SUM(HRM[[#This Row],[Base salary]:[Comission]]))</f>
        <v>7485.0253333333339</v>
      </c>
    </row>
    <row r="55" spans="1:11" x14ac:dyDescent="0.2">
      <c r="A55" s="24" t="str">
        <f t="shared" si="0"/>
        <v/>
      </c>
      <c r="B55" s="43">
        <v>43678</v>
      </c>
      <c r="C55" s="44">
        <f>IF(HRM[[#This Row],[Date]]="","",HRM[[#This Row],[Date]])</f>
        <v>43678</v>
      </c>
      <c r="D55" s="45">
        <f>IF(HRM[[#This Row],[Date]]="","",HRM[[#This Row],[Date]])</f>
        <v>43678</v>
      </c>
      <c r="E55" s="46" t="s">
        <v>24</v>
      </c>
      <c r="F55" s="47" t="str">
        <f>IFERROR(IF(HRM[[#This Row],[Employee Name]]="","",VLOOKUP(HRM[[#This Row],[Employee Name]],'Employee Database'!B:K,2,0)),"")</f>
        <v>Field Force</v>
      </c>
      <c r="G55" s="51">
        <v>100685</v>
      </c>
      <c r="H55" s="49">
        <f>IFERROR(IF(HRM[[#This Row],[Employee Name]]="","",VLOOKUP(HRM[[#This Row],[Employee Name]],'Employee Database'!B:K,8,0)),"")</f>
        <v>5232.916666666667</v>
      </c>
      <c r="I55" s="49">
        <f>IFERROR(IF(HRM[[#This Row],[Employee Name]]="","",((VLOOKUP(HRM[[#This Row],[Employee Name]],'Employee Database'!B:K,9,0))*VLOOKUP(HRM[[#This Row],[Employee Name]],'Employee Database'!B:K,8,0))),"")</f>
        <v>313.97500000000002</v>
      </c>
      <c r="J55" s="49">
        <f>IFERROR(IF(HRM[[#This Row],[Employee Name]]="","",(VLOOKUP(HRM[[#This Row],[Employee Name]],'Employee Database'!B:K,10,0))*HRM[[#This Row],[Revenue generated by employee]]),"")</f>
        <v>1006.85</v>
      </c>
      <c r="K55" s="49">
        <f>IF(COUNT(HRM[[#This Row],[Base salary]:[Comission]])=0,"",SUM(HRM[[#This Row],[Base salary]:[Comission]]))</f>
        <v>6553.7416666666677</v>
      </c>
    </row>
    <row r="56" spans="1:11" x14ac:dyDescent="0.2">
      <c r="A56" s="24" t="str">
        <f t="shared" si="0"/>
        <v/>
      </c>
      <c r="B56" s="43">
        <v>43678</v>
      </c>
      <c r="C56" s="44">
        <f>IF(HRM[[#This Row],[Date]]="","",HRM[[#This Row],[Date]])</f>
        <v>43678</v>
      </c>
      <c r="D56" s="45">
        <f>IF(HRM[[#This Row],[Date]]="","",HRM[[#This Row],[Date]])</f>
        <v>43678</v>
      </c>
      <c r="E56" s="46" t="s">
        <v>25</v>
      </c>
      <c r="F56" s="47" t="str">
        <f>IFERROR(IF(HRM[[#This Row],[Employee Name]]="","",VLOOKUP(HRM[[#This Row],[Employee Name]],'Employee Database'!B:K,2,0)),"")</f>
        <v>Administrative</v>
      </c>
      <c r="G56" s="51">
        <v>0</v>
      </c>
      <c r="H56" s="49">
        <f>IFERROR(IF(HRM[[#This Row],[Employee Name]]="","",VLOOKUP(HRM[[#This Row],[Employee Name]],'Employee Database'!B:K,8,0)),"")</f>
        <v>6207.5</v>
      </c>
      <c r="I56" s="49">
        <f>IFERROR(IF(HRM[[#This Row],[Employee Name]]="","",((VLOOKUP(HRM[[#This Row],[Employee Name]],'Employee Database'!B:K,9,0))*VLOOKUP(HRM[[#This Row],[Employee Name]],'Employee Database'!B:K,8,0))),"")</f>
        <v>620.75</v>
      </c>
      <c r="J56" s="49">
        <f>IFERROR(IF(HRM[[#This Row],[Employee Name]]="","",(VLOOKUP(HRM[[#This Row],[Employee Name]],'Employee Database'!B:K,10,0))*HRM[[#This Row],[Revenue generated by employee]]),"")</f>
        <v>0</v>
      </c>
      <c r="K56" s="49">
        <f>IF(COUNT(HRM[[#This Row],[Base salary]:[Comission]])=0,"",SUM(HRM[[#This Row],[Base salary]:[Comission]]))</f>
        <v>6828.25</v>
      </c>
    </row>
    <row r="57" spans="1:11" x14ac:dyDescent="0.2">
      <c r="A57" s="24" t="str">
        <f t="shared" si="0"/>
        <v/>
      </c>
      <c r="B57" s="43">
        <v>43678</v>
      </c>
      <c r="C57" s="44">
        <f>IF(HRM[[#This Row],[Date]]="","",HRM[[#This Row],[Date]])</f>
        <v>43678</v>
      </c>
      <c r="D57" s="45">
        <f>IF(HRM[[#This Row],[Date]]="","",HRM[[#This Row],[Date]])</f>
        <v>43678</v>
      </c>
      <c r="E57" s="46" t="s">
        <v>26</v>
      </c>
      <c r="F57" s="47" t="str">
        <f>IFERROR(IF(HRM[[#This Row],[Employee Name]]="","",VLOOKUP(HRM[[#This Row],[Employee Name]],'Employee Database'!B:K,2,0)),"")</f>
        <v>Field Force</v>
      </c>
      <c r="G57" s="51">
        <v>93376</v>
      </c>
      <c r="H57" s="49">
        <f>IFERROR(IF(HRM[[#This Row],[Employee Name]]="","",VLOOKUP(HRM[[#This Row],[Employee Name]],'Employee Database'!B:K,8,0)),"")</f>
        <v>6858.083333333333</v>
      </c>
      <c r="I57" s="49">
        <f>IFERROR(IF(HRM[[#This Row],[Employee Name]]="","",((VLOOKUP(HRM[[#This Row],[Employee Name]],'Employee Database'!B:K,9,0))*VLOOKUP(HRM[[#This Row],[Employee Name]],'Employee Database'!B:K,8,0))),"")</f>
        <v>411.48499999999996</v>
      </c>
      <c r="J57" s="49">
        <f>IFERROR(IF(HRM[[#This Row],[Employee Name]]="","",(VLOOKUP(HRM[[#This Row],[Employee Name]],'Employee Database'!B:K,10,0))*HRM[[#This Row],[Revenue generated by employee]]),"")</f>
        <v>933.76</v>
      </c>
      <c r="K57" s="49">
        <f>IF(COUNT(HRM[[#This Row],[Base salary]:[Comission]])=0,"",SUM(HRM[[#This Row],[Base salary]:[Comission]]))</f>
        <v>8203.3283333333329</v>
      </c>
    </row>
    <row r="58" spans="1:11" x14ac:dyDescent="0.2">
      <c r="A58" s="24" t="str">
        <f t="shared" si="0"/>
        <v/>
      </c>
      <c r="B58" s="43">
        <v>43678</v>
      </c>
      <c r="C58" s="44">
        <f>IF(HRM[[#This Row],[Date]]="","",HRM[[#This Row],[Date]])</f>
        <v>43678</v>
      </c>
      <c r="D58" s="45">
        <f>IF(HRM[[#This Row],[Date]]="","",HRM[[#This Row],[Date]])</f>
        <v>43678</v>
      </c>
      <c r="E58" s="46" t="s">
        <v>27</v>
      </c>
      <c r="F58" s="47" t="str">
        <f>IFERROR(IF(HRM[[#This Row],[Employee Name]]="","",VLOOKUP(HRM[[#This Row],[Employee Name]],'Employee Database'!B:K,2,0)),"")</f>
        <v>Field Force</v>
      </c>
      <c r="G58" s="51">
        <v>0</v>
      </c>
      <c r="H58" s="49">
        <f>IFERROR(IF(HRM[[#This Row],[Employee Name]]="","",VLOOKUP(HRM[[#This Row],[Employee Name]],'Employee Database'!B:K,8,0)),"")</f>
        <v>4132.666666666667</v>
      </c>
      <c r="I58" s="49">
        <f>IFERROR(IF(HRM[[#This Row],[Employee Name]]="","",((VLOOKUP(HRM[[#This Row],[Employee Name]],'Employee Database'!B:K,9,0))*VLOOKUP(HRM[[#This Row],[Employee Name]],'Employee Database'!B:K,8,0))),"")</f>
        <v>247.96</v>
      </c>
      <c r="J58" s="49">
        <f>IFERROR(IF(HRM[[#This Row],[Employee Name]]="","",(VLOOKUP(HRM[[#This Row],[Employee Name]],'Employee Database'!B:K,10,0))*HRM[[#This Row],[Revenue generated by employee]]),"")</f>
        <v>0</v>
      </c>
      <c r="K58" s="49">
        <f>IF(COUNT(HRM[[#This Row],[Base salary]:[Comission]])=0,"",SUM(HRM[[#This Row],[Base salary]:[Comission]]))</f>
        <v>4380.626666666667</v>
      </c>
    </row>
    <row r="59" spans="1:11" x14ac:dyDescent="0.2">
      <c r="A59" s="24" t="str">
        <f t="shared" si="0"/>
        <v/>
      </c>
      <c r="B59" s="43">
        <v>43678</v>
      </c>
      <c r="C59" s="44">
        <f>IF(HRM[[#This Row],[Date]]="","",HRM[[#This Row],[Date]])</f>
        <v>43678</v>
      </c>
      <c r="D59" s="45">
        <f>IF(HRM[[#This Row],[Date]]="","",HRM[[#This Row],[Date]])</f>
        <v>43678</v>
      </c>
      <c r="E59" s="46" t="s">
        <v>28</v>
      </c>
      <c r="F59" s="47" t="str">
        <f>IFERROR(IF(HRM[[#This Row],[Employee Name]]="","",VLOOKUP(HRM[[#This Row],[Employee Name]],'Employee Database'!B:K,2,0)),"")</f>
        <v>IT</v>
      </c>
      <c r="G59" s="51">
        <v>0</v>
      </c>
      <c r="H59" s="49">
        <f>IFERROR(IF(HRM[[#This Row],[Employee Name]]="","",VLOOKUP(HRM[[#This Row],[Employee Name]],'Employee Database'!B:K,8,0)),"")</f>
        <v>6109.166666666667</v>
      </c>
      <c r="I59" s="49">
        <f>IFERROR(IF(HRM[[#This Row],[Employee Name]]="","",((VLOOKUP(HRM[[#This Row],[Employee Name]],'Employee Database'!B:K,9,0))*VLOOKUP(HRM[[#This Row],[Employee Name]],'Employee Database'!B:K,8,0))),"")</f>
        <v>610.91666666666674</v>
      </c>
      <c r="J59" s="49">
        <f>IFERROR(IF(HRM[[#This Row],[Employee Name]]="","",(VLOOKUP(HRM[[#This Row],[Employee Name]],'Employee Database'!B:K,10,0))*HRM[[#This Row],[Revenue generated by employee]]),"")</f>
        <v>0</v>
      </c>
      <c r="K59" s="49">
        <f>IF(COUNT(HRM[[#This Row],[Base salary]:[Comission]])=0,"",SUM(HRM[[#This Row],[Base salary]:[Comission]]))</f>
        <v>6720.0833333333339</v>
      </c>
    </row>
    <row r="60" spans="1:11" x14ac:dyDescent="0.2">
      <c r="A60" s="24" t="str">
        <f t="shared" si="0"/>
        <v/>
      </c>
      <c r="B60" s="43">
        <v>43678</v>
      </c>
      <c r="C60" s="44">
        <f>IF(HRM[[#This Row],[Date]]="","",HRM[[#This Row],[Date]])</f>
        <v>43678</v>
      </c>
      <c r="D60" s="45">
        <f>IF(HRM[[#This Row],[Date]]="","",HRM[[#This Row],[Date]])</f>
        <v>43678</v>
      </c>
      <c r="E60" s="46" t="s">
        <v>29</v>
      </c>
      <c r="F60" s="47" t="str">
        <f>IFERROR(IF(HRM[[#This Row],[Employee Name]]="","",VLOOKUP(HRM[[#This Row],[Employee Name]],'Employee Database'!B:K,2,0)),"")</f>
        <v>General Management</v>
      </c>
      <c r="G60" s="51">
        <v>0</v>
      </c>
      <c r="H60" s="49">
        <f>IFERROR(IF(HRM[[#This Row],[Employee Name]]="","",VLOOKUP(HRM[[#This Row],[Employee Name]],'Employee Database'!B:K,8,0)),"")</f>
        <v>10388.76923076923</v>
      </c>
      <c r="I60" s="49">
        <f>IFERROR(IF(HRM[[#This Row],[Employee Name]]="","",((VLOOKUP(HRM[[#This Row],[Employee Name]],'Employee Database'!B:K,9,0))*VLOOKUP(HRM[[#This Row],[Employee Name]],'Employee Database'!B:K,8,0))),"")</f>
        <v>1246.6523076923077</v>
      </c>
      <c r="J60" s="49">
        <f>IFERROR(IF(HRM[[#This Row],[Employee Name]]="","",(VLOOKUP(HRM[[#This Row],[Employee Name]],'Employee Database'!B:K,10,0))*HRM[[#This Row],[Revenue generated by employee]]),"")</f>
        <v>0</v>
      </c>
      <c r="K60" s="49">
        <f>IF(COUNT(HRM[[#This Row],[Base salary]:[Comission]])=0,"",SUM(HRM[[#This Row],[Base salary]:[Comission]]))</f>
        <v>11635.421538461538</v>
      </c>
    </row>
    <row r="61" spans="1:11" x14ac:dyDescent="0.2">
      <c r="A61" s="24" t="str">
        <f t="shared" si="0"/>
        <v/>
      </c>
      <c r="B61" s="43">
        <v>43678</v>
      </c>
      <c r="C61" s="44">
        <f>IF(HRM[[#This Row],[Date]]="","",HRM[[#This Row],[Date]])</f>
        <v>43678</v>
      </c>
      <c r="D61" s="45">
        <f>IF(HRM[[#This Row],[Date]]="","",HRM[[#This Row],[Date]])</f>
        <v>43678</v>
      </c>
      <c r="E61" s="46" t="s">
        <v>30</v>
      </c>
      <c r="F61" s="47" t="str">
        <f>IFERROR(IF(HRM[[#This Row],[Employee Name]]="","",VLOOKUP(HRM[[#This Row],[Employee Name]],'Employee Database'!B:K,2,0)),"")</f>
        <v>Administrative</v>
      </c>
      <c r="G61" s="51">
        <v>0</v>
      </c>
      <c r="H61" s="49">
        <f>IFERROR(IF(HRM[[#This Row],[Employee Name]]="","",VLOOKUP(HRM[[#This Row],[Employee Name]],'Employee Database'!B:K,8,0)),"")</f>
        <v>4230</v>
      </c>
      <c r="I61" s="49">
        <f>IFERROR(IF(HRM[[#This Row],[Employee Name]]="","",((VLOOKUP(HRM[[#This Row],[Employee Name]],'Employee Database'!B:K,9,0))*VLOOKUP(HRM[[#This Row],[Employee Name]],'Employee Database'!B:K,8,0))),"")</f>
        <v>423</v>
      </c>
      <c r="J61" s="49">
        <f>IFERROR(IF(HRM[[#This Row],[Employee Name]]="","",(VLOOKUP(HRM[[#This Row],[Employee Name]],'Employee Database'!B:K,10,0))*HRM[[#This Row],[Revenue generated by employee]]),"")</f>
        <v>0</v>
      </c>
      <c r="K61" s="49">
        <f>IF(COUNT(HRM[[#This Row],[Base salary]:[Comission]])=0,"",SUM(HRM[[#This Row],[Base salary]:[Comission]]))</f>
        <v>4653</v>
      </c>
    </row>
    <row r="62" spans="1:11" x14ac:dyDescent="0.2">
      <c r="A62" s="24" t="str">
        <f t="shared" si="0"/>
        <v/>
      </c>
      <c r="B62" s="43">
        <v>43709</v>
      </c>
      <c r="C62" s="44">
        <f>IF(HRM[[#This Row],[Date]]="","",HRM[[#This Row],[Date]])</f>
        <v>43709</v>
      </c>
      <c r="D62" s="45">
        <f>IF(HRM[[#This Row],[Date]]="","",HRM[[#This Row],[Date]])</f>
        <v>43709</v>
      </c>
      <c r="E62" s="46" t="s">
        <v>23</v>
      </c>
      <c r="F62" s="47" t="str">
        <f>IFERROR(IF(HRM[[#This Row],[Employee Name]]="","",VLOOKUP(HRM[[#This Row],[Employee Name]],'Employee Database'!B:K,2,0)),"")</f>
        <v>Field Force</v>
      </c>
      <c r="G62" s="51">
        <v>105490</v>
      </c>
      <c r="H62" s="49">
        <f>IFERROR(IF(HRM[[#This Row],[Employee Name]]="","",VLOOKUP(HRM[[#This Row],[Employee Name]],'Employee Database'!B:K,8,0)),"")</f>
        <v>6139.1333333333341</v>
      </c>
      <c r="I62" s="49">
        <f>IFERROR(IF(HRM[[#This Row],[Employee Name]]="","",((VLOOKUP(HRM[[#This Row],[Employee Name]],'Employee Database'!B:K,9,0))*VLOOKUP(HRM[[#This Row],[Employee Name]],'Employee Database'!B:K,8,0))),"")</f>
        <v>368.34800000000001</v>
      </c>
      <c r="J62" s="49">
        <f>IFERROR(IF(HRM[[#This Row],[Employee Name]]="","",(VLOOKUP(HRM[[#This Row],[Employee Name]],'Employee Database'!B:K,10,0))*HRM[[#This Row],[Revenue generated by employee]]),"")</f>
        <v>843.92000000000007</v>
      </c>
      <c r="K62" s="49">
        <f>IF(COUNT(HRM[[#This Row],[Base salary]:[Comission]])=0,"",SUM(HRM[[#This Row],[Base salary]:[Comission]]))</f>
        <v>7351.4013333333342</v>
      </c>
    </row>
    <row r="63" spans="1:11" x14ac:dyDescent="0.2">
      <c r="A63" s="24" t="str">
        <f t="shared" si="0"/>
        <v/>
      </c>
      <c r="B63" s="43">
        <v>43709</v>
      </c>
      <c r="C63" s="44">
        <f>IF(HRM[[#This Row],[Date]]="","",HRM[[#This Row],[Date]])</f>
        <v>43709</v>
      </c>
      <c r="D63" s="45">
        <f>IF(HRM[[#This Row],[Date]]="","",HRM[[#This Row],[Date]])</f>
        <v>43709</v>
      </c>
      <c r="E63" s="46" t="s">
        <v>24</v>
      </c>
      <c r="F63" s="47" t="str">
        <f>IFERROR(IF(HRM[[#This Row],[Employee Name]]="","",VLOOKUP(HRM[[#This Row],[Employee Name]],'Employee Database'!B:K,2,0)),"")</f>
        <v>Field Force</v>
      </c>
      <c r="G63" s="51">
        <v>124771</v>
      </c>
      <c r="H63" s="49">
        <f>IFERROR(IF(HRM[[#This Row],[Employee Name]]="","",VLOOKUP(HRM[[#This Row],[Employee Name]],'Employee Database'!B:K,8,0)),"")</f>
        <v>5232.916666666667</v>
      </c>
      <c r="I63" s="49">
        <f>IFERROR(IF(HRM[[#This Row],[Employee Name]]="","",((VLOOKUP(HRM[[#This Row],[Employee Name]],'Employee Database'!B:K,9,0))*VLOOKUP(HRM[[#This Row],[Employee Name]],'Employee Database'!B:K,8,0))),"")</f>
        <v>313.97500000000002</v>
      </c>
      <c r="J63" s="49">
        <f>IFERROR(IF(HRM[[#This Row],[Employee Name]]="","",(VLOOKUP(HRM[[#This Row],[Employee Name]],'Employee Database'!B:K,10,0))*HRM[[#This Row],[Revenue generated by employee]]),"")</f>
        <v>1247.71</v>
      </c>
      <c r="K63" s="49">
        <f>IF(COUNT(HRM[[#This Row],[Base salary]:[Comission]])=0,"",SUM(HRM[[#This Row],[Base salary]:[Comission]]))</f>
        <v>6794.6016666666674</v>
      </c>
    </row>
    <row r="64" spans="1:11" x14ac:dyDescent="0.2">
      <c r="A64" s="24" t="str">
        <f t="shared" si="0"/>
        <v/>
      </c>
      <c r="B64" s="43">
        <v>43709</v>
      </c>
      <c r="C64" s="44">
        <f>IF(HRM[[#This Row],[Date]]="","",HRM[[#This Row],[Date]])</f>
        <v>43709</v>
      </c>
      <c r="D64" s="45">
        <f>IF(HRM[[#This Row],[Date]]="","",HRM[[#This Row],[Date]])</f>
        <v>43709</v>
      </c>
      <c r="E64" s="46" t="s">
        <v>25</v>
      </c>
      <c r="F64" s="47" t="str">
        <f>IFERROR(IF(HRM[[#This Row],[Employee Name]]="","",VLOOKUP(HRM[[#This Row],[Employee Name]],'Employee Database'!B:K,2,0)),"")</f>
        <v>Administrative</v>
      </c>
      <c r="G64" s="51">
        <v>0</v>
      </c>
      <c r="H64" s="49">
        <f>IFERROR(IF(HRM[[#This Row],[Employee Name]]="","",VLOOKUP(HRM[[#This Row],[Employee Name]],'Employee Database'!B:K,8,0)),"")</f>
        <v>6207.5</v>
      </c>
      <c r="I64" s="49">
        <f>IFERROR(IF(HRM[[#This Row],[Employee Name]]="","",((VLOOKUP(HRM[[#This Row],[Employee Name]],'Employee Database'!B:K,9,0))*VLOOKUP(HRM[[#This Row],[Employee Name]],'Employee Database'!B:K,8,0))),"")</f>
        <v>620.75</v>
      </c>
      <c r="J64" s="49">
        <f>IFERROR(IF(HRM[[#This Row],[Employee Name]]="","",(VLOOKUP(HRM[[#This Row],[Employee Name]],'Employee Database'!B:K,10,0))*HRM[[#This Row],[Revenue generated by employee]]),"")</f>
        <v>0</v>
      </c>
      <c r="K64" s="49">
        <f>IF(COUNT(HRM[[#This Row],[Base salary]:[Comission]])=0,"",SUM(HRM[[#This Row],[Base salary]:[Comission]]))</f>
        <v>6828.25</v>
      </c>
    </row>
    <row r="65" spans="1:11" x14ac:dyDescent="0.2">
      <c r="A65" s="24" t="str">
        <f t="shared" si="0"/>
        <v/>
      </c>
      <c r="B65" s="43">
        <v>43709</v>
      </c>
      <c r="C65" s="44">
        <f>IF(HRM[[#This Row],[Date]]="","",HRM[[#This Row],[Date]])</f>
        <v>43709</v>
      </c>
      <c r="D65" s="45">
        <f>IF(HRM[[#This Row],[Date]]="","",HRM[[#This Row],[Date]])</f>
        <v>43709</v>
      </c>
      <c r="E65" s="46" t="s">
        <v>26</v>
      </c>
      <c r="F65" s="47" t="str">
        <f>IFERROR(IF(HRM[[#This Row],[Employee Name]]="","",VLOOKUP(HRM[[#This Row],[Employee Name]],'Employee Database'!B:K,2,0)),"")</f>
        <v>Field Force</v>
      </c>
      <c r="G65" s="51">
        <v>71790</v>
      </c>
      <c r="H65" s="49">
        <f>IFERROR(IF(HRM[[#This Row],[Employee Name]]="","",VLOOKUP(HRM[[#This Row],[Employee Name]],'Employee Database'!B:K,8,0)),"")</f>
        <v>6858.083333333333</v>
      </c>
      <c r="I65" s="49">
        <f>IFERROR(IF(HRM[[#This Row],[Employee Name]]="","",((VLOOKUP(HRM[[#This Row],[Employee Name]],'Employee Database'!B:K,9,0))*VLOOKUP(HRM[[#This Row],[Employee Name]],'Employee Database'!B:K,8,0))),"")</f>
        <v>411.48499999999996</v>
      </c>
      <c r="J65" s="49">
        <f>IFERROR(IF(HRM[[#This Row],[Employee Name]]="","",(VLOOKUP(HRM[[#This Row],[Employee Name]],'Employee Database'!B:K,10,0))*HRM[[#This Row],[Revenue generated by employee]]),"")</f>
        <v>717.9</v>
      </c>
      <c r="K65" s="49">
        <f>IF(COUNT(HRM[[#This Row],[Base salary]:[Comission]])=0,"",SUM(HRM[[#This Row],[Base salary]:[Comission]]))</f>
        <v>7987.4683333333323</v>
      </c>
    </row>
    <row r="66" spans="1:11" x14ac:dyDescent="0.2">
      <c r="A66" s="24" t="str">
        <f t="shared" si="0"/>
        <v/>
      </c>
      <c r="B66" s="43">
        <v>43709</v>
      </c>
      <c r="C66" s="44">
        <f>IF(HRM[[#This Row],[Date]]="","",HRM[[#This Row],[Date]])</f>
        <v>43709</v>
      </c>
      <c r="D66" s="45">
        <f>IF(HRM[[#This Row],[Date]]="","",HRM[[#This Row],[Date]])</f>
        <v>43709</v>
      </c>
      <c r="E66" s="46" t="s">
        <v>27</v>
      </c>
      <c r="F66" s="47" t="str">
        <f>IFERROR(IF(HRM[[#This Row],[Employee Name]]="","",VLOOKUP(HRM[[#This Row],[Employee Name]],'Employee Database'!B:K,2,0)),"")</f>
        <v>Field Force</v>
      </c>
      <c r="G66" s="51">
        <v>0</v>
      </c>
      <c r="H66" s="49">
        <f>IFERROR(IF(HRM[[#This Row],[Employee Name]]="","",VLOOKUP(HRM[[#This Row],[Employee Name]],'Employee Database'!B:K,8,0)),"")</f>
        <v>4132.666666666667</v>
      </c>
      <c r="I66" s="49">
        <f>IFERROR(IF(HRM[[#This Row],[Employee Name]]="","",((VLOOKUP(HRM[[#This Row],[Employee Name]],'Employee Database'!B:K,9,0))*VLOOKUP(HRM[[#This Row],[Employee Name]],'Employee Database'!B:K,8,0))),"")</f>
        <v>247.96</v>
      </c>
      <c r="J66" s="49">
        <f>IFERROR(IF(HRM[[#This Row],[Employee Name]]="","",(VLOOKUP(HRM[[#This Row],[Employee Name]],'Employee Database'!B:K,10,0))*HRM[[#This Row],[Revenue generated by employee]]),"")</f>
        <v>0</v>
      </c>
      <c r="K66" s="49">
        <f>IF(COUNT(HRM[[#This Row],[Base salary]:[Comission]])=0,"",SUM(HRM[[#This Row],[Base salary]:[Comission]]))</f>
        <v>4380.626666666667</v>
      </c>
    </row>
    <row r="67" spans="1:11" x14ac:dyDescent="0.2">
      <c r="A67" s="24" t="str">
        <f t="shared" si="0"/>
        <v/>
      </c>
      <c r="B67" s="43">
        <v>43709</v>
      </c>
      <c r="C67" s="44">
        <f>IF(HRM[[#This Row],[Date]]="","",HRM[[#This Row],[Date]])</f>
        <v>43709</v>
      </c>
      <c r="D67" s="45">
        <f>IF(HRM[[#This Row],[Date]]="","",HRM[[#This Row],[Date]])</f>
        <v>43709</v>
      </c>
      <c r="E67" s="46" t="s">
        <v>28</v>
      </c>
      <c r="F67" s="47" t="str">
        <f>IFERROR(IF(HRM[[#This Row],[Employee Name]]="","",VLOOKUP(HRM[[#This Row],[Employee Name]],'Employee Database'!B:K,2,0)),"")</f>
        <v>IT</v>
      </c>
      <c r="G67" s="51">
        <v>0</v>
      </c>
      <c r="H67" s="49">
        <f>IFERROR(IF(HRM[[#This Row],[Employee Name]]="","",VLOOKUP(HRM[[#This Row],[Employee Name]],'Employee Database'!B:K,8,0)),"")</f>
        <v>6109.166666666667</v>
      </c>
      <c r="I67" s="49">
        <f>IFERROR(IF(HRM[[#This Row],[Employee Name]]="","",((VLOOKUP(HRM[[#This Row],[Employee Name]],'Employee Database'!B:K,9,0))*VLOOKUP(HRM[[#This Row],[Employee Name]],'Employee Database'!B:K,8,0))),"")</f>
        <v>610.91666666666674</v>
      </c>
      <c r="J67" s="49">
        <f>IFERROR(IF(HRM[[#This Row],[Employee Name]]="","",(VLOOKUP(HRM[[#This Row],[Employee Name]],'Employee Database'!B:K,10,0))*HRM[[#This Row],[Revenue generated by employee]]),"")</f>
        <v>0</v>
      </c>
      <c r="K67" s="49">
        <f>IF(COUNT(HRM[[#This Row],[Base salary]:[Comission]])=0,"",SUM(HRM[[#This Row],[Base salary]:[Comission]]))</f>
        <v>6720.0833333333339</v>
      </c>
    </row>
    <row r="68" spans="1:11" x14ac:dyDescent="0.2">
      <c r="A68" s="24" t="str">
        <f t="shared" ref="A68:A131" si="1">IF(AND(B67&lt;&gt;"",B68=""),$A$2&amp;"---&gt;","")</f>
        <v/>
      </c>
      <c r="B68" s="43">
        <v>43709</v>
      </c>
      <c r="C68" s="44">
        <f>IF(HRM[[#This Row],[Date]]="","",HRM[[#This Row],[Date]])</f>
        <v>43709</v>
      </c>
      <c r="D68" s="45">
        <f>IF(HRM[[#This Row],[Date]]="","",HRM[[#This Row],[Date]])</f>
        <v>43709</v>
      </c>
      <c r="E68" s="46" t="s">
        <v>29</v>
      </c>
      <c r="F68" s="47" t="str">
        <f>IFERROR(IF(HRM[[#This Row],[Employee Name]]="","",VLOOKUP(HRM[[#This Row],[Employee Name]],'Employee Database'!B:K,2,0)),"")</f>
        <v>General Management</v>
      </c>
      <c r="G68" s="51">
        <v>0</v>
      </c>
      <c r="H68" s="49">
        <f>IFERROR(IF(HRM[[#This Row],[Employee Name]]="","",VLOOKUP(HRM[[#This Row],[Employee Name]],'Employee Database'!B:K,8,0)),"")</f>
        <v>10388.76923076923</v>
      </c>
      <c r="I68" s="49">
        <f>IFERROR(IF(HRM[[#This Row],[Employee Name]]="","",((VLOOKUP(HRM[[#This Row],[Employee Name]],'Employee Database'!B:K,9,0))*VLOOKUP(HRM[[#This Row],[Employee Name]],'Employee Database'!B:K,8,0))),"")</f>
        <v>1246.6523076923077</v>
      </c>
      <c r="J68" s="49">
        <f>IFERROR(IF(HRM[[#This Row],[Employee Name]]="","",(VLOOKUP(HRM[[#This Row],[Employee Name]],'Employee Database'!B:K,10,0))*HRM[[#This Row],[Revenue generated by employee]]),"")</f>
        <v>0</v>
      </c>
      <c r="K68" s="49">
        <f>IF(COUNT(HRM[[#This Row],[Base salary]:[Comission]])=0,"",SUM(HRM[[#This Row],[Base salary]:[Comission]]))</f>
        <v>11635.421538461538</v>
      </c>
    </row>
    <row r="69" spans="1:11" x14ac:dyDescent="0.2">
      <c r="A69" s="24" t="str">
        <f t="shared" si="1"/>
        <v/>
      </c>
      <c r="B69" s="43">
        <v>43709</v>
      </c>
      <c r="C69" s="44">
        <f>IF(HRM[[#This Row],[Date]]="","",HRM[[#This Row],[Date]])</f>
        <v>43709</v>
      </c>
      <c r="D69" s="45">
        <f>IF(HRM[[#This Row],[Date]]="","",HRM[[#This Row],[Date]])</f>
        <v>43709</v>
      </c>
      <c r="E69" s="46" t="s">
        <v>30</v>
      </c>
      <c r="F69" s="47" t="str">
        <f>IFERROR(IF(HRM[[#This Row],[Employee Name]]="","",VLOOKUP(HRM[[#This Row],[Employee Name]],'Employee Database'!B:K,2,0)),"")</f>
        <v>Administrative</v>
      </c>
      <c r="G69" s="51">
        <v>0</v>
      </c>
      <c r="H69" s="49">
        <f>IFERROR(IF(HRM[[#This Row],[Employee Name]]="","",VLOOKUP(HRM[[#This Row],[Employee Name]],'Employee Database'!B:K,8,0)),"")</f>
        <v>4230</v>
      </c>
      <c r="I69" s="49">
        <f>IFERROR(IF(HRM[[#This Row],[Employee Name]]="","",((VLOOKUP(HRM[[#This Row],[Employee Name]],'Employee Database'!B:K,9,0))*VLOOKUP(HRM[[#This Row],[Employee Name]],'Employee Database'!B:K,8,0))),"")</f>
        <v>423</v>
      </c>
      <c r="J69" s="49">
        <f>IFERROR(IF(HRM[[#This Row],[Employee Name]]="","",(VLOOKUP(HRM[[#This Row],[Employee Name]],'Employee Database'!B:K,10,0))*HRM[[#This Row],[Revenue generated by employee]]),"")</f>
        <v>0</v>
      </c>
      <c r="K69" s="49">
        <f>IF(COUNT(HRM[[#This Row],[Base salary]:[Comission]])=0,"",SUM(HRM[[#This Row],[Base salary]:[Comission]]))</f>
        <v>4653</v>
      </c>
    </row>
    <row r="70" spans="1:11" x14ac:dyDescent="0.2">
      <c r="A70" s="24" t="str">
        <f t="shared" si="1"/>
        <v/>
      </c>
      <c r="B70" s="43">
        <v>43739</v>
      </c>
      <c r="C70" s="44">
        <f>IF(HRM[[#This Row],[Date]]="","",HRM[[#This Row],[Date]])</f>
        <v>43739</v>
      </c>
      <c r="D70" s="45">
        <f>IF(HRM[[#This Row],[Date]]="","",HRM[[#This Row],[Date]])</f>
        <v>43739</v>
      </c>
      <c r="E70" s="46" t="s">
        <v>23</v>
      </c>
      <c r="F70" s="47" t="str">
        <f>IFERROR(IF(HRM[[#This Row],[Employee Name]]="","",VLOOKUP(HRM[[#This Row],[Employee Name]],'Employee Database'!B:K,2,0)),"")</f>
        <v>Field Force</v>
      </c>
      <c r="G70" s="51">
        <v>71476</v>
      </c>
      <c r="H70" s="49">
        <f>IFERROR(IF(HRM[[#This Row],[Employee Name]]="","",VLOOKUP(HRM[[#This Row],[Employee Name]],'Employee Database'!B:K,8,0)),"")</f>
        <v>6139.1333333333341</v>
      </c>
      <c r="I70" s="49">
        <f>IFERROR(IF(HRM[[#This Row],[Employee Name]]="","",((VLOOKUP(HRM[[#This Row],[Employee Name]],'Employee Database'!B:K,9,0))*VLOOKUP(HRM[[#This Row],[Employee Name]],'Employee Database'!B:K,8,0))),"")</f>
        <v>368.34800000000001</v>
      </c>
      <c r="J70" s="49">
        <f>IFERROR(IF(HRM[[#This Row],[Employee Name]]="","",(VLOOKUP(HRM[[#This Row],[Employee Name]],'Employee Database'!B:K,10,0))*HRM[[#This Row],[Revenue generated by employee]]),"")</f>
        <v>571.80799999999999</v>
      </c>
      <c r="K70" s="49">
        <f>IF(COUNT(HRM[[#This Row],[Base salary]:[Comission]])=0,"",SUM(HRM[[#This Row],[Base salary]:[Comission]]))</f>
        <v>7079.2893333333341</v>
      </c>
    </row>
    <row r="71" spans="1:11" x14ac:dyDescent="0.2">
      <c r="A71" s="24" t="str">
        <f t="shared" si="1"/>
        <v/>
      </c>
      <c r="B71" s="43">
        <v>43739</v>
      </c>
      <c r="C71" s="44">
        <f>IF(HRM[[#This Row],[Date]]="","",HRM[[#This Row],[Date]])</f>
        <v>43739</v>
      </c>
      <c r="D71" s="45">
        <f>IF(HRM[[#This Row],[Date]]="","",HRM[[#This Row],[Date]])</f>
        <v>43739</v>
      </c>
      <c r="E71" s="46" t="s">
        <v>24</v>
      </c>
      <c r="F71" s="47" t="str">
        <f>IFERROR(IF(HRM[[#This Row],[Employee Name]]="","",VLOOKUP(HRM[[#This Row],[Employee Name]],'Employee Database'!B:K,2,0)),"")</f>
        <v>Field Force</v>
      </c>
      <c r="G71" s="51">
        <v>85955</v>
      </c>
      <c r="H71" s="49">
        <f>IFERROR(IF(HRM[[#This Row],[Employee Name]]="","",VLOOKUP(HRM[[#This Row],[Employee Name]],'Employee Database'!B:K,8,0)),"")</f>
        <v>5232.916666666667</v>
      </c>
      <c r="I71" s="49">
        <f>IFERROR(IF(HRM[[#This Row],[Employee Name]]="","",((VLOOKUP(HRM[[#This Row],[Employee Name]],'Employee Database'!B:K,9,0))*VLOOKUP(HRM[[#This Row],[Employee Name]],'Employee Database'!B:K,8,0))),"")</f>
        <v>313.97500000000002</v>
      </c>
      <c r="J71" s="49">
        <f>IFERROR(IF(HRM[[#This Row],[Employee Name]]="","",(VLOOKUP(HRM[[#This Row],[Employee Name]],'Employee Database'!B:K,10,0))*HRM[[#This Row],[Revenue generated by employee]]),"")</f>
        <v>859.55000000000007</v>
      </c>
      <c r="K71" s="49">
        <f>IF(COUNT(HRM[[#This Row],[Base salary]:[Comission]])=0,"",SUM(HRM[[#This Row],[Base salary]:[Comission]]))</f>
        <v>6406.4416666666675</v>
      </c>
    </row>
    <row r="72" spans="1:11" x14ac:dyDescent="0.2">
      <c r="A72" s="24" t="str">
        <f t="shared" si="1"/>
        <v/>
      </c>
      <c r="B72" s="43">
        <v>43739</v>
      </c>
      <c r="C72" s="44">
        <f>IF(HRM[[#This Row],[Date]]="","",HRM[[#This Row],[Date]])</f>
        <v>43739</v>
      </c>
      <c r="D72" s="45">
        <f>IF(HRM[[#This Row],[Date]]="","",HRM[[#This Row],[Date]])</f>
        <v>43739</v>
      </c>
      <c r="E72" s="46" t="s">
        <v>25</v>
      </c>
      <c r="F72" s="47" t="str">
        <f>IFERROR(IF(HRM[[#This Row],[Employee Name]]="","",VLOOKUP(HRM[[#This Row],[Employee Name]],'Employee Database'!B:K,2,0)),"")</f>
        <v>Administrative</v>
      </c>
      <c r="G72" s="51">
        <v>0</v>
      </c>
      <c r="H72" s="49">
        <f>IFERROR(IF(HRM[[#This Row],[Employee Name]]="","",VLOOKUP(HRM[[#This Row],[Employee Name]],'Employee Database'!B:K,8,0)),"")</f>
        <v>6207.5</v>
      </c>
      <c r="I72" s="49">
        <f>IFERROR(IF(HRM[[#This Row],[Employee Name]]="","",((VLOOKUP(HRM[[#This Row],[Employee Name]],'Employee Database'!B:K,9,0))*VLOOKUP(HRM[[#This Row],[Employee Name]],'Employee Database'!B:K,8,0))),"")</f>
        <v>620.75</v>
      </c>
      <c r="J72" s="49">
        <f>IFERROR(IF(HRM[[#This Row],[Employee Name]]="","",(VLOOKUP(HRM[[#This Row],[Employee Name]],'Employee Database'!B:K,10,0))*HRM[[#This Row],[Revenue generated by employee]]),"")</f>
        <v>0</v>
      </c>
      <c r="K72" s="49">
        <f>IF(COUNT(HRM[[#This Row],[Base salary]:[Comission]])=0,"",SUM(HRM[[#This Row],[Base salary]:[Comission]]))</f>
        <v>6828.25</v>
      </c>
    </row>
    <row r="73" spans="1:11" x14ac:dyDescent="0.2">
      <c r="A73" s="24" t="str">
        <f t="shared" si="1"/>
        <v/>
      </c>
      <c r="B73" s="43">
        <v>43739</v>
      </c>
      <c r="C73" s="44">
        <f>IF(HRM[[#This Row],[Date]]="","",HRM[[#This Row],[Date]])</f>
        <v>43739</v>
      </c>
      <c r="D73" s="45">
        <f>IF(HRM[[#This Row],[Date]]="","",HRM[[#This Row],[Date]])</f>
        <v>43739</v>
      </c>
      <c r="E73" s="46" t="s">
        <v>26</v>
      </c>
      <c r="F73" s="47" t="str">
        <f>IFERROR(IF(HRM[[#This Row],[Employee Name]]="","",VLOOKUP(HRM[[#This Row],[Employee Name]],'Employee Database'!B:K,2,0)),"")</f>
        <v>Field Force</v>
      </c>
      <c r="G73" s="51">
        <v>104150</v>
      </c>
      <c r="H73" s="49">
        <f>IFERROR(IF(HRM[[#This Row],[Employee Name]]="","",VLOOKUP(HRM[[#This Row],[Employee Name]],'Employee Database'!B:K,8,0)),"")</f>
        <v>6858.083333333333</v>
      </c>
      <c r="I73" s="49">
        <f>IFERROR(IF(HRM[[#This Row],[Employee Name]]="","",((VLOOKUP(HRM[[#This Row],[Employee Name]],'Employee Database'!B:K,9,0))*VLOOKUP(HRM[[#This Row],[Employee Name]],'Employee Database'!B:K,8,0))),"")</f>
        <v>411.48499999999996</v>
      </c>
      <c r="J73" s="49">
        <f>IFERROR(IF(HRM[[#This Row],[Employee Name]]="","",(VLOOKUP(HRM[[#This Row],[Employee Name]],'Employee Database'!B:K,10,0))*HRM[[#This Row],[Revenue generated by employee]]),"")</f>
        <v>1041.5</v>
      </c>
      <c r="K73" s="49">
        <f>IF(COUNT(HRM[[#This Row],[Base salary]:[Comission]])=0,"",SUM(HRM[[#This Row],[Base salary]:[Comission]]))</f>
        <v>8311.0683333333327</v>
      </c>
    </row>
    <row r="74" spans="1:11" x14ac:dyDescent="0.2">
      <c r="A74" s="24" t="str">
        <f t="shared" si="1"/>
        <v/>
      </c>
      <c r="B74" s="43">
        <v>43739</v>
      </c>
      <c r="C74" s="44">
        <f>IF(HRM[[#This Row],[Date]]="","",HRM[[#This Row],[Date]])</f>
        <v>43739</v>
      </c>
      <c r="D74" s="45">
        <f>IF(HRM[[#This Row],[Date]]="","",HRM[[#This Row],[Date]])</f>
        <v>43739</v>
      </c>
      <c r="E74" s="46" t="s">
        <v>27</v>
      </c>
      <c r="F74" s="47" t="str">
        <f>IFERROR(IF(HRM[[#This Row],[Employee Name]]="","",VLOOKUP(HRM[[#This Row],[Employee Name]],'Employee Database'!B:K,2,0)),"")</f>
        <v>Field Force</v>
      </c>
      <c r="G74" s="51">
        <v>0</v>
      </c>
      <c r="H74" s="49">
        <f>IFERROR(IF(HRM[[#This Row],[Employee Name]]="","",VLOOKUP(HRM[[#This Row],[Employee Name]],'Employee Database'!B:K,8,0)),"")</f>
        <v>4132.666666666667</v>
      </c>
      <c r="I74" s="49">
        <f>IFERROR(IF(HRM[[#This Row],[Employee Name]]="","",((VLOOKUP(HRM[[#This Row],[Employee Name]],'Employee Database'!B:K,9,0))*VLOOKUP(HRM[[#This Row],[Employee Name]],'Employee Database'!B:K,8,0))),"")</f>
        <v>247.96</v>
      </c>
      <c r="J74" s="49">
        <f>IFERROR(IF(HRM[[#This Row],[Employee Name]]="","",(VLOOKUP(HRM[[#This Row],[Employee Name]],'Employee Database'!B:K,10,0))*HRM[[#This Row],[Revenue generated by employee]]),"")</f>
        <v>0</v>
      </c>
      <c r="K74" s="49">
        <f>IF(COUNT(HRM[[#This Row],[Base salary]:[Comission]])=0,"",SUM(HRM[[#This Row],[Base salary]:[Comission]]))</f>
        <v>4380.626666666667</v>
      </c>
    </row>
    <row r="75" spans="1:11" x14ac:dyDescent="0.2">
      <c r="A75" s="24" t="str">
        <f t="shared" si="1"/>
        <v/>
      </c>
      <c r="B75" s="43">
        <v>43739</v>
      </c>
      <c r="C75" s="44">
        <f>IF(HRM[[#This Row],[Date]]="","",HRM[[#This Row],[Date]])</f>
        <v>43739</v>
      </c>
      <c r="D75" s="45">
        <f>IF(HRM[[#This Row],[Date]]="","",HRM[[#This Row],[Date]])</f>
        <v>43739</v>
      </c>
      <c r="E75" s="46" t="s">
        <v>28</v>
      </c>
      <c r="F75" s="47" t="str">
        <f>IFERROR(IF(HRM[[#This Row],[Employee Name]]="","",VLOOKUP(HRM[[#This Row],[Employee Name]],'Employee Database'!B:K,2,0)),"")</f>
        <v>IT</v>
      </c>
      <c r="G75" s="51">
        <v>0</v>
      </c>
      <c r="H75" s="49">
        <f>IFERROR(IF(HRM[[#This Row],[Employee Name]]="","",VLOOKUP(HRM[[#This Row],[Employee Name]],'Employee Database'!B:K,8,0)),"")</f>
        <v>6109.166666666667</v>
      </c>
      <c r="I75" s="49">
        <f>IFERROR(IF(HRM[[#This Row],[Employee Name]]="","",((VLOOKUP(HRM[[#This Row],[Employee Name]],'Employee Database'!B:K,9,0))*VLOOKUP(HRM[[#This Row],[Employee Name]],'Employee Database'!B:K,8,0))),"")</f>
        <v>610.91666666666674</v>
      </c>
      <c r="J75" s="49">
        <f>IFERROR(IF(HRM[[#This Row],[Employee Name]]="","",(VLOOKUP(HRM[[#This Row],[Employee Name]],'Employee Database'!B:K,10,0))*HRM[[#This Row],[Revenue generated by employee]]),"")</f>
        <v>0</v>
      </c>
      <c r="K75" s="49">
        <f>IF(COUNT(HRM[[#This Row],[Base salary]:[Comission]])=0,"",SUM(HRM[[#This Row],[Base salary]:[Comission]]))</f>
        <v>6720.0833333333339</v>
      </c>
    </row>
    <row r="76" spans="1:11" x14ac:dyDescent="0.2">
      <c r="A76" s="24" t="str">
        <f t="shared" si="1"/>
        <v/>
      </c>
      <c r="B76" s="43">
        <v>43739</v>
      </c>
      <c r="C76" s="44">
        <f>IF(HRM[[#This Row],[Date]]="","",HRM[[#This Row],[Date]])</f>
        <v>43739</v>
      </c>
      <c r="D76" s="45">
        <f>IF(HRM[[#This Row],[Date]]="","",HRM[[#This Row],[Date]])</f>
        <v>43739</v>
      </c>
      <c r="E76" s="46" t="s">
        <v>29</v>
      </c>
      <c r="F76" s="47" t="str">
        <f>IFERROR(IF(HRM[[#This Row],[Employee Name]]="","",VLOOKUP(HRM[[#This Row],[Employee Name]],'Employee Database'!B:K,2,0)),"")</f>
        <v>General Management</v>
      </c>
      <c r="G76" s="51">
        <v>0</v>
      </c>
      <c r="H76" s="49">
        <f>IFERROR(IF(HRM[[#This Row],[Employee Name]]="","",VLOOKUP(HRM[[#This Row],[Employee Name]],'Employee Database'!B:K,8,0)),"")</f>
        <v>10388.76923076923</v>
      </c>
      <c r="I76" s="49">
        <f>IFERROR(IF(HRM[[#This Row],[Employee Name]]="","",((VLOOKUP(HRM[[#This Row],[Employee Name]],'Employee Database'!B:K,9,0))*VLOOKUP(HRM[[#This Row],[Employee Name]],'Employee Database'!B:K,8,0))),"")</f>
        <v>1246.6523076923077</v>
      </c>
      <c r="J76" s="49">
        <f>IFERROR(IF(HRM[[#This Row],[Employee Name]]="","",(VLOOKUP(HRM[[#This Row],[Employee Name]],'Employee Database'!B:K,10,0))*HRM[[#This Row],[Revenue generated by employee]]),"")</f>
        <v>0</v>
      </c>
      <c r="K76" s="49">
        <f>IF(COUNT(HRM[[#This Row],[Base salary]:[Comission]])=0,"",SUM(HRM[[#This Row],[Base salary]:[Comission]]))</f>
        <v>11635.421538461538</v>
      </c>
    </row>
    <row r="77" spans="1:11" x14ac:dyDescent="0.2">
      <c r="A77" s="24" t="str">
        <f t="shared" si="1"/>
        <v/>
      </c>
      <c r="B77" s="43">
        <v>43739</v>
      </c>
      <c r="C77" s="44">
        <f>IF(HRM[[#This Row],[Date]]="","",HRM[[#This Row],[Date]])</f>
        <v>43739</v>
      </c>
      <c r="D77" s="45">
        <f>IF(HRM[[#This Row],[Date]]="","",HRM[[#This Row],[Date]])</f>
        <v>43739</v>
      </c>
      <c r="E77" s="46" t="s">
        <v>30</v>
      </c>
      <c r="F77" s="47" t="str">
        <f>IFERROR(IF(HRM[[#This Row],[Employee Name]]="","",VLOOKUP(HRM[[#This Row],[Employee Name]],'Employee Database'!B:K,2,0)),"")</f>
        <v>Administrative</v>
      </c>
      <c r="G77" s="51">
        <v>0</v>
      </c>
      <c r="H77" s="49">
        <f>IFERROR(IF(HRM[[#This Row],[Employee Name]]="","",VLOOKUP(HRM[[#This Row],[Employee Name]],'Employee Database'!B:K,8,0)),"")</f>
        <v>4230</v>
      </c>
      <c r="I77" s="49">
        <f>IFERROR(IF(HRM[[#This Row],[Employee Name]]="","",((VLOOKUP(HRM[[#This Row],[Employee Name]],'Employee Database'!B:K,9,0))*VLOOKUP(HRM[[#This Row],[Employee Name]],'Employee Database'!B:K,8,0))),"")</f>
        <v>423</v>
      </c>
      <c r="J77" s="49">
        <f>IFERROR(IF(HRM[[#This Row],[Employee Name]]="","",(VLOOKUP(HRM[[#This Row],[Employee Name]],'Employee Database'!B:K,10,0))*HRM[[#This Row],[Revenue generated by employee]]),"")</f>
        <v>0</v>
      </c>
      <c r="K77" s="49">
        <f>IF(COUNT(HRM[[#This Row],[Base salary]:[Comission]])=0,"",SUM(HRM[[#This Row],[Base salary]:[Comission]]))</f>
        <v>4653</v>
      </c>
    </row>
    <row r="78" spans="1:11" x14ac:dyDescent="0.2">
      <c r="A78" s="24" t="str">
        <f t="shared" si="1"/>
        <v/>
      </c>
      <c r="B78" s="43">
        <v>43770</v>
      </c>
      <c r="C78" s="44">
        <f>IF(HRM[[#This Row],[Date]]="","",HRM[[#This Row],[Date]])</f>
        <v>43770</v>
      </c>
      <c r="D78" s="45">
        <f>IF(HRM[[#This Row],[Date]]="","",HRM[[#This Row],[Date]])</f>
        <v>43770</v>
      </c>
      <c r="E78" s="46" t="s">
        <v>23</v>
      </c>
      <c r="F78" s="47" t="str">
        <f>IFERROR(IF(HRM[[#This Row],[Employee Name]]="","",VLOOKUP(HRM[[#This Row],[Employee Name]],'Employee Database'!B:K,2,0)),"")</f>
        <v>Field Force</v>
      </c>
      <c r="G78" s="51">
        <v>129597</v>
      </c>
      <c r="H78" s="49">
        <f>IFERROR(IF(HRM[[#This Row],[Employee Name]]="","",VLOOKUP(HRM[[#This Row],[Employee Name]],'Employee Database'!B:K,8,0)),"")</f>
        <v>6139.1333333333341</v>
      </c>
      <c r="I78" s="49">
        <f>IFERROR(IF(HRM[[#This Row],[Employee Name]]="","",((VLOOKUP(HRM[[#This Row],[Employee Name]],'Employee Database'!B:K,9,0))*VLOOKUP(HRM[[#This Row],[Employee Name]],'Employee Database'!B:K,8,0))),"")</f>
        <v>368.34800000000001</v>
      </c>
      <c r="J78" s="49">
        <f>IFERROR(IF(HRM[[#This Row],[Employee Name]]="","",(VLOOKUP(HRM[[#This Row],[Employee Name]],'Employee Database'!B:K,10,0))*HRM[[#This Row],[Revenue generated by employee]]),"")</f>
        <v>1036.7760000000001</v>
      </c>
      <c r="K78" s="49">
        <f>IF(COUNT(HRM[[#This Row],[Base salary]:[Comission]])=0,"",SUM(HRM[[#This Row],[Base salary]:[Comission]]))</f>
        <v>7544.2573333333339</v>
      </c>
    </row>
    <row r="79" spans="1:11" x14ac:dyDescent="0.2">
      <c r="A79" s="24" t="str">
        <f t="shared" si="1"/>
        <v/>
      </c>
      <c r="B79" s="43">
        <v>43770</v>
      </c>
      <c r="C79" s="44">
        <f>IF(HRM[[#This Row],[Date]]="","",HRM[[#This Row],[Date]])</f>
        <v>43770</v>
      </c>
      <c r="D79" s="45">
        <f>IF(HRM[[#This Row],[Date]]="","",HRM[[#This Row],[Date]])</f>
        <v>43770</v>
      </c>
      <c r="E79" s="46" t="s">
        <v>24</v>
      </c>
      <c r="F79" s="47" t="str">
        <f>IFERROR(IF(HRM[[#This Row],[Employee Name]]="","",VLOOKUP(HRM[[#This Row],[Employee Name]],'Employee Database'!B:K,2,0)),"")</f>
        <v>Field Force</v>
      </c>
      <c r="G79" s="51">
        <v>129366</v>
      </c>
      <c r="H79" s="49">
        <f>IFERROR(IF(HRM[[#This Row],[Employee Name]]="","",VLOOKUP(HRM[[#This Row],[Employee Name]],'Employee Database'!B:K,8,0)),"")</f>
        <v>5232.916666666667</v>
      </c>
      <c r="I79" s="49">
        <f>IFERROR(IF(HRM[[#This Row],[Employee Name]]="","",((VLOOKUP(HRM[[#This Row],[Employee Name]],'Employee Database'!B:K,9,0))*VLOOKUP(HRM[[#This Row],[Employee Name]],'Employee Database'!B:K,8,0))),"")</f>
        <v>313.97500000000002</v>
      </c>
      <c r="J79" s="49">
        <f>IFERROR(IF(HRM[[#This Row],[Employee Name]]="","",(VLOOKUP(HRM[[#This Row],[Employee Name]],'Employee Database'!B:K,10,0))*HRM[[#This Row],[Revenue generated by employee]]),"")</f>
        <v>1293.6600000000001</v>
      </c>
      <c r="K79" s="49">
        <f>IF(COUNT(HRM[[#This Row],[Base salary]:[Comission]])=0,"",SUM(HRM[[#This Row],[Base salary]:[Comission]]))</f>
        <v>6840.5516666666672</v>
      </c>
    </row>
    <row r="80" spans="1:11" x14ac:dyDescent="0.2">
      <c r="A80" s="24" t="str">
        <f t="shared" si="1"/>
        <v/>
      </c>
      <c r="B80" s="43">
        <v>43770</v>
      </c>
      <c r="C80" s="44">
        <f>IF(HRM[[#This Row],[Date]]="","",HRM[[#This Row],[Date]])</f>
        <v>43770</v>
      </c>
      <c r="D80" s="45">
        <f>IF(HRM[[#This Row],[Date]]="","",HRM[[#This Row],[Date]])</f>
        <v>43770</v>
      </c>
      <c r="E80" s="46" t="s">
        <v>25</v>
      </c>
      <c r="F80" s="47" t="str">
        <f>IFERROR(IF(HRM[[#This Row],[Employee Name]]="","",VLOOKUP(HRM[[#This Row],[Employee Name]],'Employee Database'!B:K,2,0)),"")</f>
        <v>Administrative</v>
      </c>
      <c r="G80" s="51">
        <v>0</v>
      </c>
      <c r="H80" s="49">
        <f>IFERROR(IF(HRM[[#This Row],[Employee Name]]="","",VLOOKUP(HRM[[#This Row],[Employee Name]],'Employee Database'!B:K,8,0)),"")</f>
        <v>6207.5</v>
      </c>
      <c r="I80" s="49">
        <f>IFERROR(IF(HRM[[#This Row],[Employee Name]]="","",((VLOOKUP(HRM[[#This Row],[Employee Name]],'Employee Database'!B:K,9,0))*VLOOKUP(HRM[[#This Row],[Employee Name]],'Employee Database'!B:K,8,0))),"")</f>
        <v>620.75</v>
      </c>
      <c r="J80" s="49">
        <f>IFERROR(IF(HRM[[#This Row],[Employee Name]]="","",(VLOOKUP(HRM[[#This Row],[Employee Name]],'Employee Database'!B:K,10,0))*HRM[[#This Row],[Revenue generated by employee]]),"")</f>
        <v>0</v>
      </c>
      <c r="K80" s="49">
        <f>IF(COUNT(HRM[[#This Row],[Base salary]:[Comission]])=0,"",SUM(HRM[[#This Row],[Base salary]:[Comission]]))</f>
        <v>6828.25</v>
      </c>
    </row>
    <row r="81" spans="1:11" x14ac:dyDescent="0.2">
      <c r="A81" s="24" t="str">
        <f t="shared" si="1"/>
        <v/>
      </c>
      <c r="B81" s="43">
        <v>43770</v>
      </c>
      <c r="C81" s="44">
        <f>IF(HRM[[#This Row],[Date]]="","",HRM[[#This Row],[Date]])</f>
        <v>43770</v>
      </c>
      <c r="D81" s="45">
        <f>IF(HRM[[#This Row],[Date]]="","",HRM[[#This Row],[Date]])</f>
        <v>43770</v>
      </c>
      <c r="E81" s="46" t="s">
        <v>26</v>
      </c>
      <c r="F81" s="47" t="str">
        <f>IFERROR(IF(HRM[[#This Row],[Employee Name]]="","",VLOOKUP(HRM[[#This Row],[Employee Name]],'Employee Database'!B:K,2,0)),"")</f>
        <v>Field Force</v>
      </c>
      <c r="G81" s="51">
        <v>111360</v>
      </c>
      <c r="H81" s="49">
        <f>IFERROR(IF(HRM[[#This Row],[Employee Name]]="","",VLOOKUP(HRM[[#This Row],[Employee Name]],'Employee Database'!B:K,8,0)),"")</f>
        <v>6858.083333333333</v>
      </c>
      <c r="I81" s="49">
        <f>IFERROR(IF(HRM[[#This Row],[Employee Name]]="","",((VLOOKUP(HRM[[#This Row],[Employee Name]],'Employee Database'!B:K,9,0))*VLOOKUP(HRM[[#This Row],[Employee Name]],'Employee Database'!B:K,8,0))),"")</f>
        <v>411.48499999999996</v>
      </c>
      <c r="J81" s="49">
        <f>IFERROR(IF(HRM[[#This Row],[Employee Name]]="","",(VLOOKUP(HRM[[#This Row],[Employee Name]],'Employee Database'!B:K,10,0))*HRM[[#This Row],[Revenue generated by employee]]),"")</f>
        <v>1113.6000000000001</v>
      </c>
      <c r="K81" s="49">
        <f>IF(COUNT(HRM[[#This Row],[Base salary]:[Comission]])=0,"",SUM(HRM[[#This Row],[Base salary]:[Comission]]))</f>
        <v>8383.1683333333331</v>
      </c>
    </row>
    <row r="82" spans="1:11" x14ac:dyDescent="0.2">
      <c r="A82" s="24" t="str">
        <f t="shared" si="1"/>
        <v/>
      </c>
      <c r="B82" s="43">
        <v>43770</v>
      </c>
      <c r="C82" s="44">
        <f>IF(HRM[[#This Row],[Date]]="","",HRM[[#This Row],[Date]])</f>
        <v>43770</v>
      </c>
      <c r="D82" s="45">
        <f>IF(HRM[[#This Row],[Date]]="","",HRM[[#This Row],[Date]])</f>
        <v>43770</v>
      </c>
      <c r="E82" s="46" t="s">
        <v>27</v>
      </c>
      <c r="F82" s="47" t="str">
        <f>IFERROR(IF(HRM[[#This Row],[Employee Name]]="","",VLOOKUP(HRM[[#This Row],[Employee Name]],'Employee Database'!B:K,2,0)),"")</f>
        <v>Field Force</v>
      </c>
      <c r="G82" s="51">
        <v>0</v>
      </c>
      <c r="H82" s="49">
        <f>IFERROR(IF(HRM[[#This Row],[Employee Name]]="","",VLOOKUP(HRM[[#This Row],[Employee Name]],'Employee Database'!B:K,8,0)),"")</f>
        <v>4132.666666666667</v>
      </c>
      <c r="I82" s="49">
        <f>IFERROR(IF(HRM[[#This Row],[Employee Name]]="","",((VLOOKUP(HRM[[#This Row],[Employee Name]],'Employee Database'!B:K,9,0))*VLOOKUP(HRM[[#This Row],[Employee Name]],'Employee Database'!B:K,8,0))),"")</f>
        <v>247.96</v>
      </c>
      <c r="J82" s="49">
        <f>IFERROR(IF(HRM[[#This Row],[Employee Name]]="","",(VLOOKUP(HRM[[#This Row],[Employee Name]],'Employee Database'!B:K,10,0))*HRM[[#This Row],[Revenue generated by employee]]),"")</f>
        <v>0</v>
      </c>
      <c r="K82" s="49">
        <f>IF(COUNT(HRM[[#This Row],[Base salary]:[Comission]])=0,"",SUM(HRM[[#This Row],[Base salary]:[Comission]]))</f>
        <v>4380.626666666667</v>
      </c>
    </row>
    <row r="83" spans="1:11" x14ac:dyDescent="0.2">
      <c r="A83" s="24" t="str">
        <f t="shared" si="1"/>
        <v/>
      </c>
      <c r="B83" s="43">
        <v>43770</v>
      </c>
      <c r="C83" s="44">
        <f>IF(HRM[[#This Row],[Date]]="","",HRM[[#This Row],[Date]])</f>
        <v>43770</v>
      </c>
      <c r="D83" s="45">
        <f>IF(HRM[[#This Row],[Date]]="","",HRM[[#This Row],[Date]])</f>
        <v>43770</v>
      </c>
      <c r="E83" s="46" t="s">
        <v>28</v>
      </c>
      <c r="F83" s="47" t="str">
        <f>IFERROR(IF(HRM[[#This Row],[Employee Name]]="","",VLOOKUP(HRM[[#This Row],[Employee Name]],'Employee Database'!B:K,2,0)),"")</f>
        <v>IT</v>
      </c>
      <c r="G83" s="51">
        <v>0</v>
      </c>
      <c r="H83" s="49">
        <f>IFERROR(IF(HRM[[#This Row],[Employee Name]]="","",VLOOKUP(HRM[[#This Row],[Employee Name]],'Employee Database'!B:K,8,0)),"")</f>
        <v>6109.166666666667</v>
      </c>
      <c r="I83" s="49">
        <f>IFERROR(IF(HRM[[#This Row],[Employee Name]]="","",((VLOOKUP(HRM[[#This Row],[Employee Name]],'Employee Database'!B:K,9,0))*VLOOKUP(HRM[[#This Row],[Employee Name]],'Employee Database'!B:K,8,0))),"")</f>
        <v>610.91666666666674</v>
      </c>
      <c r="J83" s="49">
        <f>IFERROR(IF(HRM[[#This Row],[Employee Name]]="","",(VLOOKUP(HRM[[#This Row],[Employee Name]],'Employee Database'!B:K,10,0))*HRM[[#This Row],[Revenue generated by employee]]),"")</f>
        <v>0</v>
      </c>
      <c r="K83" s="49">
        <f>IF(COUNT(HRM[[#This Row],[Base salary]:[Comission]])=0,"",SUM(HRM[[#This Row],[Base salary]:[Comission]]))</f>
        <v>6720.0833333333339</v>
      </c>
    </row>
    <row r="84" spans="1:11" x14ac:dyDescent="0.2">
      <c r="A84" s="24" t="str">
        <f t="shared" si="1"/>
        <v/>
      </c>
      <c r="B84" s="43">
        <v>43770</v>
      </c>
      <c r="C84" s="44">
        <f>IF(HRM[[#This Row],[Date]]="","",HRM[[#This Row],[Date]])</f>
        <v>43770</v>
      </c>
      <c r="D84" s="45">
        <f>IF(HRM[[#This Row],[Date]]="","",HRM[[#This Row],[Date]])</f>
        <v>43770</v>
      </c>
      <c r="E84" s="46" t="s">
        <v>29</v>
      </c>
      <c r="F84" s="47" t="str">
        <f>IFERROR(IF(HRM[[#This Row],[Employee Name]]="","",VLOOKUP(HRM[[#This Row],[Employee Name]],'Employee Database'!B:K,2,0)),"")</f>
        <v>General Management</v>
      </c>
      <c r="G84" s="51">
        <v>0</v>
      </c>
      <c r="H84" s="49">
        <f>IFERROR(IF(HRM[[#This Row],[Employee Name]]="","",VLOOKUP(HRM[[#This Row],[Employee Name]],'Employee Database'!B:K,8,0)),"")</f>
        <v>10388.76923076923</v>
      </c>
      <c r="I84" s="49">
        <f>IFERROR(IF(HRM[[#This Row],[Employee Name]]="","",((VLOOKUP(HRM[[#This Row],[Employee Name]],'Employee Database'!B:K,9,0))*VLOOKUP(HRM[[#This Row],[Employee Name]],'Employee Database'!B:K,8,0))),"")</f>
        <v>1246.6523076923077</v>
      </c>
      <c r="J84" s="49">
        <f>IFERROR(IF(HRM[[#This Row],[Employee Name]]="","",(VLOOKUP(HRM[[#This Row],[Employee Name]],'Employee Database'!B:K,10,0))*HRM[[#This Row],[Revenue generated by employee]]),"")</f>
        <v>0</v>
      </c>
      <c r="K84" s="49">
        <f>IF(COUNT(HRM[[#This Row],[Base salary]:[Comission]])=0,"",SUM(HRM[[#This Row],[Base salary]:[Comission]]))</f>
        <v>11635.421538461538</v>
      </c>
    </row>
    <row r="85" spans="1:11" x14ac:dyDescent="0.2">
      <c r="A85" s="24" t="str">
        <f t="shared" si="1"/>
        <v/>
      </c>
      <c r="B85" s="43">
        <v>43770</v>
      </c>
      <c r="C85" s="44">
        <f>IF(HRM[[#This Row],[Date]]="","",HRM[[#This Row],[Date]])</f>
        <v>43770</v>
      </c>
      <c r="D85" s="45">
        <f>IF(HRM[[#This Row],[Date]]="","",HRM[[#This Row],[Date]])</f>
        <v>43770</v>
      </c>
      <c r="E85" s="46" t="s">
        <v>30</v>
      </c>
      <c r="F85" s="47" t="str">
        <f>IFERROR(IF(HRM[[#This Row],[Employee Name]]="","",VLOOKUP(HRM[[#This Row],[Employee Name]],'Employee Database'!B:K,2,0)),"")</f>
        <v>Administrative</v>
      </c>
      <c r="G85" s="51">
        <v>0</v>
      </c>
      <c r="H85" s="49">
        <f>IFERROR(IF(HRM[[#This Row],[Employee Name]]="","",VLOOKUP(HRM[[#This Row],[Employee Name]],'Employee Database'!B:K,8,0)),"")</f>
        <v>4230</v>
      </c>
      <c r="I85" s="49">
        <f>IFERROR(IF(HRM[[#This Row],[Employee Name]]="","",((VLOOKUP(HRM[[#This Row],[Employee Name]],'Employee Database'!B:K,9,0))*VLOOKUP(HRM[[#This Row],[Employee Name]],'Employee Database'!B:K,8,0))),"")</f>
        <v>423</v>
      </c>
      <c r="J85" s="49">
        <f>IFERROR(IF(HRM[[#This Row],[Employee Name]]="","",(VLOOKUP(HRM[[#This Row],[Employee Name]],'Employee Database'!B:K,10,0))*HRM[[#This Row],[Revenue generated by employee]]),"")</f>
        <v>0</v>
      </c>
      <c r="K85" s="49">
        <f>IF(COUNT(HRM[[#This Row],[Base salary]:[Comission]])=0,"",SUM(HRM[[#This Row],[Base salary]:[Comission]]))</f>
        <v>4653</v>
      </c>
    </row>
    <row r="86" spans="1:11" x14ac:dyDescent="0.2">
      <c r="A86" s="24" t="str">
        <f t="shared" si="1"/>
        <v/>
      </c>
      <c r="B86" s="43">
        <v>43800</v>
      </c>
      <c r="C86" s="44">
        <f>IF(HRM[[#This Row],[Date]]="","",HRM[[#This Row],[Date]])</f>
        <v>43800</v>
      </c>
      <c r="D86" s="45">
        <f>IF(HRM[[#This Row],[Date]]="","",HRM[[#This Row],[Date]])</f>
        <v>43800</v>
      </c>
      <c r="E86" s="46" t="s">
        <v>23</v>
      </c>
      <c r="F86" s="47" t="str">
        <f>IFERROR(IF(HRM[[#This Row],[Employee Name]]="","",VLOOKUP(HRM[[#This Row],[Employee Name]],'Employee Database'!B:K,2,0)),"")</f>
        <v>Field Force</v>
      </c>
      <c r="G86" s="51">
        <v>114371</v>
      </c>
      <c r="H86" s="49">
        <f>IFERROR(IF(HRM[[#This Row],[Employee Name]]="","",VLOOKUP(HRM[[#This Row],[Employee Name]],'Employee Database'!B:K,8,0)),"")</f>
        <v>6139.1333333333341</v>
      </c>
      <c r="I86" s="49">
        <f>IFERROR(IF(HRM[[#This Row],[Employee Name]]="","",((VLOOKUP(HRM[[#This Row],[Employee Name]],'Employee Database'!B:K,9,0))*VLOOKUP(HRM[[#This Row],[Employee Name]],'Employee Database'!B:K,8,0))),"")</f>
        <v>368.34800000000001</v>
      </c>
      <c r="J86" s="49">
        <f>IFERROR(IF(HRM[[#This Row],[Employee Name]]="","",(VLOOKUP(HRM[[#This Row],[Employee Name]],'Employee Database'!B:K,10,0))*HRM[[#This Row],[Revenue generated by employee]]),"")</f>
        <v>914.96800000000007</v>
      </c>
      <c r="K86" s="49">
        <f>IF(COUNT(HRM[[#This Row],[Base salary]:[Comission]])=0,"",SUM(HRM[[#This Row],[Base salary]:[Comission]]))</f>
        <v>7422.4493333333339</v>
      </c>
    </row>
    <row r="87" spans="1:11" x14ac:dyDescent="0.2">
      <c r="A87" s="24" t="str">
        <f t="shared" si="1"/>
        <v/>
      </c>
      <c r="B87" s="43">
        <v>43800</v>
      </c>
      <c r="C87" s="44">
        <f>IF(HRM[[#This Row],[Date]]="","",HRM[[#This Row],[Date]])</f>
        <v>43800</v>
      </c>
      <c r="D87" s="45">
        <f>IF(HRM[[#This Row],[Date]]="","",HRM[[#This Row],[Date]])</f>
        <v>43800</v>
      </c>
      <c r="E87" s="46" t="s">
        <v>24</v>
      </c>
      <c r="F87" s="47" t="str">
        <f>IFERROR(IF(HRM[[#This Row],[Employee Name]]="","",VLOOKUP(HRM[[#This Row],[Employee Name]],'Employee Database'!B:K,2,0)),"")</f>
        <v>Field Force</v>
      </c>
      <c r="G87" s="51">
        <v>122224</v>
      </c>
      <c r="H87" s="49">
        <f>IFERROR(IF(HRM[[#This Row],[Employee Name]]="","",VLOOKUP(HRM[[#This Row],[Employee Name]],'Employee Database'!B:K,8,0)),"")</f>
        <v>5232.916666666667</v>
      </c>
      <c r="I87" s="49">
        <f>IFERROR(IF(HRM[[#This Row],[Employee Name]]="","",((VLOOKUP(HRM[[#This Row],[Employee Name]],'Employee Database'!B:K,9,0))*VLOOKUP(HRM[[#This Row],[Employee Name]],'Employee Database'!B:K,8,0))),"")</f>
        <v>313.97500000000002</v>
      </c>
      <c r="J87" s="49">
        <f>IFERROR(IF(HRM[[#This Row],[Employee Name]]="","",(VLOOKUP(HRM[[#This Row],[Employee Name]],'Employee Database'!B:K,10,0))*HRM[[#This Row],[Revenue generated by employee]]),"")</f>
        <v>1222.24</v>
      </c>
      <c r="K87" s="49">
        <f>IF(COUNT(HRM[[#This Row],[Base salary]:[Comission]])=0,"",SUM(HRM[[#This Row],[Base salary]:[Comission]]))</f>
        <v>6769.1316666666671</v>
      </c>
    </row>
    <row r="88" spans="1:11" x14ac:dyDescent="0.2">
      <c r="A88" s="24" t="str">
        <f t="shared" si="1"/>
        <v/>
      </c>
      <c r="B88" s="43">
        <v>43800</v>
      </c>
      <c r="C88" s="44">
        <f>IF(HRM[[#This Row],[Date]]="","",HRM[[#This Row],[Date]])</f>
        <v>43800</v>
      </c>
      <c r="D88" s="45">
        <f>IF(HRM[[#This Row],[Date]]="","",HRM[[#This Row],[Date]])</f>
        <v>43800</v>
      </c>
      <c r="E88" s="46" t="s">
        <v>26</v>
      </c>
      <c r="F88" s="47" t="str">
        <f>IFERROR(IF(HRM[[#This Row],[Employee Name]]="","",VLOOKUP(HRM[[#This Row],[Employee Name]],'Employee Database'!B:K,2,0)),"")</f>
        <v>Field Force</v>
      </c>
      <c r="G88" s="51">
        <v>79437</v>
      </c>
      <c r="H88" s="49">
        <f>IFERROR(IF(HRM[[#This Row],[Employee Name]]="","",VLOOKUP(HRM[[#This Row],[Employee Name]],'Employee Database'!B:K,8,0)),"")</f>
        <v>6858.083333333333</v>
      </c>
      <c r="I88" s="49">
        <f>IFERROR(IF(HRM[[#This Row],[Employee Name]]="","",((VLOOKUP(HRM[[#This Row],[Employee Name]],'Employee Database'!B:K,9,0))*VLOOKUP(HRM[[#This Row],[Employee Name]],'Employee Database'!B:K,8,0))),"")</f>
        <v>411.48499999999996</v>
      </c>
      <c r="J88" s="49">
        <f>IFERROR(IF(HRM[[#This Row],[Employee Name]]="","",(VLOOKUP(HRM[[#This Row],[Employee Name]],'Employee Database'!B:K,10,0))*HRM[[#This Row],[Revenue generated by employee]]),"")</f>
        <v>794.37</v>
      </c>
      <c r="K88" s="49">
        <f>IF(COUNT(HRM[[#This Row],[Base salary]:[Comission]])=0,"",SUM(HRM[[#This Row],[Base salary]:[Comission]]))</f>
        <v>8063.9383333333326</v>
      </c>
    </row>
    <row r="89" spans="1:11" x14ac:dyDescent="0.2">
      <c r="A89" s="24" t="str">
        <f t="shared" si="1"/>
        <v/>
      </c>
      <c r="B89" s="43">
        <v>43800</v>
      </c>
      <c r="C89" s="44">
        <f>IF(HRM[[#This Row],[Date]]="","",HRM[[#This Row],[Date]])</f>
        <v>43800</v>
      </c>
      <c r="D89" s="45">
        <f>IF(HRM[[#This Row],[Date]]="","",HRM[[#This Row],[Date]])</f>
        <v>43800</v>
      </c>
      <c r="E89" s="46" t="s">
        <v>27</v>
      </c>
      <c r="F89" s="47" t="str">
        <f>IFERROR(IF(HRM[[#This Row],[Employee Name]]="","",VLOOKUP(HRM[[#This Row],[Employee Name]],'Employee Database'!B:K,2,0)),"")</f>
        <v>Field Force</v>
      </c>
      <c r="G89" s="51">
        <v>0</v>
      </c>
      <c r="H89" s="49">
        <f>IFERROR(IF(HRM[[#This Row],[Employee Name]]="","",VLOOKUP(HRM[[#This Row],[Employee Name]],'Employee Database'!B:K,8,0)),"")</f>
        <v>4132.666666666667</v>
      </c>
      <c r="I89" s="49">
        <f>IFERROR(IF(HRM[[#This Row],[Employee Name]]="","",((VLOOKUP(HRM[[#This Row],[Employee Name]],'Employee Database'!B:K,9,0))*VLOOKUP(HRM[[#This Row],[Employee Name]],'Employee Database'!B:K,8,0))),"")</f>
        <v>247.96</v>
      </c>
      <c r="J89" s="49">
        <f>IFERROR(IF(HRM[[#This Row],[Employee Name]]="","",(VLOOKUP(HRM[[#This Row],[Employee Name]],'Employee Database'!B:K,10,0))*HRM[[#This Row],[Revenue generated by employee]]),"")</f>
        <v>0</v>
      </c>
      <c r="K89" s="49">
        <f>IF(COUNT(HRM[[#This Row],[Base salary]:[Comission]])=0,"",SUM(HRM[[#This Row],[Base salary]:[Comission]]))</f>
        <v>4380.626666666667</v>
      </c>
    </row>
    <row r="90" spans="1:11" x14ac:dyDescent="0.2">
      <c r="A90" s="24" t="str">
        <f t="shared" si="1"/>
        <v/>
      </c>
      <c r="B90" s="43">
        <v>43800</v>
      </c>
      <c r="C90" s="44">
        <f>IF(HRM[[#This Row],[Date]]="","",HRM[[#This Row],[Date]])</f>
        <v>43800</v>
      </c>
      <c r="D90" s="45">
        <f>IF(HRM[[#This Row],[Date]]="","",HRM[[#This Row],[Date]])</f>
        <v>43800</v>
      </c>
      <c r="E90" s="46" t="s">
        <v>28</v>
      </c>
      <c r="F90" s="47" t="str">
        <f>IFERROR(IF(HRM[[#This Row],[Employee Name]]="","",VLOOKUP(HRM[[#This Row],[Employee Name]],'Employee Database'!B:K,2,0)),"")</f>
        <v>IT</v>
      </c>
      <c r="G90" s="51">
        <v>0</v>
      </c>
      <c r="H90" s="49">
        <f>IFERROR(IF(HRM[[#This Row],[Employee Name]]="","",VLOOKUP(HRM[[#This Row],[Employee Name]],'Employee Database'!B:K,8,0)),"")</f>
        <v>6109.166666666667</v>
      </c>
      <c r="I90" s="49">
        <f>IFERROR(IF(HRM[[#This Row],[Employee Name]]="","",((VLOOKUP(HRM[[#This Row],[Employee Name]],'Employee Database'!B:K,9,0))*VLOOKUP(HRM[[#This Row],[Employee Name]],'Employee Database'!B:K,8,0))),"")</f>
        <v>610.91666666666674</v>
      </c>
      <c r="J90" s="49">
        <f>IFERROR(IF(HRM[[#This Row],[Employee Name]]="","",(VLOOKUP(HRM[[#This Row],[Employee Name]],'Employee Database'!B:K,10,0))*HRM[[#This Row],[Revenue generated by employee]]),"")</f>
        <v>0</v>
      </c>
      <c r="K90" s="49">
        <f>IF(COUNT(HRM[[#This Row],[Base salary]:[Comission]])=0,"",SUM(HRM[[#This Row],[Base salary]:[Comission]]))</f>
        <v>6720.0833333333339</v>
      </c>
    </row>
    <row r="91" spans="1:11" x14ac:dyDescent="0.2">
      <c r="A91" s="24" t="str">
        <f t="shared" si="1"/>
        <v/>
      </c>
      <c r="B91" s="43">
        <v>43800</v>
      </c>
      <c r="C91" s="44">
        <f>IF(HRM[[#This Row],[Date]]="","",HRM[[#This Row],[Date]])</f>
        <v>43800</v>
      </c>
      <c r="D91" s="45">
        <f>IF(HRM[[#This Row],[Date]]="","",HRM[[#This Row],[Date]])</f>
        <v>43800</v>
      </c>
      <c r="E91" s="46" t="s">
        <v>29</v>
      </c>
      <c r="F91" s="47" t="str">
        <f>IFERROR(IF(HRM[[#This Row],[Employee Name]]="","",VLOOKUP(HRM[[#This Row],[Employee Name]],'Employee Database'!B:K,2,0)),"")</f>
        <v>General Management</v>
      </c>
      <c r="G91" s="51">
        <v>0</v>
      </c>
      <c r="H91" s="49">
        <f>IFERROR(IF(HRM[[#This Row],[Employee Name]]="","",VLOOKUP(HRM[[#This Row],[Employee Name]],'Employee Database'!B:K,8,0)),"")</f>
        <v>10388.76923076923</v>
      </c>
      <c r="I91" s="49">
        <f>IFERROR(IF(HRM[[#This Row],[Employee Name]]="","",((VLOOKUP(HRM[[#This Row],[Employee Name]],'Employee Database'!B:K,9,0))*VLOOKUP(HRM[[#This Row],[Employee Name]],'Employee Database'!B:K,8,0))),"")</f>
        <v>1246.6523076923077</v>
      </c>
      <c r="J91" s="49">
        <f>IFERROR(IF(HRM[[#This Row],[Employee Name]]="","",(VLOOKUP(HRM[[#This Row],[Employee Name]],'Employee Database'!B:K,10,0))*HRM[[#This Row],[Revenue generated by employee]]),"")</f>
        <v>0</v>
      </c>
      <c r="K91" s="49">
        <f>IF(COUNT(HRM[[#This Row],[Base salary]:[Comission]])=0,"",SUM(HRM[[#This Row],[Base salary]:[Comission]]))</f>
        <v>11635.421538461538</v>
      </c>
    </row>
    <row r="92" spans="1:11" x14ac:dyDescent="0.2">
      <c r="A92" s="24" t="str">
        <f t="shared" si="1"/>
        <v/>
      </c>
      <c r="B92" s="43">
        <v>43800</v>
      </c>
      <c r="C92" s="44">
        <f>IF(HRM[[#This Row],[Date]]="","",HRM[[#This Row],[Date]])</f>
        <v>43800</v>
      </c>
      <c r="D92" s="45">
        <f>IF(HRM[[#This Row],[Date]]="","",HRM[[#This Row],[Date]])</f>
        <v>43800</v>
      </c>
      <c r="E92" s="46" t="s">
        <v>30</v>
      </c>
      <c r="F92" s="47" t="str">
        <f>IFERROR(IF(HRM[[#This Row],[Employee Name]]="","",VLOOKUP(HRM[[#This Row],[Employee Name]],'Employee Database'!B:K,2,0)),"")</f>
        <v>Administrative</v>
      </c>
      <c r="G92" s="51">
        <v>0</v>
      </c>
      <c r="H92" s="49">
        <f>IFERROR(IF(HRM[[#This Row],[Employee Name]]="","",VLOOKUP(HRM[[#This Row],[Employee Name]],'Employee Database'!B:K,8,0)),"")</f>
        <v>4230</v>
      </c>
      <c r="I92" s="49">
        <f>IFERROR(IF(HRM[[#This Row],[Employee Name]]="","",((VLOOKUP(HRM[[#This Row],[Employee Name]],'Employee Database'!B:K,9,0))*VLOOKUP(HRM[[#This Row],[Employee Name]],'Employee Database'!B:K,8,0))),"")</f>
        <v>423</v>
      </c>
      <c r="J92" s="49">
        <f>IFERROR(IF(HRM[[#This Row],[Employee Name]]="","",(VLOOKUP(HRM[[#This Row],[Employee Name]],'Employee Database'!B:K,10,0))*HRM[[#This Row],[Revenue generated by employee]]),"")</f>
        <v>0</v>
      </c>
      <c r="K92" s="49">
        <f>IF(COUNT(HRM[[#This Row],[Base salary]:[Comission]])=0,"",SUM(HRM[[#This Row],[Base salary]:[Comission]]))</f>
        <v>4653</v>
      </c>
    </row>
    <row r="93" spans="1:11" x14ac:dyDescent="0.2">
      <c r="A93" s="24" t="str">
        <f t="shared" si="1"/>
        <v/>
      </c>
      <c r="B93" s="43">
        <v>43831</v>
      </c>
      <c r="C93" s="44">
        <f>IF(HRM[[#This Row],[Date]]="","",HRM[[#This Row],[Date]])</f>
        <v>43831</v>
      </c>
      <c r="D93" s="45">
        <f>IF(HRM[[#This Row],[Date]]="","",HRM[[#This Row],[Date]])</f>
        <v>43831</v>
      </c>
      <c r="E93" s="46" t="s">
        <v>23</v>
      </c>
      <c r="F93" s="47" t="str">
        <f>IFERROR(IF(HRM[[#This Row],[Employee Name]]="","",VLOOKUP(HRM[[#This Row],[Employee Name]],'Employee Database'!B:K,2,0)),"")</f>
        <v>Field Force</v>
      </c>
      <c r="G93" s="51">
        <v>81336</v>
      </c>
      <c r="H93" s="49">
        <f>IFERROR(IF(HRM[[#This Row],[Employee Name]]="","",VLOOKUP(HRM[[#This Row],[Employee Name]],'Employee Database'!B:K,8,0)),"")</f>
        <v>6139.1333333333341</v>
      </c>
      <c r="I93" s="49">
        <f>IFERROR(IF(HRM[[#This Row],[Employee Name]]="","",((VLOOKUP(HRM[[#This Row],[Employee Name]],'Employee Database'!B:K,9,0))*VLOOKUP(HRM[[#This Row],[Employee Name]],'Employee Database'!B:K,8,0))),"")</f>
        <v>368.34800000000001</v>
      </c>
      <c r="J93" s="49">
        <f>IFERROR(IF(HRM[[#This Row],[Employee Name]]="","",(VLOOKUP(HRM[[#This Row],[Employee Name]],'Employee Database'!B:K,10,0))*HRM[[#This Row],[Revenue generated by employee]]),"")</f>
        <v>650.68799999999999</v>
      </c>
      <c r="K93" s="49">
        <f>IF(COUNT(HRM[[#This Row],[Base salary]:[Comission]])=0,"",SUM(HRM[[#This Row],[Base salary]:[Comission]]))</f>
        <v>7158.1693333333342</v>
      </c>
    </row>
    <row r="94" spans="1:11" x14ac:dyDescent="0.2">
      <c r="A94" s="24" t="str">
        <f t="shared" si="1"/>
        <v/>
      </c>
      <c r="B94" s="43">
        <v>43831</v>
      </c>
      <c r="C94" s="44">
        <f>IF(HRM[[#This Row],[Date]]="","",HRM[[#This Row],[Date]])</f>
        <v>43831</v>
      </c>
      <c r="D94" s="45">
        <f>IF(HRM[[#This Row],[Date]]="","",HRM[[#This Row],[Date]])</f>
        <v>43831</v>
      </c>
      <c r="E94" s="46" t="s">
        <v>24</v>
      </c>
      <c r="F94" s="47" t="str">
        <f>IFERROR(IF(HRM[[#This Row],[Employee Name]]="","",VLOOKUP(HRM[[#This Row],[Employee Name]],'Employee Database'!B:K,2,0)),"")</f>
        <v>Field Force</v>
      </c>
      <c r="G94" s="51">
        <v>107847</v>
      </c>
      <c r="H94" s="49">
        <f>IFERROR(IF(HRM[[#This Row],[Employee Name]]="","",VLOOKUP(HRM[[#This Row],[Employee Name]],'Employee Database'!B:K,8,0)),"")</f>
        <v>5232.916666666667</v>
      </c>
      <c r="I94" s="49">
        <f>IFERROR(IF(HRM[[#This Row],[Employee Name]]="","",((VLOOKUP(HRM[[#This Row],[Employee Name]],'Employee Database'!B:K,9,0))*VLOOKUP(HRM[[#This Row],[Employee Name]],'Employee Database'!B:K,8,0))),"")</f>
        <v>313.97500000000002</v>
      </c>
      <c r="J94" s="49">
        <f>IFERROR(IF(HRM[[#This Row],[Employee Name]]="","",(VLOOKUP(HRM[[#This Row],[Employee Name]],'Employee Database'!B:K,10,0))*HRM[[#This Row],[Revenue generated by employee]]),"")</f>
        <v>1078.47</v>
      </c>
      <c r="K94" s="49">
        <f>IF(COUNT(HRM[[#This Row],[Base salary]:[Comission]])=0,"",SUM(HRM[[#This Row],[Base salary]:[Comission]]))</f>
        <v>6625.3616666666676</v>
      </c>
    </row>
    <row r="95" spans="1:11" x14ac:dyDescent="0.2">
      <c r="A95" s="24" t="str">
        <f t="shared" si="1"/>
        <v/>
      </c>
      <c r="B95" s="43">
        <v>43831</v>
      </c>
      <c r="C95" s="44">
        <f>IF(HRM[[#This Row],[Date]]="","",HRM[[#This Row],[Date]])</f>
        <v>43831</v>
      </c>
      <c r="D95" s="45">
        <f>IF(HRM[[#This Row],[Date]]="","",HRM[[#This Row],[Date]])</f>
        <v>43831</v>
      </c>
      <c r="E95" s="46" t="s">
        <v>26</v>
      </c>
      <c r="F95" s="47" t="str">
        <f>IFERROR(IF(HRM[[#This Row],[Employee Name]]="","",VLOOKUP(HRM[[#This Row],[Employee Name]],'Employee Database'!B:K,2,0)),"")</f>
        <v>Field Force</v>
      </c>
      <c r="G95" s="51">
        <v>86355</v>
      </c>
      <c r="H95" s="49">
        <f>IFERROR(IF(HRM[[#This Row],[Employee Name]]="","",VLOOKUP(HRM[[#This Row],[Employee Name]],'Employee Database'!B:K,8,0)),"")</f>
        <v>6858.083333333333</v>
      </c>
      <c r="I95" s="49">
        <f>IFERROR(IF(HRM[[#This Row],[Employee Name]]="","",((VLOOKUP(HRM[[#This Row],[Employee Name]],'Employee Database'!B:K,9,0))*VLOOKUP(HRM[[#This Row],[Employee Name]],'Employee Database'!B:K,8,0))),"")</f>
        <v>411.48499999999996</v>
      </c>
      <c r="J95" s="49">
        <f>IFERROR(IF(HRM[[#This Row],[Employee Name]]="","",(VLOOKUP(HRM[[#This Row],[Employee Name]],'Employee Database'!B:K,10,0))*HRM[[#This Row],[Revenue generated by employee]]),"")</f>
        <v>863.55000000000007</v>
      </c>
      <c r="K95" s="49">
        <f>IF(COUNT(HRM[[#This Row],[Base salary]:[Comission]])=0,"",SUM(HRM[[#This Row],[Base salary]:[Comission]]))</f>
        <v>8133.1183333333329</v>
      </c>
    </row>
    <row r="96" spans="1:11" x14ac:dyDescent="0.2">
      <c r="A96" s="24" t="str">
        <f t="shared" si="1"/>
        <v/>
      </c>
      <c r="B96" s="43">
        <v>43831</v>
      </c>
      <c r="C96" s="44">
        <f>IF(HRM[[#This Row],[Date]]="","",HRM[[#This Row],[Date]])</f>
        <v>43831</v>
      </c>
      <c r="D96" s="45">
        <f>IF(HRM[[#This Row],[Date]]="","",HRM[[#This Row],[Date]])</f>
        <v>43831</v>
      </c>
      <c r="E96" s="46" t="s">
        <v>27</v>
      </c>
      <c r="F96" s="47" t="str">
        <f>IFERROR(IF(HRM[[#This Row],[Employee Name]]="","",VLOOKUP(HRM[[#This Row],[Employee Name]],'Employee Database'!B:K,2,0)),"")</f>
        <v>Field Force</v>
      </c>
      <c r="G96" s="51">
        <v>106579</v>
      </c>
      <c r="H96" s="49">
        <f>IFERROR(IF(HRM[[#This Row],[Employee Name]]="","",VLOOKUP(HRM[[#This Row],[Employee Name]],'Employee Database'!B:K,8,0)),"")</f>
        <v>4132.666666666667</v>
      </c>
      <c r="I96" s="49">
        <f>IFERROR(IF(HRM[[#This Row],[Employee Name]]="","",((VLOOKUP(HRM[[#This Row],[Employee Name]],'Employee Database'!B:K,9,0))*VLOOKUP(HRM[[#This Row],[Employee Name]],'Employee Database'!B:K,8,0))),"")</f>
        <v>247.96</v>
      </c>
      <c r="J96" s="49">
        <f>IFERROR(IF(HRM[[#This Row],[Employee Name]]="","",(VLOOKUP(HRM[[#This Row],[Employee Name]],'Employee Database'!B:K,10,0))*HRM[[#This Row],[Revenue generated by employee]]),"")</f>
        <v>1172.3689999999999</v>
      </c>
      <c r="K96" s="49">
        <f>IF(COUNT(HRM[[#This Row],[Base salary]:[Comission]])=0,"",SUM(HRM[[#This Row],[Base salary]:[Comission]]))</f>
        <v>5552.9956666666667</v>
      </c>
    </row>
    <row r="97" spans="1:11" x14ac:dyDescent="0.2">
      <c r="A97" s="24" t="str">
        <f t="shared" si="1"/>
        <v/>
      </c>
      <c r="B97" s="43">
        <v>43831</v>
      </c>
      <c r="C97" s="44">
        <f>IF(HRM[[#This Row],[Date]]="","",HRM[[#This Row],[Date]])</f>
        <v>43831</v>
      </c>
      <c r="D97" s="45">
        <f>IF(HRM[[#This Row],[Date]]="","",HRM[[#This Row],[Date]])</f>
        <v>43831</v>
      </c>
      <c r="E97" s="46" t="s">
        <v>28</v>
      </c>
      <c r="F97" s="47" t="str">
        <f>IFERROR(IF(HRM[[#This Row],[Employee Name]]="","",VLOOKUP(HRM[[#This Row],[Employee Name]],'Employee Database'!B:K,2,0)),"")</f>
        <v>IT</v>
      </c>
      <c r="G97" s="51">
        <v>0</v>
      </c>
      <c r="H97" s="49">
        <f>IFERROR(IF(HRM[[#This Row],[Employee Name]]="","",VLOOKUP(HRM[[#This Row],[Employee Name]],'Employee Database'!B:K,8,0)),"")</f>
        <v>6109.166666666667</v>
      </c>
      <c r="I97" s="49">
        <f>IFERROR(IF(HRM[[#This Row],[Employee Name]]="","",((VLOOKUP(HRM[[#This Row],[Employee Name]],'Employee Database'!B:K,9,0))*VLOOKUP(HRM[[#This Row],[Employee Name]],'Employee Database'!B:K,8,0))),"")</f>
        <v>610.91666666666674</v>
      </c>
      <c r="J97" s="49">
        <f>IFERROR(IF(HRM[[#This Row],[Employee Name]]="","",(VLOOKUP(HRM[[#This Row],[Employee Name]],'Employee Database'!B:K,10,0))*HRM[[#This Row],[Revenue generated by employee]]),"")</f>
        <v>0</v>
      </c>
      <c r="K97" s="49">
        <f>IF(COUNT(HRM[[#This Row],[Base salary]:[Comission]])=0,"",SUM(HRM[[#This Row],[Base salary]:[Comission]]))</f>
        <v>6720.0833333333339</v>
      </c>
    </row>
    <row r="98" spans="1:11" x14ac:dyDescent="0.2">
      <c r="A98" s="24" t="str">
        <f t="shared" si="1"/>
        <v/>
      </c>
      <c r="B98" s="43">
        <v>43831</v>
      </c>
      <c r="C98" s="44">
        <f>IF(HRM[[#This Row],[Date]]="","",HRM[[#This Row],[Date]])</f>
        <v>43831</v>
      </c>
      <c r="D98" s="45">
        <f>IF(HRM[[#This Row],[Date]]="","",HRM[[#This Row],[Date]])</f>
        <v>43831</v>
      </c>
      <c r="E98" s="46" t="s">
        <v>29</v>
      </c>
      <c r="F98" s="47" t="str">
        <f>IFERROR(IF(HRM[[#This Row],[Employee Name]]="","",VLOOKUP(HRM[[#This Row],[Employee Name]],'Employee Database'!B:K,2,0)),"")</f>
        <v>General Management</v>
      </c>
      <c r="G98" s="51">
        <v>0</v>
      </c>
      <c r="H98" s="49">
        <f>IFERROR(IF(HRM[[#This Row],[Employee Name]]="","",VLOOKUP(HRM[[#This Row],[Employee Name]],'Employee Database'!B:K,8,0)),"")</f>
        <v>10388.76923076923</v>
      </c>
      <c r="I98" s="49">
        <f>IFERROR(IF(HRM[[#This Row],[Employee Name]]="","",((VLOOKUP(HRM[[#This Row],[Employee Name]],'Employee Database'!B:K,9,0))*VLOOKUP(HRM[[#This Row],[Employee Name]],'Employee Database'!B:K,8,0))),"")</f>
        <v>1246.6523076923077</v>
      </c>
      <c r="J98" s="49">
        <f>IFERROR(IF(HRM[[#This Row],[Employee Name]]="","",(VLOOKUP(HRM[[#This Row],[Employee Name]],'Employee Database'!B:K,10,0))*HRM[[#This Row],[Revenue generated by employee]]),"")</f>
        <v>0</v>
      </c>
      <c r="K98" s="49">
        <f>IF(COUNT(HRM[[#This Row],[Base salary]:[Comission]])=0,"",SUM(HRM[[#This Row],[Base salary]:[Comission]]))</f>
        <v>11635.421538461538</v>
      </c>
    </row>
    <row r="99" spans="1:11" x14ac:dyDescent="0.2">
      <c r="A99" s="24" t="str">
        <f t="shared" si="1"/>
        <v/>
      </c>
      <c r="B99" s="43">
        <v>43831</v>
      </c>
      <c r="C99" s="44">
        <f>IF(HRM[[#This Row],[Date]]="","",HRM[[#This Row],[Date]])</f>
        <v>43831</v>
      </c>
      <c r="D99" s="45">
        <f>IF(HRM[[#This Row],[Date]]="","",HRM[[#This Row],[Date]])</f>
        <v>43831</v>
      </c>
      <c r="E99" s="46" t="s">
        <v>30</v>
      </c>
      <c r="F99" s="47" t="str">
        <f>IFERROR(IF(HRM[[#This Row],[Employee Name]]="","",VLOOKUP(HRM[[#This Row],[Employee Name]],'Employee Database'!B:K,2,0)),"")</f>
        <v>Administrative</v>
      </c>
      <c r="G99" s="51">
        <v>0</v>
      </c>
      <c r="H99" s="49">
        <f>IFERROR(IF(HRM[[#This Row],[Employee Name]]="","",VLOOKUP(HRM[[#This Row],[Employee Name]],'Employee Database'!B:K,8,0)),"")</f>
        <v>4230</v>
      </c>
      <c r="I99" s="49">
        <f>IFERROR(IF(HRM[[#This Row],[Employee Name]]="","",((VLOOKUP(HRM[[#This Row],[Employee Name]],'Employee Database'!B:K,9,0))*VLOOKUP(HRM[[#This Row],[Employee Name]],'Employee Database'!B:K,8,0))),"")</f>
        <v>423</v>
      </c>
      <c r="J99" s="49">
        <f>IFERROR(IF(HRM[[#This Row],[Employee Name]]="","",(VLOOKUP(HRM[[#This Row],[Employee Name]],'Employee Database'!B:K,10,0))*HRM[[#This Row],[Revenue generated by employee]]),"")</f>
        <v>0</v>
      </c>
      <c r="K99" s="49">
        <f>IF(COUNT(HRM[[#This Row],[Base salary]:[Comission]])=0,"",SUM(HRM[[#This Row],[Base salary]:[Comission]]))</f>
        <v>4653</v>
      </c>
    </row>
    <row r="100" spans="1:11" x14ac:dyDescent="0.2">
      <c r="A100" s="24" t="str">
        <f t="shared" si="1"/>
        <v/>
      </c>
      <c r="B100" s="43">
        <v>43862</v>
      </c>
      <c r="C100" s="44">
        <f>IF(HRM[[#This Row],[Date]]="","",HRM[[#This Row],[Date]])</f>
        <v>43862</v>
      </c>
      <c r="D100" s="45">
        <f>IF(HRM[[#This Row],[Date]]="","",HRM[[#This Row],[Date]])</f>
        <v>43862</v>
      </c>
      <c r="E100" s="46" t="s">
        <v>23</v>
      </c>
      <c r="F100" s="47" t="str">
        <f>IFERROR(IF(HRM[[#This Row],[Employee Name]]="","",VLOOKUP(HRM[[#This Row],[Employee Name]],'Employee Database'!B:K,2,0)),"")</f>
        <v>Field Force</v>
      </c>
      <c r="G100" s="51">
        <v>98421</v>
      </c>
      <c r="H100" s="49">
        <f>IFERROR(IF(HRM[[#This Row],[Employee Name]]="","",VLOOKUP(HRM[[#This Row],[Employee Name]],'Employee Database'!B:K,8,0)),"")</f>
        <v>6139.1333333333341</v>
      </c>
      <c r="I100" s="49">
        <f>IFERROR(IF(HRM[[#This Row],[Employee Name]]="","",((VLOOKUP(HRM[[#This Row],[Employee Name]],'Employee Database'!B:K,9,0))*VLOOKUP(HRM[[#This Row],[Employee Name]],'Employee Database'!B:K,8,0))),"")</f>
        <v>368.34800000000001</v>
      </c>
      <c r="J100" s="49">
        <f>IFERROR(IF(HRM[[#This Row],[Employee Name]]="","",(VLOOKUP(HRM[[#This Row],[Employee Name]],'Employee Database'!B:K,10,0))*HRM[[#This Row],[Revenue generated by employee]]),"")</f>
        <v>787.36800000000005</v>
      </c>
      <c r="K100" s="49">
        <f>IF(COUNT(HRM[[#This Row],[Base salary]:[Comission]])=0,"",SUM(HRM[[#This Row],[Base salary]:[Comission]]))</f>
        <v>7294.8493333333345</v>
      </c>
    </row>
    <row r="101" spans="1:11" x14ac:dyDescent="0.2">
      <c r="A101" s="24" t="str">
        <f t="shared" si="1"/>
        <v/>
      </c>
      <c r="B101" s="43">
        <v>43862</v>
      </c>
      <c r="C101" s="44">
        <f>IF(HRM[[#This Row],[Date]]="","",HRM[[#This Row],[Date]])</f>
        <v>43862</v>
      </c>
      <c r="D101" s="45">
        <f>IF(HRM[[#This Row],[Date]]="","",HRM[[#This Row],[Date]])</f>
        <v>43862</v>
      </c>
      <c r="E101" s="46" t="s">
        <v>24</v>
      </c>
      <c r="F101" s="47" t="str">
        <f>IFERROR(IF(HRM[[#This Row],[Employee Name]]="","",VLOOKUP(HRM[[#This Row],[Employee Name]],'Employee Database'!B:K,2,0)),"")</f>
        <v>Field Force</v>
      </c>
      <c r="G101" s="51">
        <v>78654</v>
      </c>
      <c r="H101" s="49">
        <f>IFERROR(IF(HRM[[#This Row],[Employee Name]]="","",VLOOKUP(HRM[[#This Row],[Employee Name]],'Employee Database'!B:K,8,0)),"")</f>
        <v>5232.916666666667</v>
      </c>
      <c r="I101" s="49">
        <f>IFERROR(IF(HRM[[#This Row],[Employee Name]]="","",((VLOOKUP(HRM[[#This Row],[Employee Name]],'Employee Database'!B:K,9,0))*VLOOKUP(HRM[[#This Row],[Employee Name]],'Employee Database'!B:K,8,0))),"")</f>
        <v>313.97500000000002</v>
      </c>
      <c r="J101" s="49">
        <f>IFERROR(IF(HRM[[#This Row],[Employee Name]]="","",(VLOOKUP(HRM[[#This Row],[Employee Name]],'Employee Database'!B:K,10,0))*HRM[[#This Row],[Revenue generated by employee]]),"")</f>
        <v>786.54</v>
      </c>
      <c r="K101" s="49">
        <f>IF(COUNT(HRM[[#This Row],[Base salary]:[Comission]])=0,"",SUM(HRM[[#This Row],[Base salary]:[Comission]]))</f>
        <v>6333.4316666666673</v>
      </c>
    </row>
    <row r="102" spans="1:11" x14ac:dyDescent="0.2">
      <c r="A102" s="24" t="str">
        <f t="shared" si="1"/>
        <v/>
      </c>
      <c r="B102" s="43">
        <v>43862</v>
      </c>
      <c r="C102" s="44">
        <f>IF(HRM[[#This Row],[Date]]="","",HRM[[#This Row],[Date]])</f>
        <v>43862</v>
      </c>
      <c r="D102" s="45">
        <f>IF(HRM[[#This Row],[Date]]="","",HRM[[#This Row],[Date]])</f>
        <v>43862</v>
      </c>
      <c r="E102" s="46" t="s">
        <v>26</v>
      </c>
      <c r="F102" s="47" t="str">
        <f>IFERROR(IF(HRM[[#This Row],[Employee Name]]="","",VLOOKUP(HRM[[#This Row],[Employee Name]],'Employee Database'!B:K,2,0)),"")</f>
        <v>Field Force</v>
      </c>
      <c r="G102" s="51">
        <v>95291</v>
      </c>
      <c r="H102" s="49">
        <f>IFERROR(IF(HRM[[#This Row],[Employee Name]]="","",VLOOKUP(HRM[[#This Row],[Employee Name]],'Employee Database'!B:K,8,0)),"")</f>
        <v>6858.083333333333</v>
      </c>
      <c r="I102" s="49">
        <f>IFERROR(IF(HRM[[#This Row],[Employee Name]]="","",((VLOOKUP(HRM[[#This Row],[Employee Name]],'Employee Database'!B:K,9,0))*VLOOKUP(HRM[[#This Row],[Employee Name]],'Employee Database'!B:K,8,0))),"")</f>
        <v>411.48499999999996</v>
      </c>
      <c r="J102" s="49">
        <f>IFERROR(IF(HRM[[#This Row],[Employee Name]]="","",(VLOOKUP(HRM[[#This Row],[Employee Name]],'Employee Database'!B:K,10,0))*HRM[[#This Row],[Revenue generated by employee]]),"")</f>
        <v>952.91</v>
      </c>
      <c r="K102" s="49">
        <f>IF(COUNT(HRM[[#This Row],[Base salary]:[Comission]])=0,"",SUM(HRM[[#This Row],[Base salary]:[Comission]]))</f>
        <v>8222.4783333333326</v>
      </c>
    </row>
    <row r="103" spans="1:11" x14ac:dyDescent="0.2">
      <c r="A103" s="24" t="str">
        <f t="shared" si="1"/>
        <v/>
      </c>
      <c r="B103" s="43">
        <v>43862</v>
      </c>
      <c r="C103" s="44">
        <f>IF(HRM[[#This Row],[Date]]="","",HRM[[#This Row],[Date]])</f>
        <v>43862</v>
      </c>
      <c r="D103" s="45">
        <f>IF(HRM[[#This Row],[Date]]="","",HRM[[#This Row],[Date]])</f>
        <v>43862</v>
      </c>
      <c r="E103" s="46" t="s">
        <v>27</v>
      </c>
      <c r="F103" s="47" t="str">
        <f>IFERROR(IF(HRM[[#This Row],[Employee Name]]="","",VLOOKUP(HRM[[#This Row],[Employee Name]],'Employee Database'!B:K,2,0)),"")</f>
        <v>Field Force</v>
      </c>
      <c r="G103" s="51">
        <v>115969</v>
      </c>
      <c r="H103" s="49">
        <f>IFERROR(IF(HRM[[#This Row],[Employee Name]]="","",VLOOKUP(HRM[[#This Row],[Employee Name]],'Employee Database'!B:K,8,0)),"")</f>
        <v>4132.666666666667</v>
      </c>
      <c r="I103" s="49">
        <f>IFERROR(IF(HRM[[#This Row],[Employee Name]]="","",((VLOOKUP(HRM[[#This Row],[Employee Name]],'Employee Database'!B:K,9,0))*VLOOKUP(HRM[[#This Row],[Employee Name]],'Employee Database'!B:K,8,0))),"")</f>
        <v>247.96</v>
      </c>
      <c r="J103" s="49">
        <f>IFERROR(IF(HRM[[#This Row],[Employee Name]]="","",(VLOOKUP(HRM[[#This Row],[Employee Name]],'Employee Database'!B:K,10,0))*HRM[[#This Row],[Revenue generated by employee]]),"")</f>
        <v>1275.6589999999999</v>
      </c>
      <c r="K103" s="49">
        <f>IF(COUNT(HRM[[#This Row],[Base salary]:[Comission]])=0,"",SUM(HRM[[#This Row],[Base salary]:[Comission]]))</f>
        <v>5656.2856666666667</v>
      </c>
    </row>
    <row r="104" spans="1:11" x14ac:dyDescent="0.2">
      <c r="A104" s="24" t="str">
        <f t="shared" si="1"/>
        <v/>
      </c>
      <c r="B104" s="43">
        <v>43862</v>
      </c>
      <c r="C104" s="44">
        <f>IF(HRM[[#This Row],[Date]]="","",HRM[[#This Row],[Date]])</f>
        <v>43862</v>
      </c>
      <c r="D104" s="45">
        <f>IF(HRM[[#This Row],[Date]]="","",HRM[[#This Row],[Date]])</f>
        <v>43862</v>
      </c>
      <c r="E104" s="46" t="s">
        <v>28</v>
      </c>
      <c r="F104" s="47" t="str">
        <f>IFERROR(IF(HRM[[#This Row],[Employee Name]]="","",VLOOKUP(HRM[[#This Row],[Employee Name]],'Employee Database'!B:K,2,0)),"")</f>
        <v>IT</v>
      </c>
      <c r="G104" s="51">
        <v>0</v>
      </c>
      <c r="H104" s="49">
        <f>IFERROR(IF(HRM[[#This Row],[Employee Name]]="","",VLOOKUP(HRM[[#This Row],[Employee Name]],'Employee Database'!B:K,8,0)),"")</f>
        <v>6109.166666666667</v>
      </c>
      <c r="I104" s="49">
        <f>IFERROR(IF(HRM[[#This Row],[Employee Name]]="","",((VLOOKUP(HRM[[#This Row],[Employee Name]],'Employee Database'!B:K,9,0))*VLOOKUP(HRM[[#This Row],[Employee Name]],'Employee Database'!B:K,8,0))),"")</f>
        <v>610.91666666666674</v>
      </c>
      <c r="J104" s="49">
        <f>IFERROR(IF(HRM[[#This Row],[Employee Name]]="","",(VLOOKUP(HRM[[#This Row],[Employee Name]],'Employee Database'!B:K,10,0))*HRM[[#This Row],[Revenue generated by employee]]),"")</f>
        <v>0</v>
      </c>
      <c r="K104" s="49">
        <f>IF(COUNT(HRM[[#This Row],[Base salary]:[Comission]])=0,"",SUM(HRM[[#This Row],[Base salary]:[Comission]]))</f>
        <v>6720.0833333333339</v>
      </c>
    </row>
    <row r="105" spans="1:11" x14ac:dyDescent="0.2">
      <c r="A105" s="24" t="str">
        <f t="shared" si="1"/>
        <v/>
      </c>
      <c r="B105" s="43">
        <v>43862</v>
      </c>
      <c r="C105" s="44">
        <f>IF(HRM[[#This Row],[Date]]="","",HRM[[#This Row],[Date]])</f>
        <v>43862</v>
      </c>
      <c r="D105" s="45">
        <f>IF(HRM[[#This Row],[Date]]="","",HRM[[#This Row],[Date]])</f>
        <v>43862</v>
      </c>
      <c r="E105" s="46" t="s">
        <v>29</v>
      </c>
      <c r="F105" s="47" t="str">
        <f>IFERROR(IF(HRM[[#This Row],[Employee Name]]="","",VLOOKUP(HRM[[#This Row],[Employee Name]],'Employee Database'!B:K,2,0)),"")</f>
        <v>General Management</v>
      </c>
      <c r="G105" s="51">
        <v>0</v>
      </c>
      <c r="H105" s="49">
        <f>IFERROR(IF(HRM[[#This Row],[Employee Name]]="","",VLOOKUP(HRM[[#This Row],[Employee Name]],'Employee Database'!B:K,8,0)),"")</f>
        <v>10388.76923076923</v>
      </c>
      <c r="I105" s="49">
        <f>IFERROR(IF(HRM[[#This Row],[Employee Name]]="","",((VLOOKUP(HRM[[#This Row],[Employee Name]],'Employee Database'!B:K,9,0))*VLOOKUP(HRM[[#This Row],[Employee Name]],'Employee Database'!B:K,8,0))),"")</f>
        <v>1246.6523076923077</v>
      </c>
      <c r="J105" s="49">
        <f>IFERROR(IF(HRM[[#This Row],[Employee Name]]="","",(VLOOKUP(HRM[[#This Row],[Employee Name]],'Employee Database'!B:K,10,0))*HRM[[#This Row],[Revenue generated by employee]]),"")</f>
        <v>0</v>
      </c>
      <c r="K105" s="49">
        <f>IF(COUNT(HRM[[#This Row],[Base salary]:[Comission]])=0,"",SUM(HRM[[#This Row],[Base salary]:[Comission]]))</f>
        <v>11635.421538461538</v>
      </c>
    </row>
    <row r="106" spans="1:11" x14ac:dyDescent="0.2">
      <c r="A106" s="24" t="str">
        <f t="shared" si="1"/>
        <v/>
      </c>
      <c r="B106" s="43">
        <v>43862</v>
      </c>
      <c r="C106" s="44">
        <f>IF(HRM[[#This Row],[Date]]="","",HRM[[#This Row],[Date]])</f>
        <v>43862</v>
      </c>
      <c r="D106" s="45">
        <f>IF(HRM[[#This Row],[Date]]="","",HRM[[#This Row],[Date]])</f>
        <v>43862</v>
      </c>
      <c r="E106" s="46" t="s">
        <v>30</v>
      </c>
      <c r="F106" s="47" t="str">
        <f>IFERROR(IF(HRM[[#This Row],[Employee Name]]="","",VLOOKUP(HRM[[#This Row],[Employee Name]],'Employee Database'!B:K,2,0)),"")</f>
        <v>Administrative</v>
      </c>
      <c r="G106" s="51">
        <v>0</v>
      </c>
      <c r="H106" s="49">
        <f>IFERROR(IF(HRM[[#This Row],[Employee Name]]="","",VLOOKUP(HRM[[#This Row],[Employee Name]],'Employee Database'!B:K,8,0)),"")</f>
        <v>4230</v>
      </c>
      <c r="I106" s="49">
        <f>IFERROR(IF(HRM[[#This Row],[Employee Name]]="","",((VLOOKUP(HRM[[#This Row],[Employee Name]],'Employee Database'!B:K,9,0))*VLOOKUP(HRM[[#This Row],[Employee Name]],'Employee Database'!B:K,8,0))),"")</f>
        <v>423</v>
      </c>
      <c r="J106" s="49">
        <f>IFERROR(IF(HRM[[#This Row],[Employee Name]]="","",(VLOOKUP(HRM[[#This Row],[Employee Name]],'Employee Database'!B:K,10,0))*HRM[[#This Row],[Revenue generated by employee]]),"")</f>
        <v>0</v>
      </c>
      <c r="K106" s="49">
        <f>IF(COUNT(HRM[[#This Row],[Base salary]:[Comission]])=0,"",SUM(HRM[[#This Row],[Base salary]:[Comission]]))</f>
        <v>4653</v>
      </c>
    </row>
    <row r="107" spans="1:11" x14ac:dyDescent="0.2">
      <c r="A107" s="24" t="str">
        <f t="shared" si="1"/>
        <v/>
      </c>
      <c r="B107" s="43">
        <v>43891</v>
      </c>
      <c r="C107" s="44">
        <f>IF(HRM[[#This Row],[Date]]="","",HRM[[#This Row],[Date]])</f>
        <v>43891</v>
      </c>
      <c r="D107" s="45">
        <f>IF(HRM[[#This Row],[Date]]="","",HRM[[#This Row],[Date]])</f>
        <v>43891</v>
      </c>
      <c r="E107" s="46" t="s">
        <v>23</v>
      </c>
      <c r="F107" s="47" t="str">
        <f>IFERROR(IF(HRM[[#This Row],[Employee Name]]="","",VLOOKUP(HRM[[#This Row],[Employee Name]],'Employee Database'!B:K,2,0)),"")</f>
        <v>Field Force</v>
      </c>
      <c r="G107" s="51">
        <v>124473</v>
      </c>
      <c r="H107" s="49">
        <f>IFERROR(IF(HRM[[#This Row],[Employee Name]]="","",VLOOKUP(HRM[[#This Row],[Employee Name]],'Employee Database'!B:K,8,0)),"")</f>
        <v>6139.1333333333341</v>
      </c>
      <c r="I107" s="49">
        <f>IFERROR(IF(HRM[[#This Row],[Employee Name]]="","",((VLOOKUP(HRM[[#This Row],[Employee Name]],'Employee Database'!B:K,9,0))*VLOOKUP(HRM[[#This Row],[Employee Name]],'Employee Database'!B:K,8,0))),"")</f>
        <v>368.34800000000001</v>
      </c>
      <c r="J107" s="49">
        <f>IFERROR(IF(HRM[[#This Row],[Employee Name]]="","",(VLOOKUP(HRM[[#This Row],[Employee Name]],'Employee Database'!B:K,10,0))*HRM[[#This Row],[Revenue generated by employee]]),"")</f>
        <v>995.78399999999999</v>
      </c>
      <c r="K107" s="49">
        <f>IF(COUNT(HRM[[#This Row],[Base salary]:[Comission]])=0,"",SUM(HRM[[#This Row],[Base salary]:[Comission]]))</f>
        <v>7503.2653333333337</v>
      </c>
    </row>
    <row r="108" spans="1:11" x14ac:dyDescent="0.2">
      <c r="A108" s="24" t="str">
        <f t="shared" si="1"/>
        <v/>
      </c>
      <c r="B108" s="43">
        <v>43891</v>
      </c>
      <c r="C108" s="44">
        <f>IF(HRM[[#This Row],[Date]]="","",HRM[[#This Row],[Date]])</f>
        <v>43891</v>
      </c>
      <c r="D108" s="45">
        <f>IF(HRM[[#This Row],[Date]]="","",HRM[[#This Row],[Date]])</f>
        <v>43891</v>
      </c>
      <c r="E108" s="46" t="s">
        <v>24</v>
      </c>
      <c r="F108" s="47" t="str">
        <f>IFERROR(IF(HRM[[#This Row],[Employee Name]]="","",VLOOKUP(HRM[[#This Row],[Employee Name]],'Employee Database'!B:K,2,0)),"")</f>
        <v>Field Force</v>
      </c>
      <c r="G108" s="51">
        <v>120815</v>
      </c>
      <c r="H108" s="49">
        <f>IFERROR(IF(HRM[[#This Row],[Employee Name]]="","",VLOOKUP(HRM[[#This Row],[Employee Name]],'Employee Database'!B:K,8,0)),"")</f>
        <v>5232.916666666667</v>
      </c>
      <c r="I108" s="49">
        <f>IFERROR(IF(HRM[[#This Row],[Employee Name]]="","",((VLOOKUP(HRM[[#This Row],[Employee Name]],'Employee Database'!B:K,9,0))*VLOOKUP(HRM[[#This Row],[Employee Name]],'Employee Database'!B:K,8,0))),"")</f>
        <v>313.97500000000002</v>
      </c>
      <c r="J108" s="49">
        <f>IFERROR(IF(HRM[[#This Row],[Employee Name]]="","",(VLOOKUP(HRM[[#This Row],[Employee Name]],'Employee Database'!B:K,10,0))*HRM[[#This Row],[Revenue generated by employee]]),"")</f>
        <v>1208.1500000000001</v>
      </c>
      <c r="K108" s="49">
        <f>IF(COUNT(HRM[[#This Row],[Base salary]:[Comission]])=0,"",SUM(HRM[[#This Row],[Base salary]:[Comission]]))</f>
        <v>6755.0416666666679</v>
      </c>
    </row>
    <row r="109" spans="1:11" x14ac:dyDescent="0.2">
      <c r="A109" s="24" t="str">
        <f t="shared" si="1"/>
        <v/>
      </c>
      <c r="B109" s="43">
        <v>43891</v>
      </c>
      <c r="C109" s="44">
        <f>IF(HRM[[#This Row],[Date]]="","",HRM[[#This Row],[Date]])</f>
        <v>43891</v>
      </c>
      <c r="D109" s="45">
        <f>IF(HRM[[#This Row],[Date]]="","",HRM[[#This Row],[Date]])</f>
        <v>43891</v>
      </c>
      <c r="E109" s="46" t="s">
        <v>26</v>
      </c>
      <c r="F109" s="47" t="str">
        <f>IFERROR(IF(HRM[[#This Row],[Employee Name]]="","",VLOOKUP(HRM[[#This Row],[Employee Name]],'Employee Database'!B:K,2,0)),"")</f>
        <v>Field Force</v>
      </c>
      <c r="G109" s="51">
        <v>81856</v>
      </c>
      <c r="H109" s="49">
        <f>IFERROR(IF(HRM[[#This Row],[Employee Name]]="","",VLOOKUP(HRM[[#This Row],[Employee Name]],'Employee Database'!B:K,8,0)),"")</f>
        <v>6858.083333333333</v>
      </c>
      <c r="I109" s="49">
        <f>IFERROR(IF(HRM[[#This Row],[Employee Name]]="","",((VLOOKUP(HRM[[#This Row],[Employee Name]],'Employee Database'!B:K,9,0))*VLOOKUP(HRM[[#This Row],[Employee Name]],'Employee Database'!B:K,8,0))),"")</f>
        <v>411.48499999999996</v>
      </c>
      <c r="J109" s="49">
        <f>IFERROR(IF(HRM[[#This Row],[Employee Name]]="","",(VLOOKUP(HRM[[#This Row],[Employee Name]],'Employee Database'!B:K,10,0))*HRM[[#This Row],[Revenue generated by employee]]),"")</f>
        <v>818.56000000000006</v>
      </c>
      <c r="K109" s="49">
        <f>IF(COUNT(HRM[[#This Row],[Base salary]:[Comission]])=0,"",SUM(HRM[[#This Row],[Base salary]:[Comission]]))</f>
        <v>8088.1283333333331</v>
      </c>
    </row>
    <row r="110" spans="1:11" x14ac:dyDescent="0.2">
      <c r="A110" s="24" t="str">
        <f t="shared" si="1"/>
        <v/>
      </c>
      <c r="B110" s="43">
        <v>43891</v>
      </c>
      <c r="C110" s="44">
        <f>IF(HRM[[#This Row],[Date]]="","",HRM[[#This Row],[Date]])</f>
        <v>43891</v>
      </c>
      <c r="D110" s="45">
        <f>IF(HRM[[#This Row],[Date]]="","",HRM[[#This Row],[Date]])</f>
        <v>43891</v>
      </c>
      <c r="E110" s="46" t="s">
        <v>27</v>
      </c>
      <c r="F110" s="47" t="str">
        <f>IFERROR(IF(HRM[[#This Row],[Employee Name]]="","",VLOOKUP(HRM[[#This Row],[Employee Name]],'Employee Database'!B:K,2,0)),"")</f>
        <v>Field Force</v>
      </c>
      <c r="G110" s="51">
        <v>118738</v>
      </c>
      <c r="H110" s="49">
        <f>IFERROR(IF(HRM[[#This Row],[Employee Name]]="","",VLOOKUP(HRM[[#This Row],[Employee Name]],'Employee Database'!B:K,8,0)),"")</f>
        <v>4132.666666666667</v>
      </c>
      <c r="I110" s="49">
        <f>IFERROR(IF(HRM[[#This Row],[Employee Name]]="","",((VLOOKUP(HRM[[#This Row],[Employee Name]],'Employee Database'!B:K,9,0))*VLOOKUP(HRM[[#This Row],[Employee Name]],'Employee Database'!B:K,8,0))),"")</f>
        <v>247.96</v>
      </c>
      <c r="J110" s="49">
        <f>IFERROR(IF(HRM[[#This Row],[Employee Name]]="","",(VLOOKUP(HRM[[#This Row],[Employee Name]],'Employee Database'!B:K,10,0))*HRM[[#This Row],[Revenue generated by employee]]),"")</f>
        <v>1306.1179999999999</v>
      </c>
      <c r="K110" s="49">
        <f>IF(COUNT(HRM[[#This Row],[Base salary]:[Comission]])=0,"",SUM(HRM[[#This Row],[Base salary]:[Comission]]))</f>
        <v>5686.7446666666674</v>
      </c>
    </row>
    <row r="111" spans="1:11" x14ac:dyDescent="0.2">
      <c r="A111" s="24" t="str">
        <f t="shared" si="1"/>
        <v/>
      </c>
      <c r="B111" s="43">
        <v>43891</v>
      </c>
      <c r="C111" s="44">
        <f>IF(HRM[[#This Row],[Date]]="","",HRM[[#This Row],[Date]])</f>
        <v>43891</v>
      </c>
      <c r="D111" s="45">
        <f>IF(HRM[[#This Row],[Date]]="","",HRM[[#This Row],[Date]])</f>
        <v>43891</v>
      </c>
      <c r="E111" s="46" t="s">
        <v>28</v>
      </c>
      <c r="F111" s="47" t="str">
        <f>IFERROR(IF(HRM[[#This Row],[Employee Name]]="","",VLOOKUP(HRM[[#This Row],[Employee Name]],'Employee Database'!B:K,2,0)),"")</f>
        <v>IT</v>
      </c>
      <c r="G111" s="51">
        <v>0</v>
      </c>
      <c r="H111" s="49">
        <f>IFERROR(IF(HRM[[#This Row],[Employee Name]]="","",VLOOKUP(HRM[[#This Row],[Employee Name]],'Employee Database'!B:K,8,0)),"")</f>
        <v>6109.166666666667</v>
      </c>
      <c r="I111" s="49">
        <f>IFERROR(IF(HRM[[#This Row],[Employee Name]]="","",((VLOOKUP(HRM[[#This Row],[Employee Name]],'Employee Database'!B:K,9,0))*VLOOKUP(HRM[[#This Row],[Employee Name]],'Employee Database'!B:K,8,0))),"")</f>
        <v>610.91666666666674</v>
      </c>
      <c r="J111" s="49">
        <f>IFERROR(IF(HRM[[#This Row],[Employee Name]]="","",(VLOOKUP(HRM[[#This Row],[Employee Name]],'Employee Database'!B:K,10,0))*HRM[[#This Row],[Revenue generated by employee]]),"")</f>
        <v>0</v>
      </c>
      <c r="K111" s="49">
        <f>IF(COUNT(HRM[[#This Row],[Base salary]:[Comission]])=0,"",SUM(HRM[[#This Row],[Base salary]:[Comission]]))</f>
        <v>6720.0833333333339</v>
      </c>
    </row>
    <row r="112" spans="1:11" x14ac:dyDescent="0.2">
      <c r="A112" s="24" t="str">
        <f t="shared" si="1"/>
        <v/>
      </c>
      <c r="B112" s="43">
        <v>43891</v>
      </c>
      <c r="C112" s="44">
        <f>IF(HRM[[#This Row],[Date]]="","",HRM[[#This Row],[Date]])</f>
        <v>43891</v>
      </c>
      <c r="D112" s="45">
        <f>IF(HRM[[#This Row],[Date]]="","",HRM[[#This Row],[Date]])</f>
        <v>43891</v>
      </c>
      <c r="E112" s="46" t="s">
        <v>29</v>
      </c>
      <c r="F112" s="47" t="str">
        <f>IFERROR(IF(HRM[[#This Row],[Employee Name]]="","",VLOOKUP(HRM[[#This Row],[Employee Name]],'Employee Database'!B:K,2,0)),"")</f>
        <v>General Management</v>
      </c>
      <c r="G112" s="51">
        <v>0</v>
      </c>
      <c r="H112" s="49">
        <f>IFERROR(IF(HRM[[#This Row],[Employee Name]]="","",VLOOKUP(HRM[[#This Row],[Employee Name]],'Employee Database'!B:K,8,0)),"")</f>
        <v>10388.76923076923</v>
      </c>
      <c r="I112" s="49">
        <f>IFERROR(IF(HRM[[#This Row],[Employee Name]]="","",((VLOOKUP(HRM[[#This Row],[Employee Name]],'Employee Database'!B:K,9,0))*VLOOKUP(HRM[[#This Row],[Employee Name]],'Employee Database'!B:K,8,0))),"")</f>
        <v>1246.6523076923077</v>
      </c>
      <c r="J112" s="49">
        <f>IFERROR(IF(HRM[[#This Row],[Employee Name]]="","",(VLOOKUP(HRM[[#This Row],[Employee Name]],'Employee Database'!B:K,10,0))*HRM[[#This Row],[Revenue generated by employee]]),"")</f>
        <v>0</v>
      </c>
      <c r="K112" s="49">
        <f>IF(COUNT(HRM[[#This Row],[Base salary]:[Comission]])=0,"",SUM(HRM[[#This Row],[Base salary]:[Comission]]))</f>
        <v>11635.421538461538</v>
      </c>
    </row>
    <row r="113" spans="1:11" x14ac:dyDescent="0.2">
      <c r="A113" s="24" t="str">
        <f t="shared" si="1"/>
        <v/>
      </c>
      <c r="B113" s="43">
        <v>43922</v>
      </c>
      <c r="C113" s="44">
        <f>IF(HRM[[#This Row],[Date]]="","",HRM[[#This Row],[Date]])</f>
        <v>43922</v>
      </c>
      <c r="D113" s="45">
        <f>IF(HRM[[#This Row],[Date]]="","",HRM[[#This Row],[Date]])</f>
        <v>43922</v>
      </c>
      <c r="E113" s="46" t="s">
        <v>23</v>
      </c>
      <c r="F113" s="47" t="str">
        <f>IFERROR(IF(HRM[[#This Row],[Employee Name]]="","",VLOOKUP(HRM[[#This Row],[Employee Name]],'Employee Database'!B:K,2,0)),"")</f>
        <v>Field Force</v>
      </c>
      <c r="G113" s="51">
        <v>89372</v>
      </c>
      <c r="H113" s="49">
        <f>IFERROR(IF(HRM[[#This Row],[Employee Name]]="","",VLOOKUP(HRM[[#This Row],[Employee Name]],'Employee Database'!B:K,8,0)),"")</f>
        <v>6139.1333333333341</v>
      </c>
      <c r="I113" s="49">
        <f>IFERROR(IF(HRM[[#This Row],[Employee Name]]="","",((VLOOKUP(HRM[[#This Row],[Employee Name]],'Employee Database'!B:K,9,0))*VLOOKUP(HRM[[#This Row],[Employee Name]],'Employee Database'!B:K,8,0))),"")</f>
        <v>368.34800000000001</v>
      </c>
      <c r="J113" s="49">
        <f>IFERROR(IF(HRM[[#This Row],[Employee Name]]="","",(VLOOKUP(HRM[[#This Row],[Employee Name]],'Employee Database'!B:K,10,0))*HRM[[#This Row],[Revenue generated by employee]]),"")</f>
        <v>714.976</v>
      </c>
      <c r="K113" s="49">
        <f>IF(COUNT(HRM[[#This Row],[Base salary]:[Comission]])=0,"",SUM(HRM[[#This Row],[Base salary]:[Comission]]))</f>
        <v>7222.4573333333337</v>
      </c>
    </row>
    <row r="114" spans="1:11" x14ac:dyDescent="0.2">
      <c r="A114" s="24" t="str">
        <f t="shared" si="1"/>
        <v/>
      </c>
      <c r="B114" s="43">
        <v>43922</v>
      </c>
      <c r="C114" s="44">
        <f>IF(HRM[[#This Row],[Date]]="","",HRM[[#This Row],[Date]])</f>
        <v>43922</v>
      </c>
      <c r="D114" s="45">
        <f>IF(HRM[[#This Row],[Date]]="","",HRM[[#This Row],[Date]])</f>
        <v>43922</v>
      </c>
      <c r="E114" s="46" t="s">
        <v>24</v>
      </c>
      <c r="F114" s="47" t="str">
        <f>IFERROR(IF(HRM[[#This Row],[Employee Name]]="","",VLOOKUP(HRM[[#This Row],[Employee Name]],'Employee Database'!B:K,2,0)),"")</f>
        <v>Field Force</v>
      </c>
      <c r="G114" s="51">
        <v>77568</v>
      </c>
      <c r="H114" s="49">
        <f>IFERROR(IF(HRM[[#This Row],[Employee Name]]="","",VLOOKUP(HRM[[#This Row],[Employee Name]],'Employee Database'!B:K,8,0)),"")</f>
        <v>5232.916666666667</v>
      </c>
      <c r="I114" s="49">
        <f>IFERROR(IF(HRM[[#This Row],[Employee Name]]="","",((VLOOKUP(HRM[[#This Row],[Employee Name]],'Employee Database'!B:K,9,0))*VLOOKUP(HRM[[#This Row],[Employee Name]],'Employee Database'!B:K,8,0))),"")</f>
        <v>313.97500000000002</v>
      </c>
      <c r="J114" s="49">
        <f>IFERROR(IF(HRM[[#This Row],[Employee Name]]="","",(VLOOKUP(HRM[[#This Row],[Employee Name]],'Employee Database'!B:K,10,0))*HRM[[#This Row],[Revenue generated by employee]]),"")</f>
        <v>775.68000000000006</v>
      </c>
      <c r="K114" s="49">
        <f>IF(COUNT(HRM[[#This Row],[Base salary]:[Comission]])=0,"",SUM(HRM[[#This Row],[Base salary]:[Comission]]))</f>
        <v>6322.5716666666676</v>
      </c>
    </row>
    <row r="115" spans="1:11" x14ac:dyDescent="0.2">
      <c r="A115" s="24" t="str">
        <f t="shared" si="1"/>
        <v/>
      </c>
      <c r="B115" s="43">
        <v>43922</v>
      </c>
      <c r="C115" s="44">
        <f>IF(HRM[[#This Row],[Date]]="","",HRM[[#This Row],[Date]])</f>
        <v>43922</v>
      </c>
      <c r="D115" s="45">
        <f>IF(HRM[[#This Row],[Date]]="","",HRM[[#This Row],[Date]])</f>
        <v>43922</v>
      </c>
      <c r="E115" s="46" t="s">
        <v>26</v>
      </c>
      <c r="F115" s="47" t="str">
        <f>IFERROR(IF(HRM[[#This Row],[Employee Name]]="","",VLOOKUP(HRM[[#This Row],[Employee Name]],'Employee Database'!B:K,2,0)),"")</f>
        <v>Field Force</v>
      </c>
      <c r="G115" s="51">
        <v>97687</v>
      </c>
      <c r="H115" s="49">
        <f>IFERROR(IF(HRM[[#This Row],[Employee Name]]="","",VLOOKUP(HRM[[#This Row],[Employee Name]],'Employee Database'!B:K,8,0)),"")</f>
        <v>6858.083333333333</v>
      </c>
      <c r="I115" s="49">
        <f>IFERROR(IF(HRM[[#This Row],[Employee Name]]="","",((VLOOKUP(HRM[[#This Row],[Employee Name]],'Employee Database'!B:K,9,0))*VLOOKUP(HRM[[#This Row],[Employee Name]],'Employee Database'!B:K,8,0))),"")</f>
        <v>411.48499999999996</v>
      </c>
      <c r="J115" s="49">
        <f>IFERROR(IF(HRM[[#This Row],[Employee Name]]="","",(VLOOKUP(HRM[[#This Row],[Employee Name]],'Employee Database'!B:K,10,0))*HRM[[#This Row],[Revenue generated by employee]]),"")</f>
        <v>976.87</v>
      </c>
      <c r="K115" s="49">
        <f>IF(COUNT(HRM[[#This Row],[Base salary]:[Comission]])=0,"",SUM(HRM[[#This Row],[Base salary]:[Comission]]))</f>
        <v>8246.4383333333335</v>
      </c>
    </row>
    <row r="116" spans="1:11" x14ac:dyDescent="0.2">
      <c r="A116" s="24" t="str">
        <f t="shared" si="1"/>
        <v/>
      </c>
      <c r="B116" s="43">
        <v>43922</v>
      </c>
      <c r="C116" s="44">
        <f>IF(HRM[[#This Row],[Date]]="","",HRM[[#This Row],[Date]])</f>
        <v>43922</v>
      </c>
      <c r="D116" s="45">
        <f>IF(HRM[[#This Row],[Date]]="","",HRM[[#This Row],[Date]])</f>
        <v>43922</v>
      </c>
      <c r="E116" s="46" t="s">
        <v>27</v>
      </c>
      <c r="F116" s="47" t="str">
        <f>IFERROR(IF(HRM[[#This Row],[Employee Name]]="","",VLOOKUP(HRM[[#This Row],[Employee Name]],'Employee Database'!B:K,2,0)),"")</f>
        <v>Field Force</v>
      </c>
      <c r="G116" s="51">
        <v>89842</v>
      </c>
      <c r="H116" s="49">
        <f>IFERROR(IF(HRM[[#This Row],[Employee Name]]="","",VLOOKUP(HRM[[#This Row],[Employee Name]],'Employee Database'!B:K,8,0)),"")</f>
        <v>4132.666666666667</v>
      </c>
      <c r="I116" s="49">
        <f>IFERROR(IF(HRM[[#This Row],[Employee Name]]="","",((VLOOKUP(HRM[[#This Row],[Employee Name]],'Employee Database'!B:K,9,0))*VLOOKUP(HRM[[#This Row],[Employee Name]],'Employee Database'!B:K,8,0))),"")</f>
        <v>247.96</v>
      </c>
      <c r="J116" s="49">
        <f>IFERROR(IF(HRM[[#This Row],[Employee Name]]="","",(VLOOKUP(HRM[[#This Row],[Employee Name]],'Employee Database'!B:K,10,0))*HRM[[#This Row],[Revenue generated by employee]]),"")</f>
        <v>988.26199999999994</v>
      </c>
      <c r="K116" s="49">
        <f>IF(COUNT(HRM[[#This Row],[Base salary]:[Comission]])=0,"",SUM(HRM[[#This Row],[Base salary]:[Comission]]))</f>
        <v>5368.8886666666667</v>
      </c>
    </row>
    <row r="117" spans="1:11" x14ac:dyDescent="0.2">
      <c r="A117" s="24" t="str">
        <f t="shared" si="1"/>
        <v/>
      </c>
      <c r="B117" s="43">
        <v>43922</v>
      </c>
      <c r="C117" s="44">
        <f>IF(HRM[[#This Row],[Date]]="","",HRM[[#This Row],[Date]])</f>
        <v>43922</v>
      </c>
      <c r="D117" s="45">
        <f>IF(HRM[[#This Row],[Date]]="","",HRM[[#This Row],[Date]])</f>
        <v>43922</v>
      </c>
      <c r="E117" s="46" t="s">
        <v>28</v>
      </c>
      <c r="F117" s="47" t="str">
        <f>IFERROR(IF(HRM[[#This Row],[Employee Name]]="","",VLOOKUP(HRM[[#This Row],[Employee Name]],'Employee Database'!B:K,2,0)),"")</f>
        <v>IT</v>
      </c>
      <c r="G117" s="51">
        <v>0</v>
      </c>
      <c r="H117" s="49">
        <f>IFERROR(IF(HRM[[#This Row],[Employee Name]]="","",VLOOKUP(HRM[[#This Row],[Employee Name]],'Employee Database'!B:K,8,0)),"")</f>
        <v>6109.166666666667</v>
      </c>
      <c r="I117" s="49">
        <f>IFERROR(IF(HRM[[#This Row],[Employee Name]]="","",((VLOOKUP(HRM[[#This Row],[Employee Name]],'Employee Database'!B:K,9,0))*VLOOKUP(HRM[[#This Row],[Employee Name]],'Employee Database'!B:K,8,0))),"")</f>
        <v>610.91666666666674</v>
      </c>
      <c r="J117" s="49">
        <f>IFERROR(IF(HRM[[#This Row],[Employee Name]]="","",(VLOOKUP(HRM[[#This Row],[Employee Name]],'Employee Database'!B:K,10,0))*HRM[[#This Row],[Revenue generated by employee]]),"")</f>
        <v>0</v>
      </c>
      <c r="K117" s="49">
        <f>IF(COUNT(HRM[[#This Row],[Base salary]:[Comission]])=0,"",SUM(HRM[[#This Row],[Base salary]:[Comission]]))</f>
        <v>6720.0833333333339</v>
      </c>
    </row>
    <row r="118" spans="1:11" x14ac:dyDescent="0.2">
      <c r="A118" s="24" t="str">
        <f t="shared" si="1"/>
        <v/>
      </c>
      <c r="B118" s="43">
        <v>43922</v>
      </c>
      <c r="C118" s="44">
        <f>IF(HRM[[#This Row],[Date]]="","",HRM[[#This Row],[Date]])</f>
        <v>43922</v>
      </c>
      <c r="D118" s="45">
        <f>IF(HRM[[#This Row],[Date]]="","",HRM[[#This Row],[Date]])</f>
        <v>43922</v>
      </c>
      <c r="E118" s="46" t="s">
        <v>29</v>
      </c>
      <c r="F118" s="47" t="str">
        <f>IFERROR(IF(HRM[[#This Row],[Employee Name]]="","",VLOOKUP(HRM[[#This Row],[Employee Name]],'Employee Database'!B:K,2,0)),"")</f>
        <v>General Management</v>
      </c>
      <c r="G118" s="51">
        <v>0</v>
      </c>
      <c r="H118" s="49">
        <f>IFERROR(IF(HRM[[#This Row],[Employee Name]]="","",VLOOKUP(HRM[[#This Row],[Employee Name]],'Employee Database'!B:K,8,0)),"")</f>
        <v>10388.76923076923</v>
      </c>
      <c r="I118" s="49">
        <f>IFERROR(IF(HRM[[#This Row],[Employee Name]]="","",((VLOOKUP(HRM[[#This Row],[Employee Name]],'Employee Database'!B:K,9,0))*VLOOKUP(HRM[[#This Row],[Employee Name]],'Employee Database'!B:K,8,0))),"")</f>
        <v>1246.6523076923077</v>
      </c>
      <c r="J118" s="49">
        <f>IFERROR(IF(HRM[[#This Row],[Employee Name]]="","",(VLOOKUP(HRM[[#This Row],[Employee Name]],'Employee Database'!B:K,10,0))*HRM[[#This Row],[Revenue generated by employee]]),"")</f>
        <v>0</v>
      </c>
      <c r="K118" s="49">
        <f>IF(COUNT(HRM[[#This Row],[Base salary]:[Comission]])=0,"",SUM(HRM[[#This Row],[Base salary]:[Comission]]))</f>
        <v>11635.421538461538</v>
      </c>
    </row>
    <row r="119" spans="1:11" x14ac:dyDescent="0.2">
      <c r="A119" s="24" t="str">
        <f t="shared" si="1"/>
        <v/>
      </c>
      <c r="B119" s="43">
        <v>43952</v>
      </c>
      <c r="C119" s="44">
        <f>IF(HRM[[#This Row],[Date]]="","",HRM[[#This Row],[Date]])</f>
        <v>43952</v>
      </c>
      <c r="D119" s="45">
        <f>IF(HRM[[#This Row],[Date]]="","",HRM[[#This Row],[Date]])</f>
        <v>43952</v>
      </c>
      <c r="E119" s="46" t="s">
        <v>23</v>
      </c>
      <c r="F119" s="47" t="str">
        <f>IFERROR(IF(HRM[[#This Row],[Employee Name]]="","",VLOOKUP(HRM[[#This Row],[Employee Name]],'Employee Database'!B:K,2,0)),"")</f>
        <v>Field Force</v>
      </c>
      <c r="G119" s="51">
        <v>79873</v>
      </c>
      <c r="H119" s="49">
        <f>IFERROR(IF(HRM[[#This Row],[Employee Name]]="","",VLOOKUP(HRM[[#This Row],[Employee Name]],'Employee Database'!B:K,8,0)),"")</f>
        <v>6139.1333333333341</v>
      </c>
      <c r="I119" s="49">
        <f>IFERROR(IF(HRM[[#This Row],[Employee Name]]="","",((VLOOKUP(HRM[[#This Row],[Employee Name]],'Employee Database'!B:K,9,0))*VLOOKUP(HRM[[#This Row],[Employee Name]],'Employee Database'!B:K,8,0))),"")</f>
        <v>368.34800000000001</v>
      </c>
      <c r="J119" s="49">
        <f>IFERROR(IF(HRM[[#This Row],[Employee Name]]="","",(VLOOKUP(HRM[[#This Row],[Employee Name]],'Employee Database'!B:K,10,0))*HRM[[#This Row],[Revenue generated by employee]]),"")</f>
        <v>638.98400000000004</v>
      </c>
      <c r="K119" s="49">
        <f>IF(COUNT(HRM[[#This Row],[Base salary]:[Comission]])=0,"",SUM(HRM[[#This Row],[Base salary]:[Comission]]))</f>
        <v>7146.4653333333345</v>
      </c>
    </row>
    <row r="120" spans="1:11" x14ac:dyDescent="0.2">
      <c r="A120" s="24" t="str">
        <f t="shared" si="1"/>
        <v/>
      </c>
      <c r="B120" s="43">
        <v>43952</v>
      </c>
      <c r="C120" s="44">
        <f>IF(HRM[[#This Row],[Date]]="","",HRM[[#This Row],[Date]])</f>
        <v>43952</v>
      </c>
      <c r="D120" s="45">
        <f>IF(HRM[[#This Row],[Date]]="","",HRM[[#This Row],[Date]])</f>
        <v>43952</v>
      </c>
      <c r="E120" s="46" t="s">
        <v>24</v>
      </c>
      <c r="F120" s="47" t="str">
        <f>IFERROR(IF(HRM[[#This Row],[Employee Name]]="","",VLOOKUP(HRM[[#This Row],[Employee Name]],'Employee Database'!B:K,2,0)),"")</f>
        <v>Field Force</v>
      </c>
      <c r="G120" s="51">
        <v>75698</v>
      </c>
      <c r="H120" s="49">
        <f>IFERROR(IF(HRM[[#This Row],[Employee Name]]="","",VLOOKUP(HRM[[#This Row],[Employee Name]],'Employee Database'!B:K,8,0)),"")</f>
        <v>5232.916666666667</v>
      </c>
      <c r="I120" s="49">
        <f>IFERROR(IF(HRM[[#This Row],[Employee Name]]="","",((VLOOKUP(HRM[[#This Row],[Employee Name]],'Employee Database'!B:K,9,0))*VLOOKUP(HRM[[#This Row],[Employee Name]],'Employee Database'!B:K,8,0))),"")</f>
        <v>313.97500000000002</v>
      </c>
      <c r="J120" s="49">
        <f>IFERROR(IF(HRM[[#This Row],[Employee Name]]="","",(VLOOKUP(HRM[[#This Row],[Employee Name]],'Employee Database'!B:K,10,0))*HRM[[#This Row],[Revenue generated by employee]]),"")</f>
        <v>756.98</v>
      </c>
      <c r="K120" s="49">
        <f>IF(COUNT(HRM[[#This Row],[Base salary]:[Comission]])=0,"",SUM(HRM[[#This Row],[Base salary]:[Comission]]))</f>
        <v>6303.8716666666678</v>
      </c>
    </row>
    <row r="121" spans="1:11" x14ac:dyDescent="0.2">
      <c r="A121" s="24" t="str">
        <f t="shared" si="1"/>
        <v/>
      </c>
      <c r="B121" s="43">
        <v>43952</v>
      </c>
      <c r="C121" s="44">
        <f>IF(HRM[[#This Row],[Date]]="","",HRM[[#This Row],[Date]])</f>
        <v>43952</v>
      </c>
      <c r="D121" s="45">
        <f>IF(HRM[[#This Row],[Date]]="","",HRM[[#This Row],[Date]])</f>
        <v>43952</v>
      </c>
      <c r="E121" s="46" t="s">
        <v>26</v>
      </c>
      <c r="F121" s="47" t="str">
        <f>IFERROR(IF(HRM[[#This Row],[Employee Name]]="","",VLOOKUP(HRM[[#This Row],[Employee Name]],'Employee Database'!B:K,2,0)),"")</f>
        <v>Field Force</v>
      </c>
      <c r="G121" s="51">
        <v>70619</v>
      </c>
      <c r="H121" s="49">
        <f>IFERROR(IF(HRM[[#This Row],[Employee Name]]="","",VLOOKUP(HRM[[#This Row],[Employee Name]],'Employee Database'!B:K,8,0)),"")</f>
        <v>6858.083333333333</v>
      </c>
      <c r="I121" s="49">
        <f>IFERROR(IF(HRM[[#This Row],[Employee Name]]="","",((VLOOKUP(HRM[[#This Row],[Employee Name]],'Employee Database'!B:K,9,0))*VLOOKUP(HRM[[#This Row],[Employee Name]],'Employee Database'!B:K,8,0))),"")</f>
        <v>411.48499999999996</v>
      </c>
      <c r="J121" s="49">
        <f>IFERROR(IF(HRM[[#This Row],[Employee Name]]="","",(VLOOKUP(HRM[[#This Row],[Employee Name]],'Employee Database'!B:K,10,0))*HRM[[#This Row],[Revenue generated by employee]]),"")</f>
        <v>706.19</v>
      </c>
      <c r="K121" s="49">
        <f>IF(COUNT(HRM[[#This Row],[Base salary]:[Comission]])=0,"",SUM(HRM[[#This Row],[Base salary]:[Comission]]))</f>
        <v>7975.7583333333332</v>
      </c>
    </row>
    <row r="122" spans="1:11" x14ac:dyDescent="0.2">
      <c r="A122" s="24" t="str">
        <f t="shared" si="1"/>
        <v/>
      </c>
      <c r="B122" s="43">
        <v>43952</v>
      </c>
      <c r="C122" s="44">
        <f>IF(HRM[[#This Row],[Date]]="","",HRM[[#This Row],[Date]])</f>
        <v>43952</v>
      </c>
      <c r="D122" s="45">
        <f>IF(HRM[[#This Row],[Date]]="","",HRM[[#This Row],[Date]])</f>
        <v>43952</v>
      </c>
      <c r="E122" s="46" t="s">
        <v>27</v>
      </c>
      <c r="F122" s="47" t="str">
        <f>IFERROR(IF(HRM[[#This Row],[Employee Name]]="","",VLOOKUP(HRM[[#This Row],[Employee Name]],'Employee Database'!B:K,2,0)),"")</f>
        <v>Field Force</v>
      </c>
      <c r="G122" s="51">
        <v>108053</v>
      </c>
      <c r="H122" s="49">
        <f>IFERROR(IF(HRM[[#This Row],[Employee Name]]="","",VLOOKUP(HRM[[#This Row],[Employee Name]],'Employee Database'!B:K,8,0)),"")</f>
        <v>4132.666666666667</v>
      </c>
      <c r="I122" s="49">
        <f>IFERROR(IF(HRM[[#This Row],[Employee Name]]="","",((VLOOKUP(HRM[[#This Row],[Employee Name]],'Employee Database'!B:K,9,0))*VLOOKUP(HRM[[#This Row],[Employee Name]],'Employee Database'!B:K,8,0))),"")</f>
        <v>247.96</v>
      </c>
      <c r="J122" s="49">
        <f>IFERROR(IF(HRM[[#This Row],[Employee Name]]="","",(VLOOKUP(HRM[[#This Row],[Employee Name]],'Employee Database'!B:K,10,0))*HRM[[#This Row],[Revenue generated by employee]]),"")</f>
        <v>1188.5829999999999</v>
      </c>
      <c r="K122" s="49">
        <f>IF(COUNT(HRM[[#This Row],[Base salary]:[Comission]])=0,"",SUM(HRM[[#This Row],[Base salary]:[Comission]]))</f>
        <v>5569.2096666666666</v>
      </c>
    </row>
    <row r="123" spans="1:11" x14ac:dyDescent="0.2">
      <c r="A123" s="24" t="str">
        <f t="shared" si="1"/>
        <v/>
      </c>
      <c r="B123" s="43">
        <v>43952</v>
      </c>
      <c r="C123" s="44">
        <f>IF(HRM[[#This Row],[Date]]="","",HRM[[#This Row],[Date]])</f>
        <v>43952</v>
      </c>
      <c r="D123" s="45">
        <f>IF(HRM[[#This Row],[Date]]="","",HRM[[#This Row],[Date]])</f>
        <v>43952</v>
      </c>
      <c r="E123" s="46" t="s">
        <v>28</v>
      </c>
      <c r="F123" s="47" t="str">
        <f>IFERROR(IF(HRM[[#This Row],[Employee Name]]="","",VLOOKUP(HRM[[#This Row],[Employee Name]],'Employee Database'!B:K,2,0)),"")</f>
        <v>IT</v>
      </c>
      <c r="G123" s="51">
        <v>0</v>
      </c>
      <c r="H123" s="49">
        <f>IFERROR(IF(HRM[[#This Row],[Employee Name]]="","",VLOOKUP(HRM[[#This Row],[Employee Name]],'Employee Database'!B:K,8,0)),"")</f>
        <v>6109.166666666667</v>
      </c>
      <c r="I123" s="49">
        <f>IFERROR(IF(HRM[[#This Row],[Employee Name]]="","",((VLOOKUP(HRM[[#This Row],[Employee Name]],'Employee Database'!B:K,9,0))*VLOOKUP(HRM[[#This Row],[Employee Name]],'Employee Database'!B:K,8,0))),"")</f>
        <v>610.91666666666674</v>
      </c>
      <c r="J123" s="49">
        <f>IFERROR(IF(HRM[[#This Row],[Employee Name]]="","",(VLOOKUP(HRM[[#This Row],[Employee Name]],'Employee Database'!B:K,10,0))*HRM[[#This Row],[Revenue generated by employee]]),"")</f>
        <v>0</v>
      </c>
      <c r="K123" s="49">
        <f>IF(COUNT(HRM[[#This Row],[Base salary]:[Comission]])=0,"",SUM(HRM[[#This Row],[Base salary]:[Comission]]))</f>
        <v>6720.0833333333339</v>
      </c>
    </row>
    <row r="124" spans="1:11" x14ac:dyDescent="0.2">
      <c r="A124" s="24" t="str">
        <f t="shared" si="1"/>
        <v/>
      </c>
      <c r="B124" s="43">
        <v>43952</v>
      </c>
      <c r="C124" s="44">
        <f>IF(HRM[[#This Row],[Date]]="","",HRM[[#This Row],[Date]])</f>
        <v>43952</v>
      </c>
      <c r="D124" s="45">
        <f>IF(HRM[[#This Row],[Date]]="","",HRM[[#This Row],[Date]])</f>
        <v>43952</v>
      </c>
      <c r="E124" s="46" t="s">
        <v>29</v>
      </c>
      <c r="F124" s="47" t="str">
        <f>IFERROR(IF(HRM[[#This Row],[Employee Name]]="","",VLOOKUP(HRM[[#This Row],[Employee Name]],'Employee Database'!B:K,2,0)),"")</f>
        <v>General Management</v>
      </c>
      <c r="G124" s="51">
        <v>0</v>
      </c>
      <c r="H124" s="49">
        <f>IFERROR(IF(HRM[[#This Row],[Employee Name]]="","",VLOOKUP(HRM[[#This Row],[Employee Name]],'Employee Database'!B:K,8,0)),"")</f>
        <v>10388.76923076923</v>
      </c>
      <c r="I124" s="49">
        <f>IFERROR(IF(HRM[[#This Row],[Employee Name]]="","",((VLOOKUP(HRM[[#This Row],[Employee Name]],'Employee Database'!B:K,9,0))*VLOOKUP(HRM[[#This Row],[Employee Name]],'Employee Database'!B:K,8,0))),"")</f>
        <v>1246.6523076923077</v>
      </c>
      <c r="J124" s="49">
        <f>IFERROR(IF(HRM[[#This Row],[Employee Name]]="","",(VLOOKUP(HRM[[#This Row],[Employee Name]],'Employee Database'!B:K,10,0))*HRM[[#This Row],[Revenue generated by employee]]),"")</f>
        <v>0</v>
      </c>
      <c r="K124" s="49">
        <f>IF(COUNT(HRM[[#This Row],[Base salary]:[Comission]])=0,"",SUM(HRM[[#This Row],[Base salary]:[Comission]]))</f>
        <v>11635.421538461538</v>
      </c>
    </row>
    <row r="125" spans="1:11" x14ac:dyDescent="0.2">
      <c r="A125" s="24" t="str">
        <f t="shared" si="1"/>
        <v/>
      </c>
      <c r="B125" s="43">
        <v>43983</v>
      </c>
      <c r="C125" s="44">
        <f>IF(HRM[[#This Row],[Date]]="","",HRM[[#This Row],[Date]])</f>
        <v>43983</v>
      </c>
      <c r="D125" s="45">
        <f>IF(HRM[[#This Row],[Date]]="","",HRM[[#This Row],[Date]])</f>
        <v>43983</v>
      </c>
      <c r="E125" s="46" t="s">
        <v>23</v>
      </c>
      <c r="F125" s="47" t="str">
        <f>IFERROR(IF(HRM[[#This Row],[Employee Name]]="","",VLOOKUP(HRM[[#This Row],[Employee Name]],'Employee Database'!B:K,2,0)),"")</f>
        <v>Field Force</v>
      </c>
      <c r="G125" s="51">
        <v>75324</v>
      </c>
      <c r="H125" s="49">
        <f>IFERROR(IF(HRM[[#This Row],[Employee Name]]="","",VLOOKUP(HRM[[#This Row],[Employee Name]],'Employee Database'!B:K,8,0)),"")</f>
        <v>6139.1333333333341</v>
      </c>
      <c r="I125" s="49">
        <f>IFERROR(IF(HRM[[#This Row],[Employee Name]]="","",((VLOOKUP(HRM[[#This Row],[Employee Name]],'Employee Database'!B:K,9,0))*VLOOKUP(HRM[[#This Row],[Employee Name]],'Employee Database'!B:K,8,0))),"")</f>
        <v>368.34800000000001</v>
      </c>
      <c r="J125" s="49">
        <f>IFERROR(IF(HRM[[#This Row],[Employee Name]]="","",(VLOOKUP(HRM[[#This Row],[Employee Name]],'Employee Database'!B:K,10,0))*HRM[[#This Row],[Revenue generated by employee]]),"")</f>
        <v>602.59199999999998</v>
      </c>
      <c r="K125" s="49">
        <f>IF(COUNT(HRM[[#This Row],[Base salary]:[Comission]])=0,"",SUM(HRM[[#This Row],[Base salary]:[Comission]]))</f>
        <v>7110.0733333333337</v>
      </c>
    </row>
    <row r="126" spans="1:11" x14ac:dyDescent="0.2">
      <c r="A126" s="24" t="str">
        <f t="shared" si="1"/>
        <v/>
      </c>
      <c r="B126" s="43">
        <v>43983</v>
      </c>
      <c r="C126" s="44">
        <f>IF(HRM[[#This Row],[Date]]="","",HRM[[#This Row],[Date]])</f>
        <v>43983</v>
      </c>
      <c r="D126" s="45">
        <f>IF(HRM[[#This Row],[Date]]="","",HRM[[#This Row],[Date]])</f>
        <v>43983</v>
      </c>
      <c r="E126" s="46" t="s">
        <v>24</v>
      </c>
      <c r="F126" s="47" t="str">
        <f>IFERROR(IF(HRM[[#This Row],[Employee Name]]="","",VLOOKUP(HRM[[#This Row],[Employee Name]],'Employee Database'!B:K,2,0)),"")</f>
        <v>Field Force</v>
      </c>
      <c r="G126" s="51">
        <v>123158</v>
      </c>
      <c r="H126" s="49">
        <f>IFERROR(IF(HRM[[#This Row],[Employee Name]]="","",VLOOKUP(HRM[[#This Row],[Employee Name]],'Employee Database'!B:K,8,0)),"")</f>
        <v>5232.916666666667</v>
      </c>
      <c r="I126" s="49">
        <f>IFERROR(IF(HRM[[#This Row],[Employee Name]]="","",((VLOOKUP(HRM[[#This Row],[Employee Name]],'Employee Database'!B:K,9,0))*VLOOKUP(HRM[[#This Row],[Employee Name]],'Employee Database'!B:K,8,0))),"")</f>
        <v>313.97500000000002</v>
      </c>
      <c r="J126" s="49">
        <f>IFERROR(IF(HRM[[#This Row],[Employee Name]]="","",(VLOOKUP(HRM[[#This Row],[Employee Name]],'Employee Database'!B:K,10,0))*HRM[[#This Row],[Revenue generated by employee]]),"")</f>
        <v>1231.58</v>
      </c>
      <c r="K126" s="49">
        <f>IF(COUNT(HRM[[#This Row],[Base salary]:[Comission]])=0,"",SUM(HRM[[#This Row],[Base salary]:[Comission]]))</f>
        <v>6778.4716666666673</v>
      </c>
    </row>
    <row r="127" spans="1:11" x14ac:dyDescent="0.2">
      <c r="A127" s="24" t="str">
        <f t="shared" si="1"/>
        <v/>
      </c>
      <c r="B127" s="43">
        <v>43983</v>
      </c>
      <c r="C127" s="44">
        <f>IF(HRM[[#This Row],[Date]]="","",HRM[[#This Row],[Date]])</f>
        <v>43983</v>
      </c>
      <c r="D127" s="45">
        <f>IF(HRM[[#This Row],[Date]]="","",HRM[[#This Row],[Date]])</f>
        <v>43983</v>
      </c>
      <c r="E127" s="46" t="s">
        <v>26</v>
      </c>
      <c r="F127" s="47" t="str">
        <f>IFERROR(IF(HRM[[#This Row],[Employee Name]]="","",VLOOKUP(HRM[[#This Row],[Employee Name]],'Employee Database'!B:K,2,0)),"")</f>
        <v>Field Force</v>
      </c>
      <c r="G127" s="51">
        <v>107898</v>
      </c>
      <c r="H127" s="49">
        <f>IFERROR(IF(HRM[[#This Row],[Employee Name]]="","",VLOOKUP(HRM[[#This Row],[Employee Name]],'Employee Database'!B:K,8,0)),"")</f>
        <v>6858.083333333333</v>
      </c>
      <c r="I127" s="49">
        <f>IFERROR(IF(HRM[[#This Row],[Employee Name]]="","",((VLOOKUP(HRM[[#This Row],[Employee Name]],'Employee Database'!B:K,9,0))*VLOOKUP(HRM[[#This Row],[Employee Name]],'Employee Database'!B:K,8,0))),"")</f>
        <v>411.48499999999996</v>
      </c>
      <c r="J127" s="49">
        <f>IFERROR(IF(HRM[[#This Row],[Employee Name]]="","",(VLOOKUP(HRM[[#This Row],[Employee Name]],'Employee Database'!B:K,10,0))*HRM[[#This Row],[Revenue generated by employee]]),"")</f>
        <v>1078.98</v>
      </c>
      <c r="K127" s="49">
        <f>IF(COUNT(HRM[[#This Row],[Base salary]:[Comission]])=0,"",SUM(HRM[[#This Row],[Base salary]:[Comission]]))</f>
        <v>8348.5483333333323</v>
      </c>
    </row>
    <row r="128" spans="1:11" x14ac:dyDescent="0.2">
      <c r="A128" s="24" t="str">
        <f t="shared" si="1"/>
        <v/>
      </c>
      <c r="B128" s="43">
        <v>43983</v>
      </c>
      <c r="C128" s="44">
        <f>IF(HRM[[#This Row],[Date]]="","",HRM[[#This Row],[Date]])</f>
        <v>43983</v>
      </c>
      <c r="D128" s="45">
        <f>IF(HRM[[#This Row],[Date]]="","",HRM[[#This Row],[Date]])</f>
        <v>43983</v>
      </c>
      <c r="E128" s="46" t="s">
        <v>27</v>
      </c>
      <c r="F128" s="47" t="str">
        <f>IFERROR(IF(HRM[[#This Row],[Employee Name]]="","",VLOOKUP(HRM[[#This Row],[Employee Name]],'Employee Database'!B:K,2,0)),"")</f>
        <v>Field Force</v>
      </c>
      <c r="G128" s="51">
        <v>87991</v>
      </c>
      <c r="H128" s="49">
        <f>IFERROR(IF(HRM[[#This Row],[Employee Name]]="","",VLOOKUP(HRM[[#This Row],[Employee Name]],'Employee Database'!B:K,8,0)),"")</f>
        <v>4132.666666666667</v>
      </c>
      <c r="I128" s="49">
        <f>IFERROR(IF(HRM[[#This Row],[Employee Name]]="","",((VLOOKUP(HRM[[#This Row],[Employee Name]],'Employee Database'!B:K,9,0))*VLOOKUP(HRM[[#This Row],[Employee Name]],'Employee Database'!B:K,8,0))),"")</f>
        <v>247.96</v>
      </c>
      <c r="J128" s="49">
        <f>IFERROR(IF(HRM[[#This Row],[Employee Name]]="","",(VLOOKUP(HRM[[#This Row],[Employee Name]],'Employee Database'!B:K,10,0))*HRM[[#This Row],[Revenue generated by employee]]),"")</f>
        <v>967.90099999999995</v>
      </c>
      <c r="K128" s="49">
        <f>IF(COUNT(HRM[[#This Row],[Base salary]:[Comission]])=0,"",SUM(HRM[[#This Row],[Base salary]:[Comission]]))</f>
        <v>5348.5276666666668</v>
      </c>
    </row>
    <row r="129" spans="1:11" x14ac:dyDescent="0.2">
      <c r="A129" s="24" t="str">
        <f t="shared" si="1"/>
        <v/>
      </c>
      <c r="B129" s="43">
        <v>43983</v>
      </c>
      <c r="C129" s="44">
        <f>IF(HRM[[#This Row],[Date]]="","",HRM[[#This Row],[Date]])</f>
        <v>43983</v>
      </c>
      <c r="D129" s="45">
        <f>IF(HRM[[#This Row],[Date]]="","",HRM[[#This Row],[Date]])</f>
        <v>43983</v>
      </c>
      <c r="E129" s="46" t="s">
        <v>28</v>
      </c>
      <c r="F129" s="47" t="str">
        <f>IFERROR(IF(HRM[[#This Row],[Employee Name]]="","",VLOOKUP(HRM[[#This Row],[Employee Name]],'Employee Database'!B:K,2,0)),"")</f>
        <v>IT</v>
      </c>
      <c r="G129" s="51">
        <v>0</v>
      </c>
      <c r="H129" s="49">
        <f>IFERROR(IF(HRM[[#This Row],[Employee Name]]="","",VLOOKUP(HRM[[#This Row],[Employee Name]],'Employee Database'!B:K,8,0)),"")</f>
        <v>6109.166666666667</v>
      </c>
      <c r="I129" s="49">
        <f>IFERROR(IF(HRM[[#This Row],[Employee Name]]="","",((VLOOKUP(HRM[[#This Row],[Employee Name]],'Employee Database'!B:K,9,0))*VLOOKUP(HRM[[#This Row],[Employee Name]],'Employee Database'!B:K,8,0))),"")</f>
        <v>610.91666666666674</v>
      </c>
      <c r="J129" s="49">
        <f>IFERROR(IF(HRM[[#This Row],[Employee Name]]="","",(VLOOKUP(HRM[[#This Row],[Employee Name]],'Employee Database'!B:K,10,0))*HRM[[#This Row],[Revenue generated by employee]]),"")</f>
        <v>0</v>
      </c>
      <c r="K129" s="49">
        <f>IF(COUNT(HRM[[#This Row],[Base salary]:[Comission]])=0,"",SUM(HRM[[#This Row],[Base salary]:[Comission]]))</f>
        <v>6720.0833333333339</v>
      </c>
    </row>
    <row r="130" spans="1:11" x14ac:dyDescent="0.2">
      <c r="A130" s="24" t="str">
        <f t="shared" si="1"/>
        <v/>
      </c>
      <c r="B130" s="43">
        <v>43983</v>
      </c>
      <c r="C130" s="44">
        <f>IF(HRM[[#This Row],[Date]]="","",HRM[[#This Row],[Date]])</f>
        <v>43983</v>
      </c>
      <c r="D130" s="45">
        <f>IF(HRM[[#This Row],[Date]]="","",HRM[[#This Row],[Date]])</f>
        <v>43983</v>
      </c>
      <c r="E130" s="46" t="s">
        <v>29</v>
      </c>
      <c r="F130" s="47" t="str">
        <f>IFERROR(IF(HRM[[#This Row],[Employee Name]]="","",VLOOKUP(HRM[[#This Row],[Employee Name]],'Employee Database'!B:K,2,0)),"")</f>
        <v>General Management</v>
      </c>
      <c r="G130" s="51">
        <v>0</v>
      </c>
      <c r="H130" s="49">
        <f>IFERROR(IF(HRM[[#This Row],[Employee Name]]="","",VLOOKUP(HRM[[#This Row],[Employee Name]],'Employee Database'!B:K,8,0)),"")</f>
        <v>10388.76923076923</v>
      </c>
      <c r="I130" s="49">
        <f>IFERROR(IF(HRM[[#This Row],[Employee Name]]="","",((VLOOKUP(HRM[[#This Row],[Employee Name]],'Employee Database'!B:K,9,0))*VLOOKUP(HRM[[#This Row],[Employee Name]],'Employee Database'!B:K,8,0))),"")</f>
        <v>1246.6523076923077</v>
      </c>
      <c r="J130" s="49">
        <f>IFERROR(IF(HRM[[#This Row],[Employee Name]]="","",(VLOOKUP(HRM[[#This Row],[Employee Name]],'Employee Database'!B:K,10,0))*HRM[[#This Row],[Revenue generated by employee]]),"")</f>
        <v>0</v>
      </c>
      <c r="K130" s="49">
        <f>IF(COUNT(HRM[[#This Row],[Base salary]:[Comission]])=0,"",SUM(HRM[[#This Row],[Base salary]:[Comission]]))</f>
        <v>11635.421538461538</v>
      </c>
    </row>
    <row r="131" spans="1:11" x14ac:dyDescent="0.2">
      <c r="A131" s="24" t="str">
        <f t="shared" si="1"/>
        <v/>
      </c>
      <c r="B131" s="43">
        <v>44013</v>
      </c>
      <c r="C131" s="44">
        <f>IF(HRM[[#This Row],[Date]]="","",HRM[[#This Row],[Date]])</f>
        <v>44013</v>
      </c>
      <c r="D131" s="45">
        <f>IF(HRM[[#This Row],[Date]]="","",HRM[[#This Row],[Date]])</f>
        <v>44013</v>
      </c>
      <c r="E131" s="46" t="s">
        <v>23</v>
      </c>
      <c r="F131" s="47" t="str">
        <f>IFERROR(IF(HRM[[#This Row],[Employee Name]]="","",VLOOKUP(HRM[[#This Row],[Employee Name]],'Employee Database'!B:K,2,0)),"")</f>
        <v>Field Force</v>
      </c>
      <c r="G131" s="51">
        <v>74488</v>
      </c>
      <c r="H131" s="49">
        <f>IFERROR(IF(HRM[[#This Row],[Employee Name]]="","",VLOOKUP(HRM[[#This Row],[Employee Name]],'Employee Database'!B:K,8,0)),"")</f>
        <v>6139.1333333333341</v>
      </c>
      <c r="I131" s="49">
        <f>IFERROR(IF(HRM[[#This Row],[Employee Name]]="","",((VLOOKUP(HRM[[#This Row],[Employee Name]],'Employee Database'!B:K,9,0))*VLOOKUP(HRM[[#This Row],[Employee Name]],'Employee Database'!B:K,8,0))),"")</f>
        <v>368.34800000000001</v>
      </c>
      <c r="J131" s="49">
        <f>IFERROR(IF(HRM[[#This Row],[Employee Name]]="","",(VLOOKUP(HRM[[#This Row],[Employee Name]],'Employee Database'!B:K,10,0))*HRM[[#This Row],[Revenue generated by employee]]),"")</f>
        <v>595.904</v>
      </c>
      <c r="K131" s="49">
        <f>IF(COUNT(HRM[[#This Row],[Base salary]:[Comission]])=0,"",SUM(HRM[[#This Row],[Base salary]:[Comission]]))</f>
        <v>7103.3853333333336</v>
      </c>
    </row>
    <row r="132" spans="1:11" x14ac:dyDescent="0.2">
      <c r="A132" s="24" t="str">
        <f t="shared" ref="A132:A195" si="2">IF(AND(B131&lt;&gt;"",B132=""),$A$2&amp;"---&gt;","")</f>
        <v/>
      </c>
      <c r="B132" s="43">
        <v>44013</v>
      </c>
      <c r="C132" s="44">
        <f>IF(HRM[[#This Row],[Date]]="","",HRM[[#This Row],[Date]])</f>
        <v>44013</v>
      </c>
      <c r="D132" s="45">
        <f>IF(HRM[[#This Row],[Date]]="","",HRM[[#This Row],[Date]])</f>
        <v>44013</v>
      </c>
      <c r="E132" s="46" t="s">
        <v>24</v>
      </c>
      <c r="F132" s="47" t="str">
        <f>IFERROR(IF(HRM[[#This Row],[Employee Name]]="","",VLOOKUP(HRM[[#This Row],[Employee Name]],'Employee Database'!B:K,2,0)),"")</f>
        <v>Field Force</v>
      </c>
      <c r="G132" s="51">
        <v>89293</v>
      </c>
      <c r="H132" s="49">
        <f>IFERROR(IF(HRM[[#This Row],[Employee Name]]="","",VLOOKUP(HRM[[#This Row],[Employee Name]],'Employee Database'!B:K,8,0)),"")</f>
        <v>5232.916666666667</v>
      </c>
      <c r="I132" s="49">
        <f>IFERROR(IF(HRM[[#This Row],[Employee Name]]="","",((VLOOKUP(HRM[[#This Row],[Employee Name]],'Employee Database'!B:K,9,0))*VLOOKUP(HRM[[#This Row],[Employee Name]],'Employee Database'!B:K,8,0))),"")</f>
        <v>313.97500000000002</v>
      </c>
      <c r="J132" s="49">
        <f>IFERROR(IF(HRM[[#This Row],[Employee Name]]="","",(VLOOKUP(HRM[[#This Row],[Employee Name]],'Employee Database'!B:K,10,0))*HRM[[#This Row],[Revenue generated by employee]]),"")</f>
        <v>892.93000000000006</v>
      </c>
      <c r="K132" s="49">
        <f>IF(COUNT(HRM[[#This Row],[Base salary]:[Comission]])=0,"",SUM(HRM[[#This Row],[Base salary]:[Comission]]))</f>
        <v>6439.8216666666676</v>
      </c>
    </row>
    <row r="133" spans="1:11" x14ac:dyDescent="0.2">
      <c r="A133" s="24" t="str">
        <f t="shared" si="2"/>
        <v/>
      </c>
      <c r="B133" s="43">
        <v>44013</v>
      </c>
      <c r="C133" s="44">
        <f>IF(HRM[[#This Row],[Date]]="","",HRM[[#This Row],[Date]])</f>
        <v>44013</v>
      </c>
      <c r="D133" s="45">
        <f>IF(HRM[[#This Row],[Date]]="","",HRM[[#This Row],[Date]])</f>
        <v>44013</v>
      </c>
      <c r="E133" s="46" t="s">
        <v>26</v>
      </c>
      <c r="F133" s="47" t="str">
        <f>IFERROR(IF(HRM[[#This Row],[Employee Name]]="","",VLOOKUP(HRM[[#This Row],[Employee Name]],'Employee Database'!B:K,2,0)),"")</f>
        <v>Field Force</v>
      </c>
      <c r="G133" s="51">
        <v>109192</v>
      </c>
      <c r="H133" s="49">
        <f>IFERROR(IF(HRM[[#This Row],[Employee Name]]="","",VLOOKUP(HRM[[#This Row],[Employee Name]],'Employee Database'!B:K,8,0)),"")</f>
        <v>6858.083333333333</v>
      </c>
      <c r="I133" s="49">
        <f>IFERROR(IF(HRM[[#This Row],[Employee Name]]="","",((VLOOKUP(HRM[[#This Row],[Employee Name]],'Employee Database'!B:K,9,0))*VLOOKUP(HRM[[#This Row],[Employee Name]],'Employee Database'!B:K,8,0))),"")</f>
        <v>411.48499999999996</v>
      </c>
      <c r="J133" s="49">
        <f>IFERROR(IF(HRM[[#This Row],[Employee Name]]="","",(VLOOKUP(HRM[[#This Row],[Employee Name]],'Employee Database'!B:K,10,0))*HRM[[#This Row],[Revenue generated by employee]]),"")</f>
        <v>1091.92</v>
      </c>
      <c r="K133" s="49">
        <f>IF(COUNT(HRM[[#This Row],[Base salary]:[Comission]])=0,"",SUM(HRM[[#This Row],[Base salary]:[Comission]]))</f>
        <v>8361.4883333333328</v>
      </c>
    </row>
    <row r="134" spans="1:11" x14ac:dyDescent="0.2">
      <c r="A134" s="24" t="str">
        <f t="shared" si="2"/>
        <v/>
      </c>
      <c r="B134" s="43">
        <v>44013</v>
      </c>
      <c r="C134" s="44">
        <f>IF(HRM[[#This Row],[Date]]="","",HRM[[#This Row],[Date]])</f>
        <v>44013</v>
      </c>
      <c r="D134" s="45">
        <f>IF(HRM[[#This Row],[Date]]="","",HRM[[#This Row],[Date]])</f>
        <v>44013</v>
      </c>
      <c r="E134" s="46" t="s">
        <v>27</v>
      </c>
      <c r="F134" s="47" t="str">
        <f>IFERROR(IF(HRM[[#This Row],[Employee Name]]="","",VLOOKUP(HRM[[#This Row],[Employee Name]],'Employee Database'!B:K,2,0)),"")</f>
        <v>Field Force</v>
      </c>
      <c r="G134" s="51">
        <v>121957</v>
      </c>
      <c r="H134" s="49">
        <f>IFERROR(IF(HRM[[#This Row],[Employee Name]]="","",VLOOKUP(HRM[[#This Row],[Employee Name]],'Employee Database'!B:K,8,0)),"")</f>
        <v>4132.666666666667</v>
      </c>
      <c r="I134" s="49">
        <f>IFERROR(IF(HRM[[#This Row],[Employee Name]]="","",((VLOOKUP(HRM[[#This Row],[Employee Name]],'Employee Database'!B:K,9,0))*VLOOKUP(HRM[[#This Row],[Employee Name]],'Employee Database'!B:K,8,0))),"")</f>
        <v>247.96</v>
      </c>
      <c r="J134" s="49">
        <f>IFERROR(IF(HRM[[#This Row],[Employee Name]]="","",(VLOOKUP(HRM[[#This Row],[Employee Name]],'Employee Database'!B:K,10,0))*HRM[[#This Row],[Revenue generated by employee]]),"")</f>
        <v>1341.5269999999998</v>
      </c>
      <c r="K134" s="49">
        <f>IF(COUNT(HRM[[#This Row],[Base salary]:[Comission]])=0,"",SUM(HRM[[#This Row],[Base salary]:[Comission]]))</f>
        <v>5722.153666666667</v>
      </c>
    </row>
    <row r="135" spans="1:11" x14ac:dyDescent="0.2">
      <c r="A135" s="24" t="str">
        <f t="shared" si="2"/>
        <v/>
      </c>
      <c r="B135" s="43">
        <v>44013</v>
      </c>
      <c r="C135" s="44">
        <f>IF(HRM[[#This Row],[Date]]="","",HRM[[#This Row],[Date]])</f>
        <v>44013</v>
      </c>
      <c r="D135" s="45">
        <f>IF(HRM[[#This Row],[Date]]="","",HRM[[#This Row],[Date]])</f>
        <v>44013</v>
      </c>
      <c r="E135" s="46" t="s">
        <v>28</v>
      </c>
      <c r="F135" s="47" t="str">
        <f>IFERROR(IF(HRM[[#This Row],[Employee Name]]="","",VLOOKUP(HRM[[#This Row],[Employee Name]],'Employee Database'!B:K,2,0)),"")</f>
        <v>IT</v>
      </c>
      <c r="G135" s="51">
        <v>0</v>
      </c>
      <c r="H135" s="49">
        <f>IFERROR(IF(HRM[[#This Row],[Employee Name]]="","",VLOOKUP(HRM[[#This Row],[Employee Name]],'Employee Database'!B:K,8,0)),"")</f>
        <v>6109.166666666667</v>
      </c>
      <c r="I135" s="49">
        <f>IFERROR(IF(HRM[[#This Row],[Employee Name]]="","",((VLOOKUP(HRM[[#This Row],[Employee Name]],'Employee Database'!B:K,9,0))*VLOOKUP(HRM[[#This Row],[Employee Name]],'Employee Database'!B:K,8,0))),"")</f>
        <v>610.91666666666674</v>
      </c>
      <c r="J135" s="49">
        <f>IFERROR(IF(HRM[[#This Row],[Employee Name]]="","",(VLOOKUP(HRM[[#This Row],[Employee Name]],'Employee Database'!B:K,10,0))*HRM[[#This Row],[Revenue generated by employee]]),"")</f>
        <v>0</v>
      </c>
      <c r="K135" s="49">
        <f>IF(COUNT(HRM[[#This Row],[Base salary]:[Comission]])=0,"",SUM(HRM[[#This Row],[Base salary]:[Comission]]))</f>
        <v>6720.0833333333339</v>
      </c>
    </row>
    <row r="136" spans="1:11" x14ac:dyDescent="0.2">
      <c r="A136" s="24" t="str">
        <f t="shared" si="2"/>
        <v/>
      </c>
      <c r="B136" s="43">
        <v>44013</v>
      </c>
      <c r="C136" s="44">
        <f>IF(HRM[[#This Row],[Date]]="","",HRM[[#This Row],[Date]])</f>
        <v>44013</v>
      </c>
      <c r="D136" s="45">
        <f>IF(HRM[[#This Row],[Date]]="","",HRM[[#This Row],[Date]])</f>
        <v>44013</v>
      </c>
      <c r="E136" s="46" t="s">
        <v>29</v>
      </c>
      <c r="F136" s="47" t="str">
        <f>IFERROR(IF(HRM[[#This Row],[Employee Name]]="","",VLOOKUP(HRM[[#This Row],[Employee Name]],'Employee Database'!B:K,2,0)),"")</f>
        <v>General Management</v>
      </c>
      <c r="G136" s="51">
        <v>0</v>
      </c>
      <c r="H136" s="49">
        <f>IFERROR(IF(HRM[[#This Row],[Employee Name]]="","",VLOOKUP(HRM[[#This Row],[Employee Name]],'Employee Database'!B:K,8,0)),"")</f>
        <v>10388.76923076923</v>
      </c>
      <c r="I136" s="49">
        <f>IFERROR(IF(HRM[[#This Row],[Employee Name]]="","",((VLOOKUP(HRM[[#This Row],[Employee Name]],'Employee Database'!B:K,9,0))*VLOOKUP(HRM[[#This Row],[Employee Name]],'Employee Database'!B:K,8,0))),"")</f>
        <v>1246.6523076923077</v>
      </c>
      <c r="J136" s="49">
        <f>IFERROR(IF(HRM[[#This Row],[Employee Name]]="","",(VLOOKUP(HRM[[#This Row],[Employee Name]],'Employee Database'!B:K,10,0))*HRM[[#This Row],[Revenue generated by employee]]),"")</f>
        <v>0</v>
      </c>
      <c r="K136" s="49">
        <f>IF(COUNT(HRM[[#This Row],[Base salary]:[Comission]])=0,"",SUM(HRM[[#This Row],[Base salary]:[Comission]]))</f>
        <v>11635.421538461538</v>
      </c>
    </row>
    <row r="137" spans="1:11" x14ac:dyDescent="0.2">
      <c r="A137" s="24" t="str">
        <f t="shared" si="2"/>
        <v/>
      </c>
      <c r="B137" s="43">
        <v>44044</v>
      </c>
      <c r="C137" s="44">
        <f>IF(HRM[[#This Row],[Date]]="","",HRM[[#This Row],[Date]])</f>
        <v>44044</v>
      </c>
      <c r="D137" s="45">
        <f>IF(HRM[[#This Row],[Date]]="","",HRM[[#This Row],[Date]])</f>
        <v>44044</v>
      </c>
      <c r="E137" s="46" t="s">
        <v>23</v>
      </c>
      <c r="F137" s="47" t="str">
        <f>IFERROR(IF(HRM[[#This Row],[Employee Name]]="","",VLOOKUP(HRM[[#This Row],[Employee Name]],'Employee Database'!B:K,2,0)),"")</f>
        <v>Field Force</v>
      </c>
      <c r="G137" s="51">
        <v>121968</v>
      </c>
      <c r="H137" s="49">
        <f>IFERROR(IF(HRM[[#This Row],[Employee Name]]="","",VLOOKUP(HRM[[#This Row],[Employee Name]],'Employee Database'!B:K,8,0)),"")</f>
        <v>6139.1333333333341</v>
      </c>
      <c r="I137" s="49">
        <f>IFERROR(IF(HRM[[#This Row],[Employee Name]]="","",((VLOOKUP(HRM[[#This Row],[Employee Name]],'Employee Database'!B:K,9,0))*VLOOKUP(HRM[[#This Row],[Employee Name]],'Employee Database'!B:K,8,0))),"")</f>
        <v>368.34800000000001</v>
      </c>
      <c r="J137" s="49">
        <f>IFERROR(IF(HRM[[#This Row],[Employee Name]]="","",(VLOOKUP(HRM[[#This Row],[Employee Name]],'Employee Database'!B:K,10,0))*HRM[[#This Row],[Revenue generated by employee]]),"")</f>
        <v>975.74400000000003</v>
      </c>
      <c r="K137" s="49">
        <f>IF(COUNT(HRM[[#This Row],[Base salary]:[Comission]])=0,"",SUM(HRM[[#This Row],[Base salary]:[Comission]]))</f>
        <v>7483.2253333333338</v>
      </c>
    </row>
    <row r="138" spans="1:11" x14ac:dyDescent="0.2">
      <c r="A138" s="24" t="str">
        <f t="shared" si="2"/>
        <v/>
      </c>
      <c r="B138" s="43">
        <v>44044</v>
      </c>
      <c r="C138" s="44">
        <f>IF(HRM[[#This Row],[Date]]="","",HRM[[#This Row],[Date]])</f>
        <v>44044</v>
      </c>
      <c r="D138" s="45">
        <f>IF(HRM[[#This Row],[Date]]="","",HRM[[#This Row],[Date]])</f>
        <v>44044</v>
      </c>
      <c r="E138" s="46" t="s">
        <v>24</v>
      </c>
      <c r="F138" s="47" t="str">
        <f>IFERROR(IF(HRM[[#This Row],[Employee Name]]="","",VLOOKUP(HRM[[#This Row],[Employee Name]],'Employee Database'!B:K,2,0)),"")</f>
        <v>Field Force</v>
      </c>
      <c r="G138" s="51">
        <v>84044</v>
      </c>
      <c r="H138" s="49">
        <f>IFERROR(IF(HRM[[#This Row],[Employee Name]]="","",VLOOKUP(HRM[[#This Row],[Employee Name]],'Employee Database'!B:K,8,0)),"")</f>
        <v>5232.916666666667</v>
      </c>
      <c r="I138" s="49">
        <f>IFERROR(IF(HRM[[#This Row],[Employee Name]]="","",((VLOOKUP(HRM[[#This Row],[Employee Name]],'Employee Database'!B:K,9,0))*VLOOKUP(HRM[[#This Row],[Employee Name]],'Employee Database'!B:K,8,0))),"")</f>
        <v>313.97500000000002</v>
      </c>
      <c r="J138" s="49">
        <f>IFERROR(IF(HRM[[#This Row],[Employee Name]]="","",(VLOOKUP(HRM[[#This Row],[Employee Name]],'Employee Database'!B:K,10,0))*HRM[[#This Row],[Revenue generated by employee]]),"")</f>
        <v>840.44</v>
      </c>
      <c r="K138" s="49">
        <f>IF(COUNT(HRM[[#This Row],[Base salary]:[Comission]])=0,"",SUM(HRM[[#This Row],[Base salary]:[Comission]]))</f>
        <v>6387.3316666666669</v>
      </c>
    </row>
    <row r="139" spans="1:11" x14ac:dyDescent="0.2">
      <c r="A139" s="24" t="str">
        <f t="shared" si="2"/>
        <v/>
      </c>
      <c r="B139" s="43">
        <v>44044</v>
      </c>
      <c r="C139" s="44">
        <f>IF(HRM[[#This Row],[Date]]="","",HRM[[#This Row],[Date]])</f>
        <v>44044</v>
      </c>
      <c r="D139" s="45">
        <f>IF(HRM[[#This Row],[Date]]="","",HRM[[#This Row],[Date]])</f>
        <v>44044</v>
      </c>
      <c r="E139" s="46" t="s">
        <v>26</v>
      </c>
      <c r="F139" s="47" t="str">
        <f>IFERROR(IF(HRM[[#This Row],[Employee Name]]="","",VLOOKUP(HRM[[#This Row],[Employee Name]],'Employee Database'!B:K,2,0)),"")</f>
        <v>Field Force</v>
      </c>
      <c r="G139" s="51">
        <v>84099</v>
      </c>
      <c r="H139" s="49">
        <f>IFERROR(IF(HRM[[#This Row],[Employee Name]]="","",VLOOKUP(HRM[[#This Row],[Employee Name]],'Employee Database'!B:K,8,0)),"")</f>
        <v>6858.083333333333</v>
      </c>
      <c r="I139" s="49">
        <f>IFERROR(IF(HRM[[#This Row],[Employee Name]]="","",((VLOOKUP(HRM[[#This Row],[Employee Name]],'Employee Database'!B:K,9,0))*VLOOKUP(HRM[[#This Row],[Employee Name]],'Employee Database'!B:K,8,0))),"")</f>
        <v>411.48499999999996</v>
      </c>
      <c r="J139" s="49">
        <f>IFERROR(IF(HRM[[#This Row],[Employee Name]]="","",(VLOOKUP(HRM[[#This Row],[Employee Name]],'Employee Database'!B:K,10,0))*HRM[[#This Row],[Revenue generated by employee]]),"")</f>
        <v>840.99</v>
      </c>
      <c r="K139" s="49">
        <f>IF(COUNT(HRM[[#This Row],[Base salary]:[Comission]])=0,"",SUM(HRM[[#This Row],[Base salary]:[Comission]]))</f>
        <v>8110.5583333333325</v>
      </c>
    </row>
    <row r="140" spans="1:11" x14ac:dyDescent="0.2">
      <c r="A140" s="24" t="str">
        <f t="shared" si="2"/>
        <v/>
      </c>
      <c r="B140" s="43">
        <v>44044</v>
      </c>
      <c r="C140" s="44">
        <f>IF(HRM[[#This Row],[Date]]="","",HRM[[#This Row],[Date]])</f>
        <v>44044</v>
      </c>
      <c r="D140" s="45">
        <f>IF(HRM[[#This Row],[Date]]="","",HRM[[#This Row],[Date]])</f>
        <v>44044</v>
      </c>
      <c r="E140" s="46" t="s">
        <v>27</v>
      </c>
      <c r="F140" s="47" t="str">
        <f>IFERROR(IF(HRM[[#This Row],[Employee Name]]="","",VLOOKUP(HRM[[#This Row],[Employee Name]],'Employee Database'!B:K,2,0)),"")</f>
        <v>Field Force</v>
      </c>
      <c r="G140" s="51">
        <v>128219</v>
      </c>
      <c r="H140" s="49">
        <f>IFERROR(IF(HRM[[#This Row],[Employee Name]]="","",VLOOKUP(HRM[[#This Row],[Employee Name]],'Employee Database'!B:K,8,0)),"")</f>
        <v>4132.666666666667</v>
      </c>
      <c r="I140" s="49">
        <f>IFERROR(IF(HRM[[#This Row],[Employee Name]]="","",((VLOOKUP(HRM[[#This Row],[Employee Name]],'Employee Database'!B:K,9,0))*VLOOKUP(HRM[[#This Row],[Employee Name]],'Employee Database'!B:K,8,0))),"")</f>
        <v>247.96</v>
      </c>
      <c r="J140" s="49">
        <f>IFERROR(IF(HRM[[#This Row],[Employee Name]]="","",(VLOOKUP(HRM[[#This Row],[Employee Name]],'Employee Database'!B:K,10,0))*HRM[[#This Row],[Revenue generated by employee]]),"")</f>
        <v>1410.4089999999999</v>
      </c>
      <c r="K140" s="49">
        <f>IF(COUNT(HRM[[#This Row],[Base salary]:[Comission]])=0,"",SUM(HRM[[#This Row],[Base salary]:[Comission]]))</f>
        <v>5791.0356666666667</v>
      </c>
    </row>
    <row r="141" spans="1:11" x14ac:dyDescent="0.2">
      <c r="A141" s="24" t="str">
        <f t="shared" si="2"/>
        <v/>
      </c>
      <c r="B141" s="43">
        <v>44044</v>
      </c>
      <c r="C141" s="44">
        <f>IF(HRM[[#This Row],[Date]]="","",HRM[[#This Row],[Date]])</f>
        <v>44044</v>
      </c>
      <c r="D141" s="45">
        <f>IF(HRM[[#This Row],[Date]]="","",HRM[[#This Row],[Date]])</f>
        <v>44044</v>
      </c>
      <c r="E141" s="46" t="s">
        <v>28</v>
      </c>
      <c r="F141" s="47" t="str">
        <f>IFERROR(IF(HRM[[#This Row],[Employee Name]]="","",VLOOKUP(HRM[[#This Row],[Employee Name]],'Employee Database'!B:K,2,0)),"")</f>
        <v>IT</v>
      </c>
      <c r="G141" s="51">
        <v>0</v>
      </c>
      <c r="H141" s="49">
        <f>IFERROR(IF(HRM[[#This Row],[Employee Name]]="","",VLOOKUP(HRM[[#This Row],[Employee Name]],'Employee Database'!B:K,8,0)),"")</f>
        <v>6109.166666666667</v>
      </c>
      <c r="I141" s="49">
        <f>IFERROR(IF(HRM[[#This Row],[Employee Name]]="","",((VLOOKUP(HRM[[#This Row],[Employee Name]],'Employee Database'!B:K,9,0))*VLOOKUP(HRM[[#This Row],[Employee Name]],'Employee Database'!B:K,8,0))),"")</f>
        <v>610.91666666666674</v>
      </c>
      <c r="J141" s="49">
        <f>IFERROR(IF(HRM[[#This Row],[Employee Name]]="","",(VLOOKUP(HRM[[#This Row],[Employee Name]],'Employee Database'!B:K,10,0))*HRM[[#This Row],[Revenue generated by employee]]),"")</f>
        <v>0</v>
      </c>
      <c r="K141" s="49">
        <f>IF(COUNT(HRM[[#This Row],[Base salary]:[Comission]])=0,"",SUM(HRM[[#This Row],[Base salary]:[Comission]]))</f>
        <v>6720.0833333333339</v>
      </c>
    </row>
    <row r="142" spans="1:11" x14ac:dyDescent="0.2">
      <c r="A142" s="24" t="str">
        <f t="shared" si="2"/>
        <v/>
      </c>
      <c r="B142" s="43">
        <v>44044</v>
      </c>
      <c r="C142" s="44">
        <f>IF(HRM[[#This Row],[Date]]="","",HRM[[#This Row],[Date]])</f>
        <v>44044</v>
      </c>
      <c r="D142" s="45">
        <f>IF(HRM[[#This Row],[Date]]="","",HRM[[#This Row],[Date]])</f>
        <v>44044</v>
      </c>
      <c r="E142" s="46" t="s">
        <v>29</v>
      </c>
      <c r="F142" s="47" t="str">
        <f>IFERROR(IF(HRM[[#This Row],[Employee Name]]="","",VLOOKUP(HRM[[#This Row],[Employee Name]],'Employee Database'!B:K,2,0)),"")</f>
        <v>General Management</v>
      </c>
      <c r="G142" s="51">
        <v>0</v>
      </c>
      <c r="H142" s="49">
        <f>IFERROR(IF(HRM[[#This Row],[Employee Name]]="","",VLOOKUP(HRM[[#This Row],[Employee Name]],'Employee Database'!B:K,8,0)),"")</f>
        <v>10388.76923076923</v>
      </c>
      <c r="I142" s="49">
        <f>IFERROR(IF(HRM[[#This Row],[Employee Name]]="","",((VLOOKUP(HRM[[#This Row],[Employee Name]],'Employee Database'!B:K,9,0))*VLOOKUP(HRM[[#This Row],[Employee Name]],'Employee Database'!B:K,8,0))),"")</f>
        <v>1246.6523076923077</v>
      </c>
      <c r="J142" s="49">
        <f>IFERROR(IF(HRM[[#This Row],[Employee Name]]="","",(VLOOKUP(HRM[[#This Row],[Employee Name]],'Employee Database'!B:K,10,0))*HRM[[#This Row],[Revenue generated by employee]]),"")</f>
        <v>0</v>
      </c>
      <c r="K142" s="49">
        <f>IF(COUNT(HRM[[#This Row],[Base salary]:[Comission]])=0,"",SUM(HRM[[#This Row],[Base salary]:[Comission]]))</f>
        <v>11635.421538461538</v>
      </c>
    </row>
    <row r="143" spans="1:11" x14ac:dyDescent="0.2">
      <c r="A143" s="24" t="str">
        <f t="shared" si="2"/>
        <v/>
      </c>
      <c r="B143" s="43">
        <v>44075</v>
      </c>
      <c r="C143" s="44">
        <f>IF(HRM[[#This Row],[Date]]="","",HRM[[#This Row],[Date]])</f>
        <v>44075</v>
      </c>
      <c r="D143" s="45">
        <f>IF(HRM[[#This Row],[Date]]="","",HRM[[#This Row],[Date]])</f>
        <v>44075</v>
      </c>
      <c r="E143" s="46" t="s">
        <v>23</v>
      </c>
      <c r="F143" s="47" t="str">
        <f>IFERROR(IF(HRM[[#This Row],[Employee Name]]="","",VLOOKUP(HRM[[#This Row],[Employee Name]],'Employee Database'!B:K,2,0)),"")</f>
        <v>Field Force</v>
      </c>
      <c r="G143" s="51">
        <v>106836</v>
      </c>
      <c r="H143" s="49">
        <f>IFERROR(IF(HRM[[#This Row],[Employee Name]]="","",VLOOKUP(HRM[[#This Row],[Employee Name]],'Employee Database'!B:K,8,0)),"")</f>
        <v>6139.1333333333341</v>
      </c>
      <c r="I143" s="49">
        <f>IFERROR(IF(HRM[[#This Row],[Employee Name]]="","",((VLOOKUP(HRM[[#This Row],[Employee Name]],'Employee Database'!B:K,9,0))*VLOOKUP(HRM[[#This Row],[Employee Name]],'Employee Database'!B:K,8,0))),"")</f>
        <v>368.34800000000001</v>
      </c>
      <c r="J143" s="49">
        <f>IFERROR(IF(HRM[[#This Row],[Employee Name]]="","",(VLOOKUP(HRM[[#This Row],[Employee Name]],'Employee Database'!B:K,10,0))*HRM[[#This Row],[Revenue generated by employee]]),"")</f>
        <v>854.68799999999999</v>
      </c>
      <c r="K143" s="49">
        <f>IF(COUNT(HRM[[#This Row],[Base salary]:[Comission]])=0,"",SUM(HRM[[#This Row],[Base salary]:[Comission]]))</f>
        <v>7362.1693333333342</v>
      </c>
    </row>
    <row r="144" spans="1:11" x14ac:dyDescent="0.2">
      <c r="A144" s="24" t="str">
        <f t="shared" si="2"/>
        <v/>
      </c>
      <c r="B144" s="43">
        <v>44075</v>
      </c>
      <c r="C144" s="44">
        <f>IF(HRM[[#This Row],[Date]]="","",HRM[[#This Row],[Date]])</f>
        <v>44075</v>
      </c>
      <c r="D144" s="45">
        <f>IF(HRM[[#This Row],[Date]]="","",HRM[[#This Row],[Date]])</f>
        <v>44075</v>
      </c>
      <c r="E144" s="46" t="s">
        <v>24</v>
      </c>
      <c r="F144" s="47" t="str">
        <f>IFERROR(IF(HRM[[#This Row],[Employee Name]]="","",VLOOKUP(HRM[[#This Row],[Employee Name]],'Employee Database'!B:K,2,0)),"")</f>
        <v>Field Force</v>
      </c>
      <c r="G144" s="51">
        <v>118609</v>
      </c>
      <c r="H144" s="49">
        <f>IFERROR(IF(HRM[[#This Row],[Employee Name]]="","",VLOOKUP(HRM[[#This Row],[Employee Name]],'Employee Database'!B:K,8,0)),"")</f>
        <v>5232.916666666667</v>
      </c>
      <c r="I144" s="49">
        <f>IFERROR(IF(HRM[[#This Row],[Employee Name]]="","",((VLOOKUP(HRM[[#This Row],[Employee Name]],'Employee Database'!B:K,9,0))*VLOOKUP(HRM[[#This Row],[Employee Name]],'Employee Database'!B:K,8,0))),"")</f>
        <v>313.97500000000002</v>
      </c>
      <c r="J144" s="49">
        <f>IFERROR(IF(HRM[[#This Row],[Employee Name]]="","",(VLOOKUP(HRM[[#This Row],[Employee Name]],'Employee Database'!B:K,10,0))*HRM[[#This Row],[Revenue generated by employee]]),"")</f>
        <v>1186.0899999999999</v>
      </c>
      <c r="K144" s="49">
        <f>IF(COUNT(HRM[[#This Row],[Base salary]:[Comission]])=0,"",SUM(HRM[[#This Row],[Base salary]:[Comission]]))</f>
        <v>6732.9816666666675</v>
      </c>
    </row>
    <row r="145" spans="1:11" x14ac:dyDescent="0.2">
      <c r="A145" s="24" t="str">
        <f t="shared" si="2"/>
        <v/>
      </c>
      <c r="B145" s="43">
        <v>44075</v>
      </c>
      <c r="C145" s="44">
        <f>IF(HRM[[#This Row],[Date]]="","",HRM[[#This Row],[Date]])</f>
        <v>44075</v>
      </c>
      <c r="D145" s="45">
        <f>IF(HRM[[#This Row],[Date]]="","",HRM[[#This Row],[Date]])</f>
        <v>44075</v>
      </c>
      <c r="E145" s="46" t="s">
        <v>26</v>
      </c>
      <c r="F145" s="47" t="str">
        <f>IFERROR(IF(HRM[[#This Row],[Employee Name]]="","",VLOOKUP(HRM[[#This Row],[Employee Name]],'Employee Database'!B:K,2,0)),"")</f>
        <v>Field Force</v>
      </c>
      <c r="G145" s="51">
        <v>116964</v>
      </c>
      <c r="H145" s="49">
        <f>IFERROR(IF(HRM[[#This Row],[Employee Name]]="","",VLOOKUP(HRM[[#This Row],[Employee Name]],'Employee Database'!B:K,8,0)),"")</f>
        <v>6858.083333333333</v>
      </c>
      <c r="I145" s="49">
        <f>IFERROR(IF(HRM[[#This Row],[Employee Name]]="","",((VLOOKUP(HRM[[#This Row],[Employee Name]],'Employee Database'!B:K,9,0))*VLOOKUP(HRM[[#This Row],[Employee Name]],'Employee Database'!B:K,8,0))),"")</f>
        <v>411.48499999999996</v>
      </c>
      <c r="J145" s="49">
        <f>IFERROR(IF(HRM[[#This Row],[Employee Name]]="","",(VLOOKUP(HRM[[#This Row],[Employee Name]],'Employee Database'!B:K,10,0))*HRM[[#This Row],[Revenue generated by employee]]),"")</f>
        <v>1169.6400000000001</v>
      </c>
      <c r="K145" s="49">
        <f>IF(COUNT(HRM[[#This Row],[Base salary]:[Comission]])=0,"",SUM(HRM[[#This Row],[Base salary]:[Comission]]))</f>
        <v>8439.2083333333321</v>
      </c>
    </row>
    <row r="146" spans="1:11" x14ac:dyDescent="0.2">
      <c r="A146" s="24" t="str">
        <f t="shared" si="2"/>
        <v/>
      </c>
      <c r="B146" s="43">
        <v>44075</v>
      </c>
      <c r="C146" s="44">
        <f>IF(HRM[[#This Row],[Date]]="","",HRM[[#This Row],[Date]])</f>
        <v>44075</v>
      </c>
      <c r="D146" s="45">
        <f>IF(HRM[[#This Row],[Date]]="","",HRM[[#This Row],[Date]])</f>
        <v>44075</v>
      </c>
      <c r="E146" s="46" t="s">
        <v>27</v>
      </c>
      <c r="F146" s="47" t="str">
        <f>IFERROR(IF(HRM[[#This Row],[Employee Name]]="","",VLOOKUP(HRM[[#This Row],[Employee Name]],'Employee Database'!B:K,2,0)),"")</f>
        <v>Field Force</v>
      </c>
      <c r="G146" s="51">
        <v>101730</v>
      </c>
      <c r="H146" s="49">
        <f>IFERROR(IF(HRM[[#This Row],[Employee Name]]="","",VLOOKUP(HRM[[#This Row],[Employee Name]],'Employee Database'!B:K,8,0)),"")</f>
        <v>4132.666666666667</v>
      </c>
      <c r="I146" s="49">
        <f>IFERROR(IF(HRM[[#This Row],[Employee Name]]="","",((VLOOKUP(HRM[[#This Row],[Employee Name]],'Employee Database'!B:K,9,0))*VLOOKUP(HRM[[#This Row],[Employee Name]],'Employee Database'!B:K,8,0))),"")</f>
        <v>247.96</v>
      </c>
      <c r="J146" s="49">
        <f>IFERROR(IF(HRM[[#This Row],[Employee Name]]="","",(VLOOKUP(HRM[[#This Row],[Employee Name]],'Employee Database'!B:K,10,0))*HRM[[#This Row],[Revenue generated by employee]]),"")</f>
        <v>1119.03</v>
      </c>
      <c r="K146" s="49">
        <f>IF(COUNT(HRM[[#This Row],[Base salary]:[Comission]])=0,"",SUM(HRM[[#This Row],[Base salary]:[Comission]]))</f>
        <v>5499.6566666666668</v>
      </c>
    </row>
    <row r="147" spans="1:11" x14ac:dyDescent="0.2">
      <c r="A147" s="24" t="str">
        <f t="shared" si="2"/>
        <v/>
      </c>
      <c r="B147" s="43">
        <v>44075</v>
      </c>
      <c r="C147" s="44">
        <f>IF(HRM[[#This Row],[Date]]="","",HRM[[#This Row],[Date]])</f>
        <v>44075</v>
      </c>
      <c r="D147" s="45">
        <f>IF(HRM[[#This Row],[Date]]="","",HRM[[#This Row],[Date]])</f>
        <v>44075</v>
      </c>
      <c r="E147" s="46" t="s">
        <v>28</v>
      </c>
      <c r="F147" s="47" t="str">
        <f>IFERROR(IF(HRM[[#This Row],[Employee Name]]="","",VLOOKUP(HRM[[#This Row],[Employee Name]],'Employee Database'!B:K,2,0)),"")</f>
        <v>IT</v>
      </c>
      <c r="G147" s="51">
        <v>0</v>
      </c>
      <c r="H147" s="49">
        <f>IFERROR(IF(HRM[[#This Row],[Employee Name]]="","",VLOOKUP(HRM[[#This Row],[Employee Name]],'Employee Database'!B:K,8,0)),"")</f>
        <v>6109.166666666667</v>
      </c>
      <c r="I147" s="49">
        <f>IFERROR(IF(HRM[[#This Row],[Employee Name]]="","",((VLOOKUP(HRM[[#This Row],[Employee Name]],'Employee Database'!B:K,9,0))*VLOOKUP(HRM[[#This Row],[Employee Name]],'Employee Database'!B:K,8,0))),"")</f>
        <v>610.91666666666674</v>
      </c>
      <c r="J147" s="49">
        <f>IFERROR(IF(HRM[[#This Row],[Employee Name]]="","",(VLOOKUP(HRM[[#This Row],[Employee Name]],'Employee Database'!B:K,10,0))*HRM[[#This Row],[Revenue generated by employee]]),"")</f>
        <v>0</v>
      </c>
      <c r="K147" s="49">
        <f>IF(COUNT(HRM[[#This Row],[Base salary]:[Comission]])=0,"",SUM(HRM[[#This Row],[Base salary]:[Comission]]))</f>
        <v>6720.0833333333339</v>
      </c>
    </row>
    <row r="148" spans="1:11" x14ac:dyDescent="0.2">
      <c r="A148" s="24" t="str">
        <f t="shared" si="2"/>
        <v/>
      </c>
      <c r="B148" s="43">
        <v>44075</v>
      </c>
      <c r="C148" s="44">
        <f>IF(HRM[[#This Row],[Date]]="","",HRM[[#This Row],[Date]])</f>
        <v>44075</v>
      </c>
      <c r="D148" s="45">
        <f>IF(HRM[[#This Row],[Date]]="","",HRM[[#This Row],[Date]])</f>
        <v>44075</v>
      </c>
      <c r="E148" s="46" t="s">
        <v>29</v>
      </c>
      <c r="F148" s="47" t="str">
        <f>IFERROR(IF(HRM[[#This Row],[Employee Name]]="","",VLOOKUP(HRM[[#This Row],[Employee Name]],'Employee Database'!B:K,2,0)),"")</f>
        <v>General Management</v>
      </c>
      <c r="G148" s="51">
        <v>0</v>
      </c>
      <c r="H148" s="49">
        <f>IFERROR(IF(HRM[[#This Row],[Employee Name]]="","",VLOOKUP(HRM[[#This Row],[Employee Name]],'Employee Database'!B:K,8,0)),"")</f>
        <v>10388.76923076923</v>
      </c>
      <c r="I148" s="49">
        <f>IFERROR(IF(HRM[[#This Row],[Employee Name]]="","",((VLOOKUP(HRM[[#This Row],[Employee Name]],'Employee Database'!B:K,9,0))*VLOOKUP(HRM[[#This Row],[Employee Name]],'Employee Database'!B:K,8,0))),"")</f>
        <v>1246.6523076923077</v>
      </c>
      <c r="J148" s="49">
        <f>IFERROR(IF(HRM[[#This Row],[Employee Name]]="","",(VLOOKUP(HRM[[#This Row],[Employee Name]],'Employee Database'!B:K,10,0))*HRM[[#This Row],[Revenue generated by employee]]),"")</f>
        <v>0</v>
      </c>
      <c r="K148" s="49">
        <f>IF(COUNT(HRM[[#This Row],[Base salary]:[Comission]])=0,"",SUM(HRM[[#This Row],[Base salary]:[Comission]]))</f>
        <v>11635.421538461538</v>
      </c>
    </row>
    <row r="149" spans="1:11" x14ac:dyDescent="0.2">
      <c r="A149" s="24" t="str">
        <f t="shared" si="2"/>
        <v/>
      </c>
      <c r="B149" s="43">
        <v>44105</v>
      </c>
      <c r="C149" s="44">
        <f>IF(HRM[[#This Row],[Date]]="","",HRM[[#This Row],[Date]])</f>
        <v>44105</v>
      </c>
      <c r="D149" s="45">
        <f>IF(HRM[[#This Row],[Date]]="","",HRM[[#This Row],[Date]])</f>
        <v>44105</v>
      </c>
      <c r="E149" s="46" t="s">
        <v>23</v>
      </c>
      <c r="F149" s="47" t="str">
        <f>IFERROR(IF(HRM[[#This Row],[Employee Name]]="","",VLOOKUP(HRM[[#This Row],[Employee Name]],'Employee Database'!B:K,2,0)),"")</f>
        <v>Field Force</v>
      </c>
      <c r="G149" s="51">
        <v>102745</v>
      </c>
      <c r="H149" s="49">
        <f>IFERROR(IF(HRM[[#This Row],[Employee Name]]="","",VLOOKUP(HRM[[#This Row],[Employee Name]],'Employee Database'!B:K,8,0)),"")</f>
        <v>6139.1333333333341</v>
      </c>
      <c r="I149" s="49">
        <f>IFERROR(IF(HRM[[#This Row],[Employee Name]]="","",((VLOOKUP(HRM[[#This Row],[Employee Name]],'Employee Database'!B:K,9,0))*VLOOKUP(HRM[[#This Row],[Employee Name]],'Employee Database'!B:K,8,0))),"")</f>
        <v>368.34800000000001</v>
      </c>
      <c r="J149" s="49">
        <f>IFERROR(IF(HRM[[#This Row],[Employee Name]]="","",(VLOOKUP(HRM[[#This Row],[Employee Name]],'Employee Database'!B:K,10,0))*HRM[[#This Row],[Revenue generated by employee]]),"")</f>
        <v>821.96</v>
      </c>
      <c r="K149" s="49">
        <f>IF(COUNT(HRM[[#This Row],[Base salary]:[Comission]])=0,"",SUM(HRM[[#This Row],[Base salary]:[Comission]]))</f>
        <v>7329.4413333333341</v>
      </c>
    </row>
    <row r="150" spans="1:11" x14ac:dyDescent="0.2">
      <c r="A150" s="24" t="str">
        <f t="shared" si="2"/>
        <v/>
      </c>
      <c r="B150" s="43">
        <v>44105</v>
      </c>
      <c r="C150" s="44">
        <f>IF(HRM[[#This Row],[Date]]="","",HRM[[#This Row],[Date]])</f>
        <v>44105</v>
      </c>
      <c r="D150" s="45">
        <f>IF(HRM[[#This Row],[Date]]="","",HRM[[#This Row],[Date]])</f>
        <v>44105</v>
      </c>
      <c r="E150" s="46" t="s">
        <v>24</v>
      </c>
      <c r="F150" s="47" t="str">
        <f>IFERROR(IF(HRM[[#This Row],[Employee Name]]="","",VLOOKUP(HRM[[#This Row],[Employee Name]],'Employee Database'!B:K,2,0)),"")</f>
        <v>Field Force</v>
      </c>
      <c r="G150" s="51">
        <v>125515</v>
      </c>
      <c r="H150" s="49">
        <f>IFERROR(IF(HRM[[#This Row],[Employee Name]]="","",VLOOKUP(HRM[[#This Row],[Employee Name]],'Employee Database'!B:K,8,0)),"")</f>
        <v>5232.916666666667</v>
      </c>
      <c r="I150" s="49">
        <f>IFERROR(IF(HRM[[#This Row],[Employee Name]]="","",((VLOOKUP(HRM[[#This Row],[Employee Name]],'Employee Database'!B:K,9,0))*VLOOKUP(HRM[[#This Row],[Employee Name]],'Employee Database'!B:K,8,0))),"")</f>
        <v>313.97500000000002</v>
      </c>
      <c r="J150" s="49">
        <f>IFERROR(IF(HRM[[#This Row],[Employee Name]]="","",(VLOOKUP(HRM[[#This Row],[Employee Name]],'Employee Database'!B:K,10,0))*HRM[[#This Row],[Revenue generated by employee]]),"")</f>
        <v>1255.1500000000001</v>
      </c>
      <c r="K150" s="49">
        <f>IF(COUNT(HRM[[#This Row],[Base salary]:[Comission]])=0,"",SUM(HRM[[#This Row],[Base salary]:[Comission]]))</f>
        <v>6802.0416666666679</v>
      </c>
    </row>
    <row r="151" spans="1:11" x14ac:dyDescent="0.2">
      <c r="A151" s="24" t="str">
        <f t="shared" si="2"/>
        <v/>
      </c>
      <c r="B151" s="43">
        <v>44105</v>
      </c>
      <c r="C151" s="44">
        <f>IF(HRM[[#This Row],[Date]]="","",HRM[[#This Row],[Date]])</f>
        <v>44105</v>
      </c>
      <c r="D151" s="45">
        <f>IF(HRM[[#This Row],[Date]]="","",HRM[[#This Row],[Date]])</f>
        <v>44105</v>
      </c>
      <c r="E151" s="46" t="s">
        <v>26</v>
      </c>
      <c r="F151" s="47" t="str">
        <f>IFERROR(IF(HRM[[#This Row],[Employee Name]]="","",VLOOKUP(HRM[[#This Row],[Employee Name]],'Employee Database'!B:K,2,0)),"")</f>
        <v>Field Force</v>
      </c>
      <c r="G151" s="51">
        <v>77600</v>
      </c>
      <c r="H151" s="49">
        <f>IFERROR(IF(HRM[[#This Row],[Employee Name]]="","",VLOOKUP(HRM[[#This Row],[Employee Name]],'Employee Database'!B:K,8,0)),"")</f>
        <v>6858.083333333333</v>
      </c>
      <c r="I151" s="49">
        <f>IFERROR(IF(HRM[[#This Row],[Employee Name]]="","",((VLOOKUP(HRM[[#This Row],[Employee Name]],'Employee Database'!B:K,9,0))*VLOOKUP(HRM[[#This Row],[Employee Name]],'Employee Database'!B:K,8,0))),"")</f>
        <v>411.48499999999996</v>
      </c>
      <c r="J151" s="49">
        <f>IFERROR(IF(HRM[[#This Row],[Employee Name]]="","",(VLOOKUP(HRM[[#This Row],[Employee Name]],'Employee Database'!B:K,10,0))*HRM[[#This Row],[Revenue generated by employee]]),"")</f>
        <v>776</v>
      </c>
      <c r="K151" s="49">
        <f>IF(COUNT(HRM[[#This Row],[Base salary]:[Comission]])=0,"",SUM(HRM[[#This Row],[Base salary]:[Comission]]))</f>
        <v>8045.5683333333327</v>
      </c>
    </row>
    <row r="152" spans="1:11" x14ac:dyDescent="0.2">
      <c r="A152" s="24" t="str">
        <f t="shared" si="2"/>
        <v/>
      </c>
      <c r="B152" s="43">
        <v>44105</v>
      </c>
      <c r="C152" s="44">
        <f>IF(HRM[[#This Row],[Date]]="","",HRM[[#This Row],[Date]])</f>
        <v>44105</v>
      </c>
      <c r="D152" s="45">
        <f>IF(HRM[[#This Row],[Date]]="","",HRM[[#This Row],[Date]])</f>
        <v>44105</v>
      </c>
      <c r="E152" s="46" t="s">
        <v>27</v>
      </c>
      <c r="F152" s="47" t="str">
        <f>IFERROR(IF(HRM[[#This Row],[Employee Name]]="","",VLOOKUP(HRM[[#This Row],[Employee Name]],'Employee Database'!B:K,2,0)),"")</f>
        <v>Field Force</v>
      </c>
      <c r="G152" s="51">
        <v>96591</v>
      </c>
      <c r="H152" s="49">
        <f>IFERROR(IF(HRM[[#This Row],[Employee Name]]="","",VLOOKUP(HRM[[#This Row],[Employee Name]],'Employee Database'!B:K,8,0)),"")</f>
        <v>4132.666666666667</v>
      </c>
      <c r="I152" s="49">
        <f>IFERROR(IF(HRM[[#This Row],[Employee Name]]="","",((VLOOKUP(HRM[[#This Row],[Employee Name]],'Employee Database'!B:K,9,0))*VLOOKUP(HRM[[#This Row],[Employee Name]],'Employee Database'!B:K,8,0))),"")</f>
        <v>247.96</v>
      </c>
      <c r="J152" s="49">
        <f>IFERROR(IF(HRM[[#This Row],[Employee Name]]="","",(VLOOKUP(HRM[[#This Row],[Employee Name]],'Employee Database'!B:K,10,0))*HRM[[#This Row],[Revenue generated by employee]]),"")</f>
        <v>1062.501</v>
      </c>
      <c r="K152" s="49">
        <f>IF(COUNT(HRM[[#This Row],[Base salary]:[Comission]])=0,"",SUM(HRM[[#This Row],[Base salary]:[Comission]]))</f>
        <v>5443.1276666666672</v>
      </c>
    </row>
    <row r="153" spans="1:11" x14ac:dyDescent="0.2">
      <c r="A153" s="24" t="str">
        <f t="shared" si="2"/>
        <v/>
      </c>
      <c r="B153" s="43">
        <v>44105</v>
      </c>
      <c r="C153" s="44">
        <f>IF(HRM[[#This Row],[Date]]="","",HRM[[#This Row],[Date]])</f>
        <v>44105</v>
      </c>
      <c r="D153" s="45">
        <f>IF(HRM[[#This Row],[Date]]="","",HRM[[#This Row],[Date]])</f>
        <v>44105</v>
      </c>
      <c r="E153" s="46" t="s">
        <v>28</v>
      </c>
      <c r="F153" s="47" t="str">
        <f>IFERROR(IF(HRM[[#This Row],[Employee Name]]="","",VLOOKUP(HRM[[#This Row],[Employee Name]],'Employee Database'!B:K,2,0)),"")</f>
        <v>IT</v>
      </c>
      <c r="G153" s="51">
        <v>0</v>
      </c>
      <c r="H153" s="49">
        <f>IFERROR(IF(HRM[[#This Row],[Employee Name]]="","",VLOOKUP(HRM[[#This Row],[Employee Name]],'Employee Database'!B:K,8,0)),"")</f>
        <v>6109.166666666667</v>
      </c>
      <c r="I153" s="49">
        <f>IFERROR(IF(HRM[[#This Row],[Employee Name]]="","",((VLOOKUP(HRM[[#This Row],[Employee Name]],'Employee Database'!B:K,9,0))*VLOOKUP(HRM[[#This Row],[Employee Name]],'Employee Database'!B:K,8,0))),"")</f>
        <v>610.91666666666674</v>
      </c>
      <c r="J153" s="49">
        <f>IFERROR(IF(HRM[[#This Row],[Employee Name]]="","",(VLOOKUP(HRM[[#This Row],[Employee Name]],'Employee Database'!B:K,10,0))*HRM[[#This Row],[Revenue generated by employee]]),"")</f>
        <v>0</v>
      </c>
      <c r="K153" s="49">
        <f>IF(COUNT(HRM[[#This Row],[Base salary]:[Comission]])=0,"",SUM(HRM[[#This Row],[Base salary]:[Comission]]))</f>
        <v>6720.0833333333339</v>
      </c>
    </row>
    <row r="154" spans="1:11" x14ac:dyDescent="0.2">
      <c r="A154" s="24" t="str">
        <f t="shared" si="2"/>
        <v/>
      </c>
      <c r="B154" s="43">
        <v>44105</v>
      </c>
      <c r="C154" s="44">
        <f>IF(HRM[[#This Row],[Date]]="","",HRM[[#This Row],[Date]])</f>
        <v>44105</v>
      </c>
      <c r="D154" s="45">
        <f>IF(HRM[[#This Row],[Date]]="","",HRM[[#This Row],[Date]])</f>
        <v>44105</v>
      </c>
      <c r="E154" s="46" t="s">
        <v>29</v>
      </c>
      <c r="F154" s="47" t="str">
        <f>IFERROR(IF(HRM[[#This Row],[Employee Name]]="","",VLOOKUP(HRM[[#This Row],[Employee Name]],'Employee Database'!B:K,2,0)),"")</f>
        <v>General Management</v>
      </c>
      <c r="G154" s="51">
        <v>0</v>
      </c>
      <c r="H154" s="49">
        <f>IFERROR(IF(HRM[[#This Row],[Employee Name]]="","",VLOOKUP(HRM[[#This Row],[Employee Name]],'Employee Database'!B:K,8,0)),"")</f>
        <v>10388.76923076923</v>
      </c>
      <c r="I154" s="49">
        <f>IFERROR(IF(HRM[[#This Row],[Employee Name]]="","",((VLOOKUP(HRM[[#This Row],[Employee Name]],'Employee Database'!B:K,9,0))*VLOOKUP(HRM[[#This Row],[Employee Name]],'Employee Database'!B:K,8,0))),"")</f>
        <v>1246.6523076923077</v>
      </c>
      <c r="J154" s="49">
        <f>IFERROR(IF(HRM[[#This Row],[Employee Name]]="","",(VLOOKUP(HRM[[#This Row],[Employee Name]],'Employee Database'!B:K,10,0))*HRM[[#This Row],[Revenue generated by employee]]),"")</f>
        <v>0</v>
      </c>
      <c r="K154" s="49">
        <f>IF(COUNT(HRM[[#This Row],[Base salary]:[Comission]])=0,"",SUM(HRM[[#This Row],[Base salary]:[Comission]]))</f>
        <v>11635.421538461538</v>
      </c>
    </row>
    <row r="155" spans="1:11" x14ac:dyDescent="0.2">
      <c r="A155" s="24" t="str">
        <f t="shared" si="2"/>
        <v/>
      </c>
      <c r="B155" s="43">
        <v>44136</v>
      </c>
      <c r="C155" s="44">
        <f>IF(HRM[[#This Row],[Date]]="","",HRM[[#This Row],[Date]])</f>
        <v>44136</v>
      </c>
      <c r="D155" s="45">
        <f>IF(HRM[[#This Row],[Date]]="","",HRM[[#This Row],[Date]])</f>
        <v>44136</v>
      </c>
      <c r="E155" s="46" t="s">
        <v>23</v>
      </c>
      <c r="F155" s="47" t="str">
        <f>IFERROR(IF(HRM[[#This Row],[Employee Name]]="","",VLOOKUP(HRM[[#This Row],[Employee Name]],'Employee Database'!B:K,2,0)),"")</f>
        <v>Field Force</v>
      </c>
      <c r="G155" s="51">
        <v>89191</v>
      </c>
      <c r="H155" s="49">
        <f>IFERROR(IF(HRM[[#This Row],[Employee Name]]="","",VLOOKUP(HRM[[#This Row],[Employee Name]],'Employee Database'!B:K,8,0)),"")</f>
        <v>6139.1333333333341</v>
      </c>
      <c r="I155" s="49">
        <f>IFERROR(IF(HRM[[#This Row],[Employee Name]]="","",((VLOOKUP(HRM[[#This Row],[Employee Name]],'Employee Database'!B:K,9,0))*VLOOKUP(HRM[[#This Row],[Employee Name]],'Employee Database'!B:K,8,0))),"")</f>
        <v>368.34800000000001</v>
      </c>
      <c r="J155" s="49">
        <f>IFERROR(IF(HRM[[#This Row],[Employee Name]]="","",(VLOOKUP(HRM[[#This Row],[Employee Name]],'Employee Database'!B:K,10,0))*HRM[[#This Row],[Revenue generated by employee]]),"")</f>
        <v>713.52800000000002</v>
      </c>
      <c r="K155" s="49">
        <f>IF(COUNT(HRM[[#This Row],[Base salary]:[Comission]])=0,"",SUM(HRM[[#This Row],[Base salary]:[Comission]]))</f>
        <v>7221.0093333333343</v>
      </c>
    </row>
    <row r="156" spans="1:11" x14ac:dyDescent="0.2">
      <c r="A156" s="24" t="str">
        <f t="shared" si="2"/>
        <v/>
      </c>
      <c r="B156" s="43">
        <v>44136</v>
      </c>
      <c r="C156" s="44">
        <f>IF(HRM[[#This Row],[Date]]="","",HRM[[#This Row],[Date]])</f>
        <v>44136</v>
      </c>
      <c r="D156" s="45">
        <f>IF(HRM[[#This Row],[Date]]="","",HRM[[#This Row],[Date]])</f>
        <v>44136</v>
      </c>
      <c r="E156" s="46" t="s">
        <v>24</v>
      </c>
      <c r="F156" s="47" t="str">
        <f>IFERROR(IF(HRM[[#This Row],[Employee Name]]="","",VLOOKUP(HRM[[#This Row],[Employee Name]],'Employee Database'!B:K,2,0)),"")</f>
        <v>Field Force</v>
      </c>
      <c r="G156" s="51">
        <v>99589</v>
      </c>
      <c r="H156" s="49">
        <f>IFERROR(IF(HRM[[#This Row],[Employee Name]]="","",VLOOKUP(HRM[[#This Row],[Employee Name]],'Employee Database'!B:K,8,0)),"")</f>
        <v>5232.916666666667</v>
      </c>
      <c r="I156" s="49">
        <f>IFERROR(IF(HRM[[#This Row],[Employee Name]]="","",((VLOOKUP(HRM[[#This Row],[Employee Name]],'Employee Database'!B:K,9,0))*VLOOKUP(HRM[[#This Row],[Employee Name]],'Employee Database'!B:K,8,0))),"")</f>
        <v>313.97500000000002</v>
      </c>
      <c r="J156" s="49">
        <f>IFERROR(IF(HRM[[#This Row],[Employee Name]]="","",(VLOOKUP(HRM[[#This Row],[Employee Name]],'Employee Database'!B:K,10,0))*HRM[[#This Row],[Revenue generated by employee]]),"")</f>
        <v>995.89</v>
      </c>
      <c r="K156" s="49">
        <f>IF(COUNT(HRM[[#This Row],[Base salary]:[Comission]])=0,"",SUM(HRM[[#This Row],[Base salary]:[Comission]]))</f>
        <v>6542.7816666666677</v>
      </c>
    </row>
    <row r="157" spans="1:11" x14ac:dyDescent="0.2">
      <c r="A157" s="24" t="str">
        <f t="shared" si="2"/>
        <v/>
      </c>
      <c r="B157" s="43">
        <v>44136</v>
      </c>
      <c r="C157" s="44">
        <f>IF(HRM[[#This Row],[Date]]="","",HRM[[#This Row],[Date]])</f>
        <v>44136</v>
      </c>
      <c r="D157" s="45">
        <f>IF(HRM[[#This Row],[Date]]="","",HRM[[#This Row],[Date]])</f>
        <v>44136</v>
      </c>
      <c r="E157" s="46" t="s">
        <v>26</v>
      </c>
      <c r="F157" s="47" t="str">
        <f>IFERROR(IF(HRM[[#This Row],[Employee Name]]="","",VLOOKUP(HRM[[#This Row],[Employee Name]],'Employee Database'!B:K,2,0)),"")</f>
        <v>Field Force</v>
      </c>
      <c r="G157" s="51">
        <v>84996</v>
      </c>
      <c r="H157" s="49">
        <f>IFERROR(IF(HRM[[#This Row],[Employee Name]]="","",VLOOKUP(HRM[[#This Row],[Employee Name]],'Employee Database'!B:K,8,0)),"")</f>
        <v>6858.083333333333</v>
      </c>
      <c r="I157" s="49">
        <f>IFERROR(IF(HRM[[#This Row],[Employee Name]]="","",((VLOOKUP(HRM[[#This Row],[Employee Name]],'Employee Database'!B:K,9,0))*VLOOKUP(HRM[[#This Row],[Employee Name]],'Employee Database'!B:K,8,0))),"")</f>
        <v>411.48499999999996</v>
      </c>
      <c r="J157" s="49">
        <f>IFERROR(IF(HRM[[#This Row],[Employee Name]]="","",(VLOOKUP(HRM[[#This Row],[Employee Name]],'Employee Database'!B:K,10,0))*HRM[[#This Row],[Revenue generated by employee]]),"")</f>
        <v>849.96</v>
      </c>
      <c r="K157" s="49">
        <f>IF(COUNT(HRM[[#This Row],[Base salary]:[Comission]])=0,"",SUM(HRM[[#This Row],[Base salary]:[Comission]]))</f>
        <v>8119.5283333333327</v>
      </c>
    </row>
    <row r="158" spans="1:11" x14ac:dyDescent="0.2">
      <c r="A158" s="24" t="str">
        <f t="shared" si="2"/>
        <v/>
      </c>
      <c r="B158" s="43">
        <v>44136</v>
      </c>
      <c r="C158" s="44">
        <f>IF(HRM[[#This Row],[Date]]="","",HRM[[#This Row],[Date]])</f>
        <v>44136</v>
      </c>
      <c r="D158" s="45">
        <f>IF(HRM[[#This Row],[Date]]="","",HRM[[#This Row],[Date]])</f>
        <v>44136</v>
      </c>
      <c r="E158" s="46" t="s">
        <v>27</v>
      </c>
      <c r="F158" s="47" t="str">
        <f>IFERROR(IF(HRM[[#This Row],[Employee Name]]="","",VLOOKUP(HRM[[#This Row],[Employee Name]],'Employee Database'!B:K,2,0)),"")</f>
        <v>Field Force</v>
      </c>
      <c r="G158" s="51">
        <v>72201</v>
      </c>
      <c r="H158" s="49">
        <f>IFERROR(IF(HRM[[#This Row],[Employee Name]]="","",VLOOKUP(HRM[[#This Row],[Employee Name]],'Employee Database'!B:K,8,0)),"")</f>
        <v>4132.666666666667</v>
      </c>
      <c r="I158" s="49">
        <f>IFERROR(IF(HRM[[#This Row],[Employee Name]]="","",((VLOOKUP(HRM[[#This Row],[Employee Name]],'Employee Database'!B:K,9,0))*VLOOKUP(HRM[[#This Row],[Employee Name]],'Employee Database'!B:K,8,0))),"")</f>
        <v>247.96</v>
      </c>
      <c r="J158" s="49">
        <f>IFERROR(IF(HRM[[#This Row],[Employee Name]]="","",(VLOOKUP(HRM[[#This Row],[Employee Name]],'Employee Database'!B:K,10,0))*HRM[[#This Row],[Revenue generated by employee]]),"")</f>
        <v>794.2109999999999</v>
      </c>
      <c r="K158" s="49">
        <f>IF(COUNT(HRM[[#This Row],[Base salary]:[Comission]])=0,"",SUM(HRM[[#This Row],[Base salary]:[Comission]]))</f>
        <v>5174.8376666666672</v>
      </c>
    </row>
    <row r="159" spans="1:11" x14ac:dyDescent="0.2">
      <c r="A159" s="24" t="str">
        <f t="shared" si="2"/>
        <v/>
      </c>
      <c r="B159" s="43">
        <v>44136</v>
      </c>
      <c r="C159" s="44">
        <f>IF(HRM[[#This Row],[Date]]="","",HRM[[#This Row],[Date]])</f>
        <v>44136</v>
      </c>
      <c r="D159" s="45">
        <f>IF(HRM[[#This Row],[Date]]="","",HRM[[#This Row],[Date]])</f>
        <v>44136</v>
      </c>
      <c r="E159" s="46" t="s">
        <v>28</v>
      </c>
      <c r="F159" s="47" t="str">
        <f>IFERROR(IF(HRM[[#This Row],[Employee Name]]="","",VLOOKUP(HRM[[#This Row],[Employee Name]],'Employee Database'!B:K,2,0)),"")</f>
        <v>IT</v>
      </c>
      <c r="G159" s="51">
        <v>0</v>
      </c>
      <c r="H159" s="49">
        <f>IFERROR(IF(HRM[[#This Row],[Employee Name]]="","",VLOOKUP(HRM[[#This Row],[Employee Name]],'Employee Database'!B:K,8,0)),"")</f>
        <v>6109.166666666667</v>
      </c>
      <c r="I159" s="49">
        <f>IFERROR(IF(HRM[[#This Row],[Employee Name]]="","",((VLOOKUP(HRM[[#This Row],[Employee Name]],'Employee Database'!B:K,9,0))*VLOOKUP(HRM[[#This Row],[Employee Name]],'Employee Database'!B:K,8,0))),"")</f>
        <v>610.91666666666674</v>
      </c>
      <c r="J159" s="49">
        <f>IFERROR(IF(HRM[[#This Row],[Employee Name]]="","",(VLOOKUP(HRM[[#This Row],[Employee Name]],'Employee Database'!B:K,10,0))*HRM[[#This Row],[Revenue generated by employee]]),"")</f>
        <v>0</v>
      </c>
      <c r="K159" s="49">
        <f>IF(COUNT(HRM[[#This Row],[Base salary]:[Comission]])=0,"",SUM(HRM[[#This Row],[Base salary]:[Comission]]))</f>
        <v>6720.0833333333339</v>
      </c>
    </row>
    <row r="160" spans="1:11" x14ac:dyDescent="0.2">
      <c r="A160" s="24" t="str">
        <f t="shared" si="2"/>
        <v/>
      </c>
      <c r="B160" s="43">
        <v>44136</v>
      </c>
      <c r="C160" s="44">
        <f>IF(HRM[[#This Row],[Date]]="","",HRM[[#This Row],[Date]])</f>
        <v>44136</v>
      </c>
      <c r="D160" s="45">
        <f>IF(HRM[[#This Row],[Date]]="","",HRM[[#This Row],[Date]])</f>
        <v>44136</v>
      </c>
      <c r="E160" s="46" t="s">
        <v>29</v>
      </c>
      <c r="F160" s="47" t="str">
        <f>IFERROR(IF(HRM[[#This Row],[Employee Name]]="","",VLOOKUP(HRM[[#This Row],[Employee Name]],'Employee Database'!B:K,2,0)),"")</f>
        <v>General Management</v>
      </c>
      <c r="G160" s="51">
        <v>0</v>
      </c>
      <c r="H160" s="49">
        <f>IFERROR(IF(HRM[[#This Row],[Employee Name]]="","",VLOOKUP(HRM[[#This Row],[Employee Name]],'Employee Database'!B:K,8,0)),"")</f>
        <v>10388.76923076923</v>
      </c>
      <c r="I160" s="49">
        <f>IFERROR(IF(HRM[[#This Row],[Employee Name]]="","",((VLOOKUP(HRM[[#This Row],[Employee Name]],'Employee Database'!B:K,9,0))*VLOOKUP(HRM[[#This Row],[Employee Name]],'Employee Database'!B:K,8,0))),"")</f>
        <v>1246.6523076923077</v>
      </c>
      <c r="J160" s="49">
        <f>IFERROR(IF(HRM[[#This Row],[Employee Name]]="","",(VLOOKUP(HRM[[#This Row],[Employee Name]],'Employee Database'!B:K,10,0))*HRM[[#This Row],[Revenue generated by employee]]),"")</f>
        <v>0</v>
      </c>
      <c r="K160" s="49">
        <f>IF(COUNT(HRM[[#This Row],[Base salary]:[Comission]])=0,"",SUM(HRM[[#This Row],[Base salary]:[Comission]]))</f>
        <v>11635.421538461538</v>
      </c>
    </row>
    <row r="161" spans="1:11" x14ac:dyDescent="0.2">
      <c r="A161" s="24" t="str">
        <f t="shared" si="2"/>
        <v/>
      </c>
      <c r="B161" s="43">
        <v>44166</v>
      </c>
      <c r="C161" s="44">
        <f>IF(HRM[[#This Row],[Date]]="","",HRM[[#This Row],[Date]])</f>
        <v>44166</v>
      </c>
      <c r="D161" s="45">
        <f>IF(HRM[[#This Row],[Date]]="","",HRM[[#This Row],[Date]])</f>
        <v>44166</v>
      </c>
      <c r="E161" s="46" t="s">
        <v>23</v>
      </c>
      <c r="F161" s="47" t="str">
        <f>IFERROR(IF(HRM[[#This Row],[Employee Name]]="","",VLOOKUP(HRM[[#This Row],[Employee Name]],'Employee Database'!B:K,2,0)),"")</f>
        <v>Field Force</v>
      </c>
      <c r="G161" s="51">
        <v>120205</v>
      </c>
      <c r="H161" s="49">
        <f>IFERROR(IF(HRM[[#This Row],[Employee Name]]="","",VLOOKUP(HRM[[#This Row],[Employee Name]],'Employee Database'!B:K,8,0)),"")</f>
        <v>6139.1333333333341</v>
      </c>
      <c r="I161" s="49">
        <f>IFERROR(IF(HRM[[#This Row],[Employee Name]]="","",((VLOOKUP(HRM[[#This Row],[Employee Name]],'Employee Database'!B:K,9,0))*VLOOKUP(HRM[[#This Row],[Employee Name]],'Employee Database'!B:K,8,0))),"")</f>
        <v>368.34800000000001</v>
      </c>
      <c r="J161" s="49">
        <f>IFERROR(IF(HRM[[#This Row],[Employee Name]]="","",(VLOOKUP(HRM[[#This Row],[Employee Name]],'Employee Database'!B:K,10,0))*HRM[[#This Row],[Revenue generated by employee]]),"")</f>
        <v>961.64</v>
      </c>
      <c r="K161" s="49">
        <f>IF(COUNT(HRM[[#This Row],[Base salary]:[Comission]])=0,"",SUM(HRM[[#This Row],[Base salary]:[Comission]]))</f>
        <v>7469.1213333333344</v>
      </c>
    </row>
    <row r="162" spans="1:11" x14ac:dyDescent="0.2">
      <c r="A162" s="24" t="str">
        <f t="shared" si="2"/>
        <v/>
      </c>
      <c r="B162" s="43">
        <v>44166</v>
      </c>
      <c r="C162" s="44">
        <f>IF(HRM[[#This Row],[Date]]="","",HRM[[#This Row],[Date]])</f>
        <v>44166</v>
      </c>
      <c r="D162" s="45">
        <f>IF(HRM[[#This Row],[Date]]="","",HRM[[#This Row],[Date]])</f>
        <v>44166</v>
      </c>
      <c r="E162" s="46" t="s">
        <v>24</v>
      </c>
      <c r="F162" s="47" t="str">
        <f>IFERROR(IF(HRM[[#This Row],[Employee Name]]="","",VLOOKUP(HRM[[#This Row],[Employee Name]],'Employee Database'!B:K,2,0)),"")</f>
        <v>Field Force</v>
      </c>
      <c r="G162" s="51">
        <v>98407</v>
      </c>
      <c r="H162" s="49">
        <f>IFERROR(IF(HRM[[#This Row],[Employee Name]]="","",VLOOKUP(HRM[[#This Row],[Employee Name]],'Employee Database'!B:K,8,0)),"")</f>
        <v>5232.916666666667</v>
      </c>
      <c r="I162" s="49">
        <f>IFERROR(IF(HRM[[#This Row],[Employee Name]]="","",((VLOOKUP(HRM[[#This Row],[Employee Name]],'Employee Database'!B:K,9,0))*VLOOKUP(HRM[[#This Row],[Employee Name]],'Employee Database'!B:K,8,0))),"")</f>
        <v>313.97500000000002</v>
      </c>
      <c r="J162" s="49">
        <f>IFERROR(IF(HRM[[#This Row],[Employee Name]]="","",(VLOOKUP(HRM[[#This Row],[Employee Name]],'Employee Database'!B:K,10,0))*HRM[[#This Row],[Revenue generated by employee]]),"")</f>
        <v>984.07</v>
      </c>
      <c r="K162" s="49">
        <f>IF(COUNT(HRM[[#This Row],[Base salary]:[Comission]])=0,"",SUM(HRM[[#This Row],[Base salary]:[Comission]]))</f>
        <v>6530.961666666667</v>
      </c>
    </row>
    <row r="163" spans="1:11" x14ac:dyDescent="0.2">
      <c r="A163" s="24" t="str">
        <f t="shared" si="2"/>
        <v/>
      </c>
      <c r="B163" s="43">
        <v>44166</v>
      </c>
      <c r="C163" s="44">
        <f>IF(HRM[[#This Row],[Date]]="","",HRM[[#This Row],[Date]])</f>
        <v>44166</v>
      </c>
      <c r="D163" s="45">
        <f>IF(HRM[[#This Row],[Date]]="","",HRM[[#This Row],[Date]])</f>
        <v>44166</v>
      </c>
      <c r="E163" s="46" t="s">
        <v>26</v>
      </c>
      <c r="F163" s="47" t="str">
        <f>IFERROR(IF(HRM[[#This Row],[Employee Name]]="","",VLOOKUP(HRM[[#This Row],[Employee Name]],'Employee Database'!B:K,2,0)),"")</f>
        <v>Field Force</v>
      </c>
      <c r="G163" s="51">
        <v>103371</v>
      </c>
      <c r="H163" s="49">
        <f>IFERROR(IF(HRM[[#This Row],[Employee Name]]="","",VLOOKUP(HRM[[#This Row],[Employee Name]],'Employee Database'!B:K,8,0)),"")</f>
        <v>6858.083333333333</v>
      </c>
      <c r="I163" s="49">
        <f>IFERROR(IF(HRM[[#This Row],[Employee Name]]="","",((VLOOKUP(HRM[[#This Row],[Employee Name]],'Employee Database'!B:K,9,0))*VLOOKUP(HRM[[#This Row],[Employee Name]],'Employee Database'!B:K,8,0))),"")</f>
        <v>411.48499999999996</v>
      </c>
      <c r="J163" s="49">
        <f>IFERROR(IF(HRM[[#This Row],[Employee Name]]="","",(VLOOKUP(HRM[[#This Row],[Employee Name]],'Employee Database'!B:K,10,0))*HRM[[#This Row],[Revenue generated by employee]]),"")</f>
        <v>1033.71</v>
      </c>
      <c r="K163" s="49">
        <f>IF(COUNT(HRM[[#This Row],[Base salary]:[Comission]])=0,"",SUM(HRM[[#This Row],[Base salary]:[Comission]]))</f>
        <v>8303.2783333333318</v>
      </c>
    </row>
    <row r="164" spans="1:11" x14ac:dyDescent="0.2">
      <c r="A164" s="24" t="str">
        <f t="shared" si="2"/>
        <v/>
      </c>
      <c r="B164" s="43">
        <v>44166</v>
      </c>
      <c r="C164" s="44">
        <f>IF(HRM[[#This Row],[Date]]="","",HRM[[#This Row],[Date]])</f>
        <v>44166</v>
      </c>
      <c r="D164" s="45">
        <f>IF(HRM[[#This Row],[Date]]="","",HRM[[#This Row],[Date]])</f>
        <v>44166</v>
      </c>
      <c r="E164" s="46" t="s">
        <v>27</v>
      </c>
      <c r="F164" s="47" t="str">
        <f>IFERROR(IF(HRM[[#This Row],[Employee Name]]="","",VLOOKUP(HRM[[#This Row],[Employee Name]],'Employee Database'!B:K,2,0)),"")</f>
        <v>Field Force</v>
      </c>
      <c r="G164" s="51">
        <v>113501</v>
      </c>
      <c r="H164" s="49">
        <f>IFERROR(IF(HRM[[#This Row],[Employee Name]]="","",VLOOKUP(HRM[[#This Row],[Employee Name]],'Employee Database'!B:K,8,0)),"")</f>
        <v>4132.666666666667</v>
      </c>
      <c r="I164" s="49">
        <f>IFERROR(IF(HRM[[#This Row],[Employee Name]]="","",((VLOOKUP(HRM[[#This Row],[Employee Name]],'Employee Database'!B:K,9,0))*VLOOKUP(HRM[[#This Row],[Employee Name]],'Employee Database'!B:K,8,0))),"")</f>
        <v>247.96</v>
      </c>
      <c r="J164" s="49">
        <f>IFERROR(IF(HRM[[#This Row],[Employee Name]]="","",(VLOOKUP(HRM[[#This Row],[Employee Name]],'Employee Database'!B:K,10,0))*HRM[[#This Row],[Revenue generated by employee]]),"")</f>
        <v>1248.511</v>
      </c>
      <c r="K164" s="49">
        <f>IF(COUNT(HRM[[#This Row],[Base salary]:[Comission]])=0,"",SUM(HRM[[#This Row],[Base salary]:[Comission]]))</f>
        <v>5629.1376666666674</v>
      </c>
    </row>
    <row r="165" spans="1:11" x14ac:dyDescent="0.2">
      <c r="A165" s="24" t="str">
        <f t="shared" si="2"/>
        <v/>
      </c>
      <c r="B165" s="43">
        <v>44166</v>
      </c>
      <c r="C165" s="44">
        <f>IF(HRM[[#This Row],[Date]]="","",HRM[[#This Row],[Date]])</f>
        <v>44166</v>
      </c>
      <c r="D165" s="45">
        <f>IF(HRM[[#This Row],[Date]]="","",HRM[[#This Row],[Date]])</f>
        <v>44166</v>
      </c>
      <c r="E165" s="46" t="s">
        <v>28</v>
      </c>
      <c r="F165" s="47" t="str">
        <f>IFERROR(IF(HRM[[#This Row],[Employee Name]]="","",VLOOKUP(HRM[[#This Row],[Employee Name]],'Employee Database'!B:K,2,0)),"")</f>
        <v>IT</v>
      </c>
      <c r="G165" s="51">
        <v>0</v>
      </c>
      <c r="H165" s="49">
        <f>IFERROR(IF(HRM[[#This Row],[Employee Name]]="","",VLOOKUP(HRM[[#This Row],[Employee Name]],'Employee Database'!B:K,8,0)),"")</f>
        <v>6109.166666666667</v>
      </c>
      <c r="I165" s="49">
        <f>IFERROR(IF(HRM[[#This Row],[Employee Name]]="","",((VLOOKUP(HRM[[#This Row],[Employee Name]],'Employee Database'!B:K,9,0))*VLOOKUP(HRM[[#This Row],[Employee Name]],'Employee Database'!B:K,8,0))),"")</f>
        <v>610.91666666666674</v>
      </c>
      <c r="J165" s="49">
        <f>IFERROR(IF(HRM[[#This Row],[Employee Name]]="","",(VLOOKUP(HRM[[#This Row],[Employee Name]],'Employee Database'!B:K,10,0))*HRM[[#This Row],[Revenue generated by employee]]),"")</f>
        <v>0</v>
      </c>
      <c r="K165" s="49">
        <f>IF(COUNT(HRM[[#This Row],[Base salary]:[Comission]])=0,"",SUM(HRM[[#This Row],[Base salary]:[Comission]]))</f>
        <v>6720.0833333333339</v>
      </c>
    </row>
    <row r="166" spans="1:11" x14ac:dyDescent="0.2">
      <c r="A166" s="24" t="str">
        <f t="shared" si="2"/>
        <v/>
      </c>
      <c r="B166" s="43">
        <v>44166</v>
      </c>
      <c r="C166" s="44">
        <f>IF(HRM[[#This Row],[Date]]="","",HRM[[#This Row],[Date]])</f>
        <v>44166</v>
      </c>
      <c r="D166" s="45">
        <f>IF(HRM[[#This Row],[Date]]="","",HRM[[#This Row],[Date]])</f>
        <v>44166</v>
      </c>
      <c r="E166" s="46" t="s">
        <v>29</v>
      </c>
      <c r="F166" s="47" t="str">
        <f>IFERROR(IF(HRM[[#This Row],[Employee Name]]="","",VLOOKUP(HRM[[#This Row],[Employee Name]],'Employee Database'!B:K,2,0)),"")</f>
        <v>General Management</v>
      </c>
      <c r="G166" s="51">
        <v>0</v>
      </c>
      <c r="H166" s="49">
        <f>IFERROR(IF(HRM[[#This Row],[Employee Name]]="","",VLOOKUP(HRM[[#This Row],[Employee Name]],'Employee Database'!B:K,8,0)),"")</f>
        <v>10388.76923076923</v>
      </c>
      <c r="I166" s="49">
        <f>IFERROR(IF(HRM[[#This Row],[Employee Name]]="","",((VLOOKUP(HRM[[#This Row],[Employee Name]],'Employee Database'!B:K,9,0))*VLOOKUP(HRM[[#This Row],[Employee Name]],'Employee Database'!B:K,8,0))),"")</f>
        <v>1246.6523076923077</v>
      </c>
      <c r="J166" s="49">
        <f>IFERROR(IF(HRM[[#This Row],[Employee Name]]="","",(VLOOKUP(HRM[[#This Row],[Employee Name]],'Employee Database'!B:K,10,0))*HRM[[#This Row],[Revenue generated by employee]]),"")</f>
        <v>0</v>
      </c>
      <c r="K166" s="49">
        <f>IF(COUNT(HRM[[#This Row],[Base salary]:[Comission]])=0,"",SUM(HRM[[#This Row],[Base salary]:[Comission]]))</f>
        <v>11635.421538461538</v>
      </c>
    </row>
    <row r="167" spans="1:11" x14ac:dyDescent="0.2">
      <c r="A167" s="24" t="str">
        <f t="shared" si="2"/>
        <v>New record---&gt;</v>
      </c>
    </row>
    <row r="168" spans="1:11" x14ac:dyDescent="0.2">
      <c r="A168" s="24" t="str">
        <f t="shared" si="2"/>
        <v/>
      </c>
    </row>
    <row r="169" spans="1:11" x14ac:dyDescent="0.2">
      <c r="A169" s="24" t="str">
        <f t="shared" si="2"/>
        <v/>
      </c>
    </row>
    <row r="170" spans="1:11" x14ac:dyDescent="0.2">
      <c r="A170" s="24" t="str">
        <f t="shared" si="2"/>
        <v/>
      </c>
    </row>
    <row r="171" spans="1:11" x14ac:dyDescent="0.2">
      <c r="A171" s="24" t="str">
        <f t="shared" si="2"/>
        <v/>
      </c>
    </row>
    <row r="172" spans="1:11" x14ac:dyDescent="0.2">
      <c r="A172" s="24" t="str">
        <f t="shared" si="2"/>
        <v/>
      </c>
    </row>
    <row r="173" spans="1:11" x14ac:dyDescent="0.2">
      <c r="A173" s="24" t="str">
        <f t="shared" si="2"/>
        <v/>
      </c>
    </row>
    <row r="174" spans="1:11" x14ac:dyDescent="0.2">
      <c r="A174" s="24" t="str">
        <f t="shared" si="2"/>
        <v/>
      </c>
    </row>
    <row r="175" spans="1:11" x14ac:dyDescent="0.2">
      <c r="A175" s="24" t="str">
        <f t="shared" si="2"/>
        <v/>
      </c>
    </row>
    <row r="176" spans="1:11" x14ac:dyDescent="0.2">
      <c r="A176" s="24" t="str">
        <f t="shared" si="2"/>
        <v/>
      </c>
    </row>
    <row r="177" spans="1:1" x14ac:dyDescent="0.2">
      <c r="A177" s="24" t="str">
        <f t="shared" si="2"/>
        <v/>
      </c>
    </row>
    <row r="178" spans="1:1" x14ac:dyDescent="0.2">
      <c r="A178" s="24" t="str">
        <f t="shared" si="2"/>
        <v/>
      </c>
    </row>
    <row r="179" spans="1:1" x14ac:dyDescent="0.2">
      <c r="A179" s="24" t="str">
        <f t="shared" si="2"/>
        <v/>
      </c>
    </row>
    <row r="180" spans="1:1" x14ac:dyDescent="0.2">
      <c r="A180" s="24" t="str">
        <f t="shared" si="2"/>
        <v/>
      </c>
    </row>
    <row r="181" spans="1:1" x14ac:dyDescent="0.2">
      <c r="A181" s="24" t="str">
        <f t="shared" si="2"/>
        <v/>
      </c>
    </row>
    <row r="182" spans="1:1" x14ac:dyDescent="0.2">
      <c r="A182" s="24" t="str">
        <f t="shared" si="2"/>
        <v/>
      </c>
    </row>
    <row r="183" spans="1:1" x14ac:dyDescent="0.2">
      <c r="A183" s="24" t="str">
        <f t="shared" si="2"/>
        <v/>
      </c>
    </row>
    <row r="184" spans="1:1" x14ac:dyDescent="0.2">
      <c r="A184" s="24" t="str">
        <f t="shared" si="2"/>
        <v/>
      </c>
    </row>
    <row r="185" spans="1:1" x14ac:dyDescent="0.2">
      <c r="A185" s="24" t="str">
        <f t="shared" si="2"/>
        <v/>
      </c>
    </row>
    <row r="186" spans="1:1" x14ac:dyDescent="0.2">
      <c r="A186" s="24" t="str">
        <f t="shared" si="2"/>
        <v/>
      </c>
    </row>
    <row r="187" spans="1:1" x14ac:dyDescent="0.2">
      <c r="A187" s="24" t="str">
        <f t="shared" si="2"/>
        <v/>
      </c>
    </row>
    <row r="188" spans="1:1" x14ac:dyDescent="0.2">
      <c r="A188" s="24" t="str">
        <f t="shared" si="2"/>
        <v/>
      </c>
    </row>
    <row r="189" spans="1:1" x14ac:dyDescent="0.2">
      <c r="A189" s="24" t="str">
        <f t="shared" si="2"/>
        <v/>
      </c>
    </row>
    <row r="190" spans="1:1" x14ac:dyDescent="0.2">
      <c r="A190" s="24" t="str">
        <f t="shared" si="2"/>
        <v/>
      </c>
    </row>
    <row r="191" spans="1:1" x14ac:dyDescent="0.2">
      <c r="A191" s="24" t="str">
        <f t="shared" si="2"/>
        <v/>
      </c>
    </row>
    <row r="192" spans="1:1" x14ac:dyDescent="0.2">
      <c r="A192" s="24" t="str">
        <f t="shared" si="2"/>
        <v/>
      </c>
    </row>
    <row r="193" spans="1:1" x14ac:dyDescent="0.2">
      <c r="A193" s="24" t="str">
        <f t="shared" si="2"/>
        <v/>
      </c>
    </row>
    <row r="194" spans="1:1" x14ac:dyDescent="0.2">
      <c r="A194" s="24" t="str">
        <f t="shared" si="2"/>
        <v/>
      </c>
    </row>
    <row r="195" spans="1:1" x14ac:dyDescent="0.2">
      <c r="A195" s="24" t="str">
        <f t="shared" si="2"/>
        <v/>
      </c>
    </row>
    <row r="196" spans="1:1" x14ac:dyDescent="0.2">
      <c r="A196" s="24" t="str">
        <f t="shared" ref="A196:A259" si="3">IF(AND(B195&lt;&gt;"",B196=""),$A$2&amp;"---&gt;","")</f>
        <v/>
      </c>
    </row>
    <row r="197" spans="1:1" x14ac:dyDescent="0.2">
      <c r="A197" s="24" t="str">
        <f t="shared" si="3"/>
        <v/>
      </c>
    </row>
    <row r="198" spans="1:1" x14ac:dyDescent="0.2">
      <c r="A198" s="24" t="str">
        <f t="shared" si="3"/>
        <v/>
      </c>
    </row>
    <row r="199" spans="1:1" x14ac:dyDescent="0.2">
      <c r="A199" s="24" t="str">
        <f t="shared" si="3"/>
        <v/>
      </c>
    </row>
    <row r="200" spans="1:1" x14ac:dyDescent="0.2">
      <c r="A200" s="24" t="str">
        <f t="shared" si="3"/>
        <v/>
      </c>
    </row>
    <row r="201" spans="1:1" x14ac:dyDescent="0.2">
      <c r="A201" s="24" t="str">
        <f t="shared" si="3"/>
        <v/>
      </c>
    </row>
    <row r="202" spans="1:1" x14ac:dyDescent="0.2">
      <c r="A202" s="24" t="str">
        <f t="shared" si="3"/>
        <v/>
      </c>
    </row>
    <row r="203" spans="1:1" x14ac:dyDescent="0.2">
      <c r="A203" s="24" t="str">
        <f t="shared" si="3"/>
        <v/>
      </c>
    </row>
    <row r="204" spans="1:1" x14ac:dyDescent="0.2">
      <c r="A204" s="24" t="str">
        <f t="shared" si="3"/>
        <v/>
      </c>
    </row>
    <row r="205" spans="1:1" x14ac:dyDescent="0.2">
      <c r="A205" s="24" t="str">
        <f t="shared" si="3"/>
        <v/>
      </c>
    </row>
    <row r="206" spans="1:1" x14ac:dyDescent="0.2">
      <c r="A206" s="24" t="str">
        <f t="shared" si="3"/>
        <v/>
      </c>
    </row>
    <row r="207" spans="1:1" x14ac:dyDescent="0.2">
      <c r="A207" s="24" t="str">
        <f t="shared" si="3"/>
        <v/>
      </c>
    </row>
    <row r="208" spans="1:1" x14ac:dyDescent="0.2">
      <c r="A208" s="24" t="str">
        <f t="shared" si="3"/>
        <v/>
      </c>
    </row>
    <row r="209" spans="1:1" x14ac:dyDescent="0.2">
      <c r="A209" s="24" t="str">
        <f t="shared" si="3"/>
        <v/>
      </c>
    </row>
    <row r="210" spans="1:1" x14ac:dyDescent="0.2">
      <c r="A210" s="24" t="str">
        <f t="shared" si="3"/>
        <v/>
      </c>
    </row>
    <row r="211" spans="1:1" x14ac:dyDescent="0.2">
      <c r="A211" s="24" t="str">
        <f t="shared" si="3"/>
        <v/>
      </c>
    </row>
    <row r="212" spans="1:1" x14ac:dyDescent="0.2">
      <c r="A212" s="24" t="str">
        <f t="shared" si="3"/>
        <v/>
      </c>
    </row>
    <row r="213" spans="1:1" x14ac:dyDescent="0.2">
      <c r="A213" s="24" t="str">
        <f t="shared" si="3"/>
        <v/>
      </c>
    </row>
    <row r="214" spans="1:1" x14ac:dyDescent="0.2">
      <c r="A214" s="24" t="str">
        <f t="shared" si="3"/>
        <v/>
      </c>
    </row>
    <row r="215" spans="1:1" x14ac:dyDescent="0.2">
      <c r="A215" s="24" t="str">
        <f t="shared" si="3"/>
        <v/>
      </c>
    </row>
    <row r="216" spans="1:1" x14ac:dyDescent="0.2">
      <c r="A216" s="24" t="str">
        <f t="shared" si="3"/>
        <v/>
      </c>
    </row>
    <row r="217" spans="1:1" x14ac:dyDescent="0.2">
      <c r="A217" s="24" t="str">
        <f t="shared" si="3"/>
        <v/>
      </c>
    </row>
    <row r="218" spans="1:1" x14ac:dyDescent="0.2">
      <c r="A218" s="24" t="str">
        <f t="shared" si="3"/>
        <v/>
      </c>
    </row>
    <row r="219" spans="1:1" x14ac:dyDescent="0.2">
      <c r="A219" s="24" t="str">
        <f t="shared" si="3"/>
        <v/>
      </c>
    </row>
    <row r="220" spans="1:1" x14ac:dyDescent="0.2">
      <c r="A220" s="24" t="str">
        <f t="shared" si="3"/>
        <v/>
      </c>
    </row>
    <row r="221" spans="1:1" x14ac:dyDescent="0.2">
      <c r="A221" s="24" t="str">
        <f t="shared" si="3"/>
        <v/>
      </c>
    </row>
    <row r="222" spans="1:1" x14ac:dyDescent="0.2">
      <c r="A222" s="24" t="str">
        <f t="shared" si="3"/>
        <v/>
      </c>
    </row>
    <row r="223" spans="1:1" x14ac:dyDescent="0.2">
      <c r="A223" s="24" t="str">
        <f t="shared" si="3"/>
        <v/>
      </c>
    </row>
    <row r="224" spans="1:1" x14ac:dyDescent="0.2">
      <c r="A224" s="24" t="str">
        <f t="shared" si="3"/>
        <v/>
      </c>
    </row>
    <row r="225" spans="1:1" x14ac:dyDescent="0.2">
      <c r="A225" s="24" t="str">
        <f t="shared" si="3"/>
        <v/>
      </c>
    </row>
    <row r="226" spans="1:1" x14ac:dyDescent="0.2">
      <c r="A226" s="24" t="str">
        <f t="shared" si="3"/>
        <v/>
      </c>
    </row>
    <row r="227" spans="1:1" x14ac:dyDescent="0.2">
      <c r="A227" s="24" t="str">
        <f t="shared" si="3"/>
        <v/>
      </c>
    </row>
    <row r="228" spans="1:1" x14ac:dyDescent="0.2">
      <c r="A228" s="24" t="str">
        <f t="shared" si="3"/>
        <v/>
      </c>
    </row>
    <row r="229" spans="1:1" x14ac:dyDescent="0.2">
      <c r="A229" s="24" t="str">
        <f t="shared" si="3"/>
        <v/>
      </c>
    </row>
    <row r="230" spans="1:1" x14ac:dyDescent="0.2">
      <c r="A230" s="24" t="str">
        <f t="shared" si="3"/>
        <v/>
      </c>
    </row>
    <row r="231" spans="1:1" x14ac:dyDescent="0.2">
      <c r="A231" s="24" t="str">
        <f t="shared" si="3"/>
        <v/>
      </c>
    </row>
    <row r="232" spans="1:1" x14ac:dyDescent="0.2">
      <c r="A232" s="24" t="str">
        <f t="shared" si="3"/>
        <v/>
      </c>
    </row>
    <row r="233" spans="1:1" x14ac:dyDescent="0.2">
      <c r="A233" s="24" t="str">
        <f t="shared" si="3"/>
        <v/>
      </c>
    </row>
    <row r="234" spans="1:1" x14ac:dyDescent="0.2">
      <c r="A234" s="24" t="str">
        <f t="shared" si="3"/>
        <v/>
      </c>
    </row>
    <row r="235" spans="1:1" x14ac:dyDescent="0.2">
      <c r="A235" s="24" t="str">
        <f t="shared" si="3"/>
        <v/>
      </c>
    </row>
    <row r="236" spans="1:1" x14ac:dyDescent="0.2">
      <c r="A236" s="24" t="str">
        <f t="shared" si="3"/>
        <v/>
      </c>
    </row>
    <row r="237" spans="1:1" x14ac:dyDescent="0.2">
      <c r="A237" s="24" t="str">
        <f t="shared" si="3"/>
        <v/>
      </c>
    </row>
    <row r="238" spans="1:1" x14ac:dyDescent="0.2">
      <c r="A238" s="24" t="str">
        <f t="shared" si="3"/>
        <v/>
      </c>
    </row>
    <row r="239" spans="1:1" x14ac:dyDescent="0.2">
      <c r="A239" s="24" t="str">
        <f t="shared" si="3"/>
        <v/>
      </c>
    </row>
    <row r="240" spans="1:1" x14ac:dyDescent="0.2">
      <c r="A240" s="24" t="str">
        <f t="shared" si="3"/>
        <v/>
      </c>
    </row>
    <row r="241" spans="1:1" x14ac:dyDescent="0.2">
      <c r="A241" s="24" t="str">
        <f t="shared" si="3"/>
        <v/>
      </c>
    </row>
    <row r="242" spans="1:1" x14ac:dyDescent="0.2">
      <c r="A242" s="24" t="str">
        <f t="shared" si="3"/>
        <v/>
      </c>
    </row>
    <row r="243" spans="1:1" x14ac:dyDescent="0.2">
      <c r="A243" s="24" t="str">
        <f t="shared" si="3"/>
        <v/>
      </c>
    </row>
    <row r="244" spans="1:1" x14ac:dyDescent="0.2">
      <c r="A244" s="24" t="str">
        <f t="shared" si="3"/>
        <v/>
      </c>
    </row>
    <row r="245" spans="1:1" x14ac:dyDescent="0.2">
      <c r="A245" s="24" t="str">
        <f t="shared" si="3"/>
        <v/>
      </c>
    </row>
    <row r="246" spans="1:1" x14ac:dyDescent="0.2">
      <c r="A246" s="24" t="str">
        <f t="shared" si="3"/>
        <v/>
      </c>
    </row>
    <row r="247" spans="1:1" x14ac:dyDescent="0.2">
      <c r="A247" s="24" t="str">
        <f t="shared" si="3"/>
        <v/>
      </c>
    </row>
    <row r="248" spans="1:1" x14ac:dyDescent="0.2">
      <c r="A248" s="24" t="str">
        <f t="shared" si="3"/>
        <v/>
      </c>
    </row>
    <row r="249" spans="1:1" x14ac:dyDescent="0.2">
      <c r="A249" s="24" t="str">
        <f t="shared" si="3"/>
        <v/>
      </c>
    </row>
    <row r="250" spans="1:1" x14ac:dyDescent="0.2">
      <c r="A250" s="24" t="str">
        <f t="shared" si="3"/>
        <v/>
      </c>
    </row>
    <row r="251" spans="1:1" x14ac:dyDescent="0.2">
      <c r="A251" s="24" t="str">
        <f t="shared" si="3"/>
        <v/>
      </c>
    </row>
    <row r="252" spans="1:1" x14ac:dyDescent="0.2">
      <c r="A252" s="24" t="str">
        <f t="shared" si="3"/>
        <v/>
      </c>
    </row>
    <row r="253" spans="1:1" x14ac:dyDescent="0.2">
      <c r="A253" s="24" t="str">
        <f t="shared" si="3"/>
        <v/>
      </c>
    </row>
    <row r="254" spans="1:1" x14ac:dyDescent="0.2">
      <c r="A254" s="24" t="str">
        <f t="shared" si="3"/>
        <v/>
      </c>
    </row>
    <row r="255" spans="1:1" x14ac:dyDescent="0.2">
      <c r="A255" s="24" t="str">
        <f t="shared" si="3"/>
        <v/>
      </c>
    </row>
    <row r="256" spans="1:1" x14ac:dyDescent="0.2">
      <c r="A256" s="24" t="str">
        <f t="shared" si="3"/>
        <v/>
      </c>
    </row>
    <row r="257" spans="1:1" x14ac:dyDescent="0.2">
      <c r="A257" s="24" t="str">
        <f t="shared" si="3"/>
        <v/>
      </c>
    </row>
    <row r="258" spans="1:1" x14ac:dyDescent="0.2">
      <c r="A258" s="24" t="str">
        <f t="shared" si="3"/>
        <v/>
      </c>
    </row>
    <row r="259" spans="1:1" x14ac:dyDescent="0.2">
      <c r="A259" s="24" t="str">
        <f t="shared" si="3"/>
        <v/>
      </c>
    </row>
    <row r="260" spans="1:1" x14ac:dyDescent="0.2">
      <c r="A260" s="24" t="str">
        <f t="shared" ref="A260:A323" si="4">IF(AND(B259&lt;&gt;"",B260=""),$A$2&amp;"---&gt;","")</f>
        <v/>
      </c>
    </row>
    <row r="261" spans="1:1" x14ac:dyDescent="0.2">
      <c r="A261" s="24" t="str">
        <f t="shared" si="4"/>
        <v/>
      </c>
    </row>
    <row r="262" spans="1:1" x14ac:dyDescent="0.2">
      <c r="A262" s="24" t="str">
        <f t="shared" si="4"/>
        <v/>
      </c>
    </row>
    <row r="263" spans="1:1" x14ac:dyDescent="0.2">
      <c r="A263" s="24" t="str">
        <f t="shared" si="4"/>
        <v/>
      </c>
    </row>
    <row r="264" spans="1:1" x14ac:dyDescent="0.2">
      <c r="A264" s="24" t="str">
        <f t="shared" si="4"/>
        <v/>
      </c>
    </row>
    <row r="265" spans="1:1" x14ac:dyDescent="0.2">
      <c r="A265" s="24" t="str">
        <f t="shared" si="4"/>
        <v/>
      </c>
    </row>
    <row r="266" spans="1:1" x14ac:dyDescent="0.2">
      <c r="A266" s="24" t="str">
        <f t="shared" si="4"/>
        <v/>
      </c>
    </row>
    <row r="267" spans="1:1" x14ac:dyDescent="0.2">
      <c r="A267" s="24" t="str">
        <f t="shared" si="4"/>
        <v/>
      </c>
    </row>
    <row r="268" spans="1:1" x14ac:dyDescent="0.2">
      <c r="A268" s="24" t="str">
        <f t="shared" si="4"/>
        <v/>
      </c>
    </row>
    <row r="269" spans="1:1" x14ac:dyDescent="0.2">
      <c r="A269" s="24" t="str">
        <f t="shared" si="4"/>
        <v/>
      </c>
    </row>
    <row r="270" spans="1:1" x14ac:dyDescent="0.2">
      <c r="A270" s="24" t="str">
        <f t="shared" si="4"/>
        <v/>
      </c>
    </row>
    <row r="271" spans="1:1" x14ac:dyDescent="0.2">
      <c r="A271" s="24" t="str">
        <f t="shared" si="4"/>
        <v/>
      </c>
    </row>
    <row r="272" spans="1:1" x14ac:dyDescent="0.2">
      <c r="A272" s="24" t="str">
        <f t="shared" si="4"/>
        <v/>
      </c>
    </row>
    <row r="273" spans="1:1" x14ac:dyDescent="0.2">
      <c r="A273" s="24" t="str">
        <f t="shared" si="4"/>
        <v/>
      </c>
    </row>
    <row r="274" spans="1:1" x14ac:dyDescent="0.2">
      <c r="A274" s="24" t="str">
        <f t="shared" si="4"/>
        <v/>
      </c>
    </row>
    <row r="275" spans="1:1" x14ac:dyDescent="0.2">
      <c r="A275" s="24" t="str">
        <f t="shared" si="4"/>
        <v/>
      </c>
    </row>
    <row r="276" spans="1:1" x14ac:dyDescent="0.2">
      <c r="A276" s="24" t="str">
        <f t="shared" si="4"/>
        <v/>
      </c>
    </row>
    <row r="277" spans="1:1" x14ac:dyDescent="0.2">
      <c r="A277" s="24" t="str">
        <f t="shared" si="4"/>
        <v/>
      </c>
    </row>
    <row r="278" spans="1:1" x14ac:dyDescent="0.2">
      <c r="A278" s="24" t="str">
        <f t="shared" si="4"/>
        <v/>
      </c>
    </row>
    <row r="279" spans="1:1" x14ac:dyDescent="0.2">
      <c r="A279" s="24" t="str">
        <f t="shared" si="4"/>
        <v/>
      </c>
    </row>
    <row r="280" spans="1:1" x14ac:dyDescent="0.2">
      <c r="A280" s="24" t="str">
        <f t="shared" si="4"/>
        <v/>
      </c>
    </row>
    <row r="281" spans="1:1" x14ac:dyDescent="0.2">
      <c r="A281" s="24" t="str">
        <f t="shared" si="4"/>
        <v/>
      </c>
    </row>
    <row r="282" spans="1:1" x14ac:dyDescent="0.2">
      <c r="A282" s="24" t="str">
        <f t="shared" si="4"/>
        <v/>
      </c>
    </row>
    <row r="283" spans="1:1" x14ac:dyDescent="0.2">
      <c r="A283" s="24" t="str">
        <f t="shared" si="4"/>
        <v/>
      </c>
    </row>
    <row r="284" spans="1:1" x14ac:dyDescent="0.2">
      <c r="A284" s="24" t="str">
        <f t="shared" si="4"/>
        <v/>
      </c>
    </row>
    <row r="285" spans="1:1" x14ac:dyDescent="0.2">
      <c r="A285" s="24" t="str">
        <f t="shared" si="4"/>
        <v/>
      </c>
    </row>
    <row r="286" spans="1:1" x14ac:dyDescent="0.2">
      <c r="A286" s="24" t="str">
        <f t="shared" si="4"/>
        <v/>
      </c>
    </row>
    <row r="287" spans="1:1" x14ac:dyDescent="0.2">
      <c r="A287" s="24" t="str">
        <f t="shared" si="4"/>
        <v/>
      </c>
    </row>
    <row r="288" spans="1:1" x14ac:dyDescent="0.2">
      <c r="A288" s="24" t="str">
        <f t="shared" si="4"/>
        <v/>
      </c>
    </row>
    <row r="289" spans="1:1" x14ac:dyDescent="0.2">
      <c r="A289" s="24" t="str">
        <f t="shared" si="4"/>
        <v/>
      </c>
    </row>
    <row r="290" spans="1:1" x14ac:dyDescent="0.2">
      <c r="A290" s="24" t="str">
        <f t="shared" si="4"/>
        <v/>
      </c>
    </row>
    <row r="291" spans="1:1" x14ac:dyDescent="0.2">
      <c r="A291" s="24" t="str">
        <f t="shared" si="4"/>
        <v/>
      </c>
    </row>
    <row r="292" spans="1:1" x14ac:dyDescent="0.2">
      <c r="A292" s="24" t="str">
        <f t="shared" si="4"/>
        <v/>
      </c>
    </row>
    <row r="293" spans="1:1" x14ac:dyDescent="0.2">
      <c r="A293" s="24" t="str">
        <f t="shared" si="4"/>
        <v/>
      </c>
    </row>
    <row r="294" spans="1:1" x14ac:dyDescent="0.2">
      <c r="A294" s="24" t="str">
        <f t="shared" si="4"/>
        <v/>
      </c>
    </row>
    <row r="295" spans="1:1" x14ac:dyDescent="0.2">
      <c r="A295" s="24" t="str">
        <f t="shared" si="4"/>
        <v/>
      </c>
    </row>
    <row r="296" spans="1:1" x14ac:dyDescent="0.2">
      <c r="A296" s="24" t="str">
        <f t="shared" si="4"/>
        <v/>
      </c>
    </row>
    <row r="297" spans="1:1" x14ac:dyDescent="0.2">
      <c r="A297" s="24" t="str">
        <f t="shared" si="4"/>
        <v/>
      </c>
    </row>
    <row r="298" spans="1:1" x14ac:dyDescent="0.2">
      <c r="A298" s="24" t="str">
        <f t="shared" si="4"/>
        <v/>
      </c>
    </row>
    <row r="299" spans="1:1" x14ac:dyDescent="0.2">
      <c r="A299" s="24" t="str">
        <f t="shared" si="4"/>
        <v/>
      </c>
    </row>
    <row r="300" spans="1:1" x14ac:dyDescent="0.2">
      <c r="A300" s="24" t="str">
        <f t="shared" si="4"/>
        <v/>
      </c>
    </row>
    <row r="301" spans="1:1" x14ac:dyDescent="0.2">
      <c r="A301" s="24" t="str">
        <f t="shared" si="4"/>
        <v/>
      </c>
    </row>
    <row r="302" spans="1:1" x14ac:dyDescent="0.2">
      <c r="A302" s="24" t="str">
        <f t="shared" si="4"/>
        <v/>
      </c>
    </row>
    <row r="303" spans="1:1" x14ac:dyDescent="0.2">
      <c r="A303" s="24" t="str">
        <f t="shared" si="4"/>
        <v/>
      </c>
    </row>
    <row r="304" spans="1:1" x14ac:dyDescent="0.2">
      <c r="A304" s="24" t="str">
        <f t="shared" si="4"/>
        <v/>
      </c>
    </row>
    <row r="305" spans="1:1" x14ac:dyDescent="0.2">
      <c r="A305" s="24" t="str">
        <f t="shared" si="4"/>
        <v/>
      </c>
    </row>
    <row r="306" spans="1:1" x14ac:dyDescent="0.2">
      <c r="A306" s="24" t="str">
        <f t="shared" si="4"/>
        <v/>
      </c>
    </row>
    <row r="307" spans="1:1" x14ac:dyDescent="0.2">
      <c r="A307" s="24" t="str">
        <f t="shared" si="4"/>
        <v/>
      </c>
    </row>
    <row r="308" spans="1:1" x14ac:dyDescent="0.2">
      <c r="A308" s="24" t="str">
        <f t="shared" si="4"/>
        <v/>
      </c>
    </row>
    <row r="309" spans="1:1" x14ac:dyDescent="0.2">
      <c r="A309" s="24" t="str">
        <f t="shared" si="4"/>
        <v/>
      </c>
    </row>
    <row r="310" spans="1:1" x14ac:dyDescent="0.2">
      <c r="A310" s="24" t="str">
        <f t="shared" si="4"/>
        <v/>
      </c>
    </row>
    <row r="311" spans="1:1" x14ac:dyDescent="0.2">
      <c r="A311" s="24" t="str">
        <f t="shared" si="4"/>
        <v/>
      </c>
    </row>
    <row r="312" spans="1:1" x14ac:dyDescent="0.2">
      <c r="A312" s="24" t="str">
        <f t="shared" si="4"/>
        <v/>
      </c>
    </row>
    <row r="313" spans="1:1" x14ac:dyDescent="0.2">
      <c r="A313" s="24" t="str">
        <f t="shared" si="4"/>
        <v/>
      </c>
    </row>
    <row r="314" spans="1:1" x14ac:dyDescent="0.2">
      <c r="A314" s="24" t="str">
        <f t="shared" si="4"/>
        <v/>
      </c>
    </row>
    <row r="315" spans="1:1" x14ac:dyDescent="0.2">
      <c r="A315" s="24" t="str">
        <f t="shared" si="4"/>
        <v/>
      </c>
    </row>
    <row r="316" spans="1:1" x14ac:dyDescent="0.2">
      <c r="A316" s="24" t="str">
        <f t="shared" si="4"/>
        <v/>
      </c>
    </row>
    <row r="317" spans="1:1" x14ac:dyDescent="0.2">
      <c r="A317" s="24" t="str">
        <f t="shared" si="4"/>
        <v/>
      </c>
    </row>
    <row r="318" spans="1:1" x14ac:dyDescent="0.2">
      <c r="A318" s="24" t="str">
        <f t="shared" si="4"/>
        <v/>
      </c>
    </row>
    <row r="319" spans="1:1" x14ac:dyDescent="0.2">
      <c r="A319" s="24" t="str">
        <f t="shared" si="4"/>
        <v/>
      </c>
    </row>
    <row r="320" spans="1:1" x14ac:dyDescent="0.2">
      <c r="A320" s="24" t="str">
        <f t="shared" si="4"/>
        <v/>
      </c>
    </row>
    <row r="321" spans="1:1" x14ac:dyDescent="0.2">
      <c r="A321" s="24" t="str">
        <f t="shared" si="4"/>
        <v/>
      </c>
    </row>
    <row r="322" spans="1:1" x14ac:dyDescent="0.2">
      <c r="A322" s="24" t="str">
        <f t="shared" si="4"/>
        <v/>
      </c>
    </row>
    <row r="323" spans="1:1" x14ac:dyDescent="0.2">
      <c r="A323" s="24" t="str">
        <f t="shared" si="4"/>
        <v/>
      </c>
    </row>
    <row r="324" spans="1:1" x14ac:dyDescent="0.2">
      <c r="A324" s="24" t="str">
        <f t="shared" ref="A324:A387" si="5">IF(AND(B323&lt;&gt;"",B324=""),$A$2&amp;"---&gt;","")</f>
        <v/>
      </c>
    </row>
    <row r="325" spans="1:1" x14ac:dyDescent="0.2">
      <c r="A325" s="24" t="str">
        <f t="shared" si="5"/>
        <v/>
      </c>
    </row>
    <row r="326" spans="1:1" x14ac:dyDescent="0.2">
      <c r="A326" s="24" t="str">
        <f t="shared" si="5"/>
        <v/>
      </c>
    </row>
    <row r="327" spans="1:1" x14ac:dyDescent="0.2">
      <c r="A327" s="24" t="str">
        <f t="shared" si="5"/>
        <v/>
      </c>
    </row>
    <row r="328" spans="1:1" x14ac:dyDescent="0.2">
      <c r="A328" s="24" t="str">
        <f t="shared" si="5"/>
        <v/>
      </c>
    </row>
    <row r="329" spans="1:1" x14ac:dyDescent="0.2">
      <c r="A329" s="24" t="str">
        <f t="shared" si="5"/>
        <v/>
      </c>
    </row>
    <row r="330" spans="1:1" x14ac:dyDescent="0.2">
      <c r="A330" s="24" t="str">
        <f t="shared" si="5"/>
        <v/>
      </c>
    </row>
    <row r="331" spans="1:1" x14ac:dyDescent="0.2">
      <c r="A331" s="24" t="str">
        <f t="shared" si="5"/>
        <v/>
      </c>
    </row>
    <row r="332" spans="1:1" x14ac:dyDescent="0.2">
      <c r="A332" s="24" t="str">
        <f t="shared" si="5"/>
        <v/>
      </c>
    </row>
    <row r="333" spans="1:1" x14ac:dyDescent="0.2">
      <c r="A333" s="24" t="str">
        <f t="shared" si="5"/>
        <v/>
      </c>
    </row>
    <row r="334" spans="1:1" x14ac:dyDescent="0.2">
      <c r="A334" s="24" t="str">
        <f t="shared" si="5"/>
        <v/>
      </c>
    </row>
    <row r="335" spans="1:1" x14ac:dyDescent="0.2">
      <c r="A335" s="24" t="str">
        <f t="shared" si="5"/>
        <v/>
      </c>
    </row>
    <row r="336" spans="1:1" x14ac:dyDescent="0.2">
      <c r="A336" s="24" t="str">
        <f t="shared" si="5"/>
        <v/>
      </c>
    </row>
    <row r="337" spans="1:1" x14ac:dyDescent="0.2">
      <c r="A337" s="24" t="str">
        <f t="shared" si="5"/>
        <v/>
      </c>
    </row>
    <row r="338" spans="1:1" x14ac:dyDescent="0.2">
      <c r="A338" s="24" t="str">
        <f t="shared" si="5"/>
        <v/>
      </c>
    </row>
    <row r="339" spans="1:1" x14ac:dyDescent="0.2">
      <c r="A339" s="24" t="str">
        <f t="shared" si="5"/>
        <v/>
      </c>
    </row>
    <row r="340" spans="1:1" x14ac:dyDescent="0.2">
      <c r="A340" s="24" t="str">
        <f t="shared" si="5"/>
        <v/>
      </c>
    </row>
    <row r="341" spans="1:1" x14ac:dyDescent="0.2">
      <c r="A341" s="24" t="str">
        <f t="shared" si="5"/>
        <v/>
      </c>
    </row>
    <row r="342" spans="1:1" x14ac:dyDescent="0.2">
      <c r="A342" s="24" t="str">
        <f t="shared" si="5"/>
        <v/>
      </c>
    </row>
    <row r="343" spans="1:1" x14ac:dyDescent="0.2">
      <c r="A343" s="24" t="str">
        <f t="shared" si="5"/>
        <v/>
      </c>
    </row>
    <row r="344" spans="1:1" x14ac:dyDescent="0.2">
      <c r="A344" s="24" t="str">
        <f t="shared" si="5"/>
        <v/>
      </c>
    </row>
    <row r="345" spans="1:1" x14ac:dyDescent="0.2">
      <c r="A345" s="24" t="str">
        <f t="shared" si="5"/>
        <v/>
      </c>
    </row>
    <row r="346" spans="1:1" x14ac:dyDescent="0.2">
      <c r="A346" s="24" t="str">
        <f t="shared" si="5"/>
        <v/>
      </c>
    </row>
    <row r="347" spans="1:1" x14ac:dyDescent="0.2">
      <c r="A347" s="24" t="str">
        <f t="shared" si="5"/>
        <v/>
      </c>
    </row>
    <row r="348" spans="1:1" x14ac:dyDescent="0.2">
      <c r="A348" s="24" t="str">
        <f t="shared" si="5"/>
        <v/>
      </c>
    </row>
    <row r="349" spans="1:1" x14ac:dyDescent="0.2">
      <c r="A349" s="24" t="str">
        <f t="shared" si="5"/>
        <v/>
      </c>
    </row>
    <row r="350" spans="1:1" x14ac:dyDescent="0.2">
      <c r="A350" s="24" t="str">
        <f t="shared" si="5"/>
        <v/>
      </c>
    </row>
    <row r="351" spans="1:1" x14ac:dyDescent="0.2">
      <c r="A351" s="24" t="str">
        <f t="shared" si="5"/>
        <v/>
      </c>
    </row>
    <row r="352" spans="1:1" x14ac:dyDescent="0.2">
      <c r="A352" s="24" t="str">
        <f t="shared" si="5"/>
        <v/>
      </c>
    </row>
    <row r="353" spans="1:1" x14ac:dyDescent="0.2">
      <c r="A353" s="24" t="str">
        <f t="shared" si="5"/>
        <v/>
      </c>
    </row>
    <row r="354" spans="1:1" x14ac:dyDescent="0.2">
      <c r="A354" s="24" t="str">
        <f t="shared" si="5"/>
        <v/>
      </c>
    </row>
    <row r="355" spans="1:1" x14ac:dyDescent="0.2">
      <c r="A355" s="24" t="str">
        <f t="shared" si="5"/>
        <v/>
      </c>
    </row>
    <row r="356" spans="1:1" x14ac:dyDescent="0.2">
      <c r="A356" s="24" t="str">
        <f t="shared" si="5"/>
        <v/>
      </c>
    </row>
    <row r="357" spans="1:1" x14ac:dyDescent="0.2">
      <c r="A357" s="24" t="str">
        <f t="shared" si="5"/>
        <v/>
      </c>
    </row>
    <row r="358" spans="1:1" x14ac:dyDescent="0.2">
      <c r="A358" s="24" t="str">
        <f t="shared" si="5"/>
        <v/>
      </c>
    </row>
    <row r="359" spans="1:1" x14ac:dyDescent="0.2">
      <c r="A359" s="24" t="str">
        <f t="shared" si="5"/>
        <v/>
      </c>
    </row>
    <row r="360" spans="1:1" x14ac:dyDescent="0.2">
      <c r="A360" s="24" t="str">
        <f t="shared" si="5"/>
        <v/>
      </c>
    </row>
    <row r="361" spans="1:1" x14ac:dyDescent="0.2">
      <c r="A361" s="24" t="str">
        <f t="shared" si="5"/>
        <v/>
      </c>
    </row>
    <row r="362" spans="1:1" x14ac:dyDescent="0.2">
      <c r="A362" s="24" t="str">
        <f t="shared" si="5"/>
        <v/>
      </c>
    </row>
    <row r="363" spans="1:1" x14ac:dyDescent="0.2">
      <c r="A363" s="24" t="str">
        <f t="shared" si="5"/>
        <v/>
      </c>
    </row>
    <row r="364" spans="1:1" x14ac:dyDescent="0.2">
      <c r="A364" s="24" t="str">
        <f t="shared" si="5"/>
        <v/>
      </c>
    </row>
    <row r="365" spans="1:1" x14ac:dyDescent="0.2">
      <c r="A365" s="24" t="str">
        <f t="shared" si="5"/>
        <v/>
      </c>
    </row>
    <row r="366" spans="1:1" x14ac:dyDescent="0.2">
      <c r="A366" s="24" t="str">
        <f t="shared" si="5"/>
        <v/>
      </c>
    </row>
    <row r="367" spans="1:1" x14ac:dyDescent="0.2">
      <c r="A367" s="24" t="str">
        <f t="shared" si="5"/>
        <v/>
      </c>
    </row>
    <row r="368" spans="1:1" x14ac:dyDescent="0.2">
      <c r="A368" s="24" t="str">
        <f t="shared" si="5"/>
        <v/>
      </c>
    </row>
    <row r="369" spans="1:1" x14ac:dyDescent="0.2">
      <c r="A369" s="24" t="str">
        <f t="shared" si="5"/>
        <v/>
      </c>
    </row>
    <row r="370" spans="1:1" x14ac:dyDescent="0.2">
      <c r="A370" s="24" t="str">
        <f t="shared" si="5"/>
        <v/>
      </c>
    </row>
    <row r="371" spans="1:1" x14ac:dyDescent="0.2">
      <c r="A371" s="24" t="str">
        <f t="shared" si="5"/>
        <v/>
      </c>
    </row>
    <row r="372" spans="1:1" x14ac:dyDescent="0.2">
      <c r="A372" s="24" t="str">
        <f t="shared" si="5"/>
        <v/>
      </c>
    </row>
    <row r="373" spans="1:1" x14ac:dyDescent="0.2">
      <c r="A373" s="24" t="str">
        <f t="shared" si="5"/>
        <v/>
      </c>
    </row>
    <row r="374" spans="1:1" x14ac:dyDescent="0.2">
      <c r="A374" s="24" t="str">
        <f t="shared" si="5"/>
        <v/>
      </c>
    </row>
    <row r="375" spans="1:1" x14ac:dyDescent="0.2">
      <c r="A375" s="24" t="str">
        <f t="shared" si="5"/>
        <v/>
      </c>
    </row>
    <row r="376" spans="1:1" x14ac:dyDescent="0.2">
      <c r="A376" s="24" t="str">
        <f t="shared" si="5"/>
        <v/>
      </c>
    </row>
    <row r="377" spans="1:1" x14ac:dyDescent="0.2">
      <c r="A377" s="24" t="str">
        <f t="shared" si="5"/>
        <v/>
      </c>
    </row>
    <row r="378" spans="1:1" x14ac:dyDescent="0.2">
      <c r="A378" s="24" t="str">
        <f t="shared" si="5"/>
        <v/>
      </c>
    </row>
    <row r="379" spans="1:1" x14ac:dyDescent="0.2">
      <c r="A379" s="24" t="str">
        <f t="shared" si="5"/>
        <v/>
      </c>
    </row>
    <row r="380" spans="1:1" x14ac:dyDescent="0.2">
      <c r="A380" s="24" t="str">
        <f t="shared" si="5"/>
        <v/>
      </c>
    </row>
    <row r="381" spans="1:1" x14ac:dyDescent="0.2">
      <c r="A381" s="24" t="str">
        <f t="shared" si="5"/>
        <v/>
      </c>
    </row>
    <row r="382" spans="1:1" x14ac:dyDescent="0.2">
      <c r="A382" s="24" t="str">
        <f t="shared" si="5"/>
        <v/>
      </c>
    </row>
    <row r="383" spans="1:1" x14ac:dyDescent="0.2">
      <c r="A383" s="24" t="str">
        <f t="shared" si="5"/>
        <v/>
      </c>
    </row>
    <row r="384" spans="1:1" x14ac:dyDescent="0.2">
      <c r="A384" s="24" t="str">
        <f t="shared" si="5"/>
        <v/>
      </c>
    </row>
    <row r="385" spans="1:1" x14ac:dyDescent="0.2">
      <c r="A385" s="24" t="str">
        <f t="shared" si="5"/>
        <v/>
      </c>
    </row>
    <row r="386" spans="1:1" x14ac:dyDescent="0.2">
      <c r="A386" s="24" t="str">
        <f t="shared" si="5"/>
        <v/>
      </c>
    </row>
    <row r="387" spans="1:1" x14ac:dyDescent="0.2">
      <c r="A387" s="24" t="str">
        <f t="shared" si="5"/>
        <v/>
      </c>
    </row>
    <row r="388" spans="1:1" x14ac:dyDescent="0.2">
      <c r="A388" s="24" t="str">
        <f t="shared" ref="A388:A451" si="6">IF(AND(B387&lt;&gt;"",B388=""),$A$2&amp;"---&gt;","")</f>
        <v/>
      </c>
    </row>
    <row r="389" spans="1:1" x14ac:dyDescent="0.2">
      <c r="A389" s="24" t="str">
        <f t="shared" si="6"/>
        <v/>
      </c>
    </row>
    <row r="390" spans="1:1" x14ac:dyDescent="0.2">
      <c r="A390" s="24" t="str">
        <f t="shared" si="6"/>
        <v/>
      </c>
    </row>
    <row r="391" spans="1:1" x14ac:dyDescent="0.2">
      <c r="A391" s="24" t="str">
        <f t="shared" si="6"/>
        <v/>
      </c>
    </row>
    <row r="392" spans="1:1" x14ac:dyDescent="0.2">
      <c r="A392" s="24" t="str">
        <f t="shared" si="6"/>
        <v/>
      </c>
    </row>
    <row r="393" spans="1:1" x14ac:dyDescent="0.2">
      <c r="A393" s="24" t="str">
        <f t="shared" si="6"/>
        <v/>
      </c>
    </row>
    <row r="394" spans="1:1" x14ac:dyDescent="0.2">
      <c r="A394" s="24" t="str">
        <f t="shared" si="6"/>
        <v/>
      </c>
    </row>
    <row r="395" spans="1:1" x14ac:dyDescent="0.2">
      <c r="A395" s="24" t="str">
        <f t="shared" si="6"/>
        <v/>
      </c>
    </row>
    <row r="396" spans="1:1" x14ac:dyDescent="0.2">
      <c r="A396" s="24" t="str">
        <f t="shared" si="6"/>
        <v/>
      </c>
    </row>
    <row r="397" spans="1:1" x14ac:dyDescent="0.2">
      <c r="A397" s="24" t="str">
        <f t="shared" si="6"/>
        <v/>
      </c>
    </row>
    <row r="398" spans="1:1" x14ac:dyDescent="0.2">
      <c r="A398" s="24" t="str">
        <f t="shared" si="6"/>
        <v/>
      </c>
    </row>
    <row r="399" spans="1:1" x14ac:dyDescent="0.2">
      <c r="A399" s="24" t="str">
        <f t="shared" si="6"/>
        <v/>
      </c>
    </row>
    <row r="400" spans="1:1" x14ac:dyDescent="0.2">
      <c r="A400" s="24" t="str">
        <f t="shared" si="6"/>
        <v/>
      </c>
    </row>
    <row r="401" spans="1:1" x14ac:dyDescent="0.2">
      <c r="A401" s="24" t="str">
        <f t="shared" si="6"/>
        <v/>
      </c>
    </row>
    <row r="402" spans="1:1" x14ac:dyDescent="0.2">
      <c r="A402" s="24" t="str">
        <f t="shared" si="6"/>
        <v/>
      </c>
    </row>
    <row r="403" spans="1:1" x14ac:dyDescent="0.2">
      <c r="A403" s="24" t="str">
        <f t="shared" si="6"/>
        <v/>
      </c>
    </row>
    <row r="404" spans="1:1" x14ac:dyDescent="0.2">
      <c r="A404" s="24" t="str">
        <f t="shared" si="6"/>
        <v/>
      </c>
    </row>
    <row r="405" spans="1:1" x14ac:dyDescent="0.2">
      <c r="A405" s="24" t="str">
        <f t="shared" si="6"/>
        <v/>
      </c>
    </row>
    <row r="406" spans="1:1" x14ac:dyDescent="0.2">
      <c r="A406" s="24" t="str">
        <f t="shared" si="6"/>
        <v/>
      </c>
    </row>
    <row r="407" spans="1:1" x14ac:dyDescent="0.2">
      <c r="A407" s="24" t="str">
        <f t="shared" si="6"/>
        <v/>
      </c>
    </row>
    <row r="408" spans="1:1" x14ac:dyDescent="0.2">
      <c r="A408" s="24" t="str">
        <f t="shared" si="6"/>
        <v/>
      </c>
    </row>
    <row r="409" spans="1:1" x14ac:dyDescent="0.2">
      <c r="A409" s="24" t="str">
        <f t="shared" si="6"/>
        <v/>
      </c>
    </row>
    <row r="410" spans="1:1" x14ac:dyDescent="0.2">
      <c r="A410" s="24" t="str">
        <f t="shared" si="6"/>
        <v/>
      </c>
    </row>
    <row r="411" spans="1:1" x14ac:dyDescent="0.2">
      <c r="A411" s="24" t="str">
        <f t="shared" si="6"/>
        <v/>
      </c>
    </row>
    <row r="412" spans="1:1" x14ac:dyDescent="0.2">
      <c r="A412" s="24" t="str">
        <f t="shared" si="6"/>
        <v/>
      </c>
    </row>
    <row r="413" spans="1:1" x14ac:dyDescent="0.2">
      <c r="A413" s="24" t="str">
        <f t="shared" si="6"/>
        <v/>
      </c>
    </row>
    <row r="414" spans="1:1" x14ac:dyDescent="0.2">
      <c r="A414" s="24" t="str">
        <f t="shared" si="6"/>
        <v/>
      </c>
    </row>
    <row r="415" spans="1:1" x14ac:dyDescent="0.2">
      <c r="A415" s="24" t="str">
        <f t="shared" si="6"/>
        <v/>
      </c>
    </row>
    <row r="416" spans="1:1" x14ac:dyDescent="0.2">
      <c r="A416" s="24" t="str">
        <f t="shared" si="6"/>
        <v/>
      </c>
    </row>
    <row r="417" spans="1:1" x14ac:dyDescent="0.2">
      <c r="A417" s="24" t="str">
        <f t="shared" si="6"/>
        <v/>
      </c>
    </row>
    <row r="418" spans="1:1" x14ac:dyDescent="0.2">
      <c r="A418" s="24" t="str">
        <f t="shared" si="6"/>
        <v/>
      </c>
    </row>
    <row r="419" spans="1:1" x14ac:dyDescent="0.2">
      <c r="A419" s="24" t="str">
        <f t="shared" si="6"/>
        <v/>
      </c>
    </row>
    <row r="420" spans="1:1" x14ac:dyDescent="0.2">
      <c r="A420" s="24" t="str">
        <f t="shared" si="6"/>
        <v/>
      </c>
    </row>
    <row r="421" spans="1:1" x14ac:dyDescent="0.2">
      <c r="A421" s="24" t="str">
        <f t="shared" si="6"/>
        <v/>
      </c>
    </row>
    <row r="422" spans="1:1" x14ac:dyDescent="0.2">
      <c r="A422" s="24" t="str">
        <f t="shared" si="6"/>
        <v/>
      </c>
    </row>
    <row r="423" spans="1:1" x14ac:dyDescent="0.2">
      <c r="A423" s="24" t="str">
        <f t="shared" si="6"/>
        <v/>
      </c>
    </row>
    <row r="424" spans="1:1" x14ac:dyDescent="0.2">
      <c r="A424" s="24" t="str">
        <f t="shared" si="6"/>
        <v/>
      </c>
    </row>
    <row r="425" spans="1:1" x14ac:dyDescent="0.2">
      <c r="A425" s="24" t="str">
        <f t="shared" si="6"/>
        <v/>
      </c>
    </row>
    <row r="426" spans="1:1" x14ac:dyDescent="0.2">
      <c r="A426" s="24" t="str">
        <f t="shared" si="6"/>
        <v/>
      </c>
    </row>
    <row r="427" spans="1:1" x14ac:dyDescent="0.2">
      <c r="A427" s="24" t="str">
        <f t="shared" si="6"/>
        <v/>
      </c>
    </row>
    <row r="428" spans="1:1" x14ac:dyDescent="0.2">
      <c r="A428" s="24" t="str">
        <f t="shared" si="6"/>
        <v/>
      </c>
    </row>
    <row r="429" spans="1:1" x14ac:dyDescent="0.2">
      <c r="A429" s="24" t="str">
        <f t="shared" si="6"/>
        <v/>
      </c>
    </row>
    <row r="430" spans="1:1" x14ac:dyDescent="0.2">
      <c r="A430" s="24" t="str">
        <f t="shared" si="6"/>
        <v/>
      </c>
    </row>
    <row r="431" spans="1:1" x14ac:dyDescent="0.2">
      <c r="A431" s="24" t="str">
        <f t="shared" si="6"/>
        <v/>
      </c>
    </row>
    <row r="432" spans="1:1" x14ac:dyDescent="0.2">
      <c r="A432" s="24" t="str">
        <f t="shared" si="6"/>
        <v/>
      </c>
    </row>
    <row r="433" spans="1:1" x14ac:dyDescent="0.2">
      <c r="A433" s="24" t="str">
        <f t="shared" si="6"/>
        <v/>
      </c>
    </row>
    <row r="434" spans="1:1" x14ac:dyDescent="0.2">
      <c r="A434" s="24" t="str">
        <f t="shared" si="6"/>
        <v/>
      </c>
    </row>
    <row r="435" spans="1:1" x14ac:dyDescent="0.2">
      <c r="A435" s="24" t="str">
        <f t="shared" si="6"/>
        <v/>
      </c>
    </row>
    <row r="436" spans="1:1" x14ac:dyDescent="0.2">
      <c r="A436" s="24" t="str">
        <f t="shared" si="6"/>
        <v/>
      </c>
    </row>
    <row r="437" spans="1:1" x14ac:dyDescent="0.2">
      <c r="A437" s="24" t="str">
        <f t="shared" si="6"/>
        <v/>
      </c>
    </row>
    <row r="438" spans="1:1" x14ac:dyDescent="0.2">
      <c r="A438" s="24" t="str">
        <f t="shared" si="6"/>
        <v/>
      </c>
    </row>
    <row r="439" spans="1:1" x14ac:dyDescent="0.2">
      <c r="A439" s="24" t="str">
        <f t="shared" si="6"/>
        <v/>
      </c>
    </row>
    <row r="440" spans="1:1" x14ac:dyDescent="0.2">
      <c r="A440" s="24" t="str">
        <f t="shared" si="6"/>
        <v/>
      </c>
    </row>
    <row r="441" spans="1:1" x14ac:dyDescent="0.2">
      <c r="A441" s="24" t="str">
        <f t="shared" si="6"/>
        <v/>
      </c>
    </row>
    <row r="442" spans="1:1" x14ac:dyDescent="0.2">
      <c r="A442" s="24" t="str">
        <f t="shared" si="6"/>
        <v/>
      </c>
    </row>
    <row r="443" spans="1:1" x14ac:dyDescent="0.2">
      <c r="A443" s="24" t="str">
        <f t="shared" si="6"/>
        <v/>
      </c>
    </row>
    <row r="444" spans="1:1" x14ac:dyDescent="0.2">
      <c r="A444" s="24" t="str">
        <f t="shared" si="6"/>
        <v/>
      </c>
    </row>
    <row r="445" spans="1:1" x14ac:dyDescent="0.2">
      <c r="A445" s="24" t="str">
        <f t="shared" si="6"/>
        <v/>
      </c>
    </row>
    <row r="446" spans="1:1" x14ac:dyDescent="0.2">
      <c r="A446" s="24" t="str">
        <f t="shared" si="6"/>
        <v/>
      </c>
    </row>
    <row r="447" spans="1:1" x14ac:dyDescent="0.2">
      <c r="A447" s="24" t="str">
        <f t="shared" si="6"/>
        <v/>
      </c>
    </row>
    <row r="448" spans="1:1" x14ac:dyDescent="0.2">
      <c r="A448" s="24" t="str">
        <f t="shared" si="6"/>
        <v/>
      </c>
    </row>
    <row r="449" spans="1:1" x14ac:dyDescent="0.2">
      <c r="A449" s="24" t="str">
        <f t="shared" si="6"/>
        <v/>
      </c>
    </row>
    <row r="450" spans="1:1" x14ac:dyDescent="0.2">
      <c r="A450" s="24" t="str">
        <f t="shared" si="6"/>
        <v/>
      </c>
    </row>
    <row r="451" spans="1:1" x14ac:dyDescent="0.2">
      <c r="A451" s="24" t="str">
        <f t="shared" si="6"/>
        <v/>
      </c>
    </row>
    <row r="452" spans="1:1" x14ac:dyDescent="0.2">
      <c r="A452" s="24" t="str">
        <f t="shared" ref="A452:A515" si="7">IF(AND(B451&lt;&gt;"",B452=""),$A$2&amp;"---&gt;","")</f>
        <v/>
      </c>
    </row>
    <row r="453" spans="1:1" x14ac:dyDescent="0.2">
      <c r="A453" s="24" t="str">
        <f t="shared" si="7"/>
        <v/>
      </c>
    </row>
    <row r="454" spans="1:1" x14ac:dyDescent="0.2">
      <c r="A454" s="24" t="str">
        <f t="shared" si="7"/>
        <v/>
      </c>
    </row>
    <row r="455" spans="1:1" x14ac:dyDescent="0.2">
      <c r="A455" s="24" t="str">
        <f t="shared" si="7"/>
        <v/>
      </c>
    </row>
    <row r="456" spans="1:1" x14ac:dyDescent="0.2">
      <c r="A456" s="24" t="str">
        <f t="shared" si="7"/>
        <v/>
      </c>
    </row>
    <row r="457" spans="1:1" x14ac:dyDescent="0.2">
      <c r="A457" s="24" t="str">
        <f t="shared" si="7"/>
        <v/>
      </c>
    </row>
    <row r="458" spans="1:1" x14ac:dyDescent="0.2">
      <c r="A458" s="24" t="str">
        <f t="shared" si="7"/>
        <v/>
      </c>
    </row>
    <row r="459" spans="1:1" x14ac:dyDescent="0.2">
      <c r="A459" s="24" t="str">
        <f t="shared" si="7"/>
        <v/>
      </c>
    </row>
    <row r="460" spans="1:1" x14ac:dyDescent="0.2">
      <c r="A460" s="24" t="str">
        <f t="shared" si="7"/>
        <v/>
      </c>
    </row>
    <row r="461" spans="1:1" x14ac:dyDescent="0.2">
      <c r="A461" s="24" t="str">
        <f t="shared" si="7"/>
        <v/>
      </c>
    </row>
    <row r="462" spans="1:1" x14ac:dyDescent="0.2">
      <c r="A462" s="24" t="str">
        <f t="shared" si="7"/>
        <v/>
      </c>
    </row>
    <row r="463" spans="1:1" x14ac:dyDescent="0.2">
      <c r="A463" s="24" t="str">
        <f t="shared" si="7"/>
        <v/>
      </c>
    </row>
    <row r="464" spans="1:1" x14ac:dyDescent="0.2">
      <c r="A464" s="24" t="str">
        <f t="shared" si="7"/>
        <v/>
      </c>
    </row>
    <row r="465" spans="1:1" x14ac:dyDescent="0.2">
      <c r="A465" s="24" t="str">
        <f t="shared" si="7"/>
        <v/>
      </c>
    </row>
    <row r="466" spans="1:1" x14ac:dyDescent="0.2">
      <c r="A466" s="24" t="str">
        <f t="shared" si="7"/>
        <v/>
      </c>
    </row>
    <row r="467" spans="1:1" x14ac:dyDescent="0.2">
      <c r="A467" s="24" t="str">
        <f t="shared" si="7"/>
        <v/>
      </c>
    </row>
    <row r="468" spans="1:1" x14ac:dyDescent="0.2">
      <c r="A468" s="24" t="str">
        <f t="shared" si="7"/>
        <v/>
      </c>
    </row>
    <row r="469" spans="1:1" x14ac:dyDescent="0.2">
      <c r="A469" s="24" t="str">
        <f t="shared" si="7"/>
        <v/>
      </c>
    </row>
    <row r="470" spans="1:1" x14ac:dyDescent="0.2">
      <c r="A470" s="24" t="str">
        <f t="shared" si="7"/>
        <v/>
      </c>
    </row>
    <row r="471" spans="1:1" x14ac:dyDescent="0.2">
      <c r="A471" s="24" t="str">
        <f t="shared" si="7"/>
        <v/>
      </c>
    </row>
    <row r="472" spans="1:1" x14ac:dyDescent="0.2">
      <c r="A472" s="24" t="str">
        <f t="shared" si="7"/>
        <v/>
      </c>
    </row>
    <row r="473" spans="1:1" x14ac:dyDescent="0.2">
      <c r="A473" s="24" t="str">
        <f t="shared" si="7"/>
        <v/>
      </c>
    </row>
    <row r="474" spans="1:1" x14ac:dyDescent="0.2">
      <c r="A474" s="24" t="str">
        <f t="shared" si="7"/>
        <v/>
      </c>
    </row>
    <row r="475" spans="1:1" x14ac:dyDescent="0.2">
      <c r="A475" s="24" t="str">
        <f t="shared" si="7"/>
        <v/>
      </c>
    </row>
    <row r="476" spans="1:1" x14ac:dyDescent="0.2">
      <c r="A476" s="24" t="str">
        <f t="shared" si="7"/>
        <v/>
      </c>
    </row>
    <row r="477" spans="1:1" x14ac:dyDescent="0.2">
      <c r="A477" s="24" t="str">
        <f t="shared" si="7"/>
        <v/>
      </c>
    </row>
    <row r="478" spans="1:1" x14ac:dyDescent="0.2">
      <c r="A478" s="24" t="str">
        <f t="shared" si="7"/>
        <v/>
      </c>
    </row>
    <row r="479" spans="1:1" x14ac:dyDescent="0.2">
      <c r="A479" s="24" t="str">
        <f t="shared" si="7"/>
        <v/>
      </c>
    </row>
    <row r="480" spans="1:1" x14ac:dyDescent="0.2">
      <c r="A480" s="24" t="str">
        <f t="shared" si="7"/>
        <v/>
      </c>
    </row>
    <row r="481" spans="1:1" x14ac:dyDescent="0.2">
      <c r="A481" s="24" t="str">
        <f t="shared" si="7"/>
        <v/>
      </c>
    </row>
    <row r="482" spans="1:1" x14ac:dyDescent="0.2">
      <c r="A482" s="24" t="str">
        <f t="shared" si="7"/>
        <v/>
      </c>
    </row>
    <row r="483" spans="1:1" x14ac:dyDescent="0.2">
      <c r="A483" s="24" t="str">
        <f t="shared" si="7"/>
        <v/>
      </c>
    </row>
    <row r="484" spans="1:1" x14ac:dyDescent="0.2">
      <c r="A484" s="24" t="str">
        <f t="shared" si="7"/>
        <v/>
      </c>
    </row>
    <row r="485" spans="1:1" x14ac:dyDescent="0.2">
      <c r="A485" s="24" t="str">
        <f t="shared" si="7"/>
        <v/>
      </c>
    </row>
    <row r="486" spans="1:1" x14ac:dyDescent="0.2">
      <c r="A486" s="24" t="str">
        <f t="shared" si="7"/>
        <v/>
      </c>
    </row>
    <row r="487" spans="1:1" x14ac:dyDescent="0.2">
      <c r="A487" s="24" t="str">
        <f t="shared" si="7"/>
        <v/>
      </c>
    </row>
    <row r="488" spans="1:1" x14ac:dyDescent="0.2">
      <c r="A488" s="24" t="str">
        <f t="shared" si="7"/>
        <v/>
      </c>
    </row>
    <row r="489" spans="1:1" x14ac:dyDescent="0.2">
      <c r="A489" s="24" t="str">
        <f t="shared" si="7"/>
        <v/>
      </c>
    </row>
    <row r="490" spans="1:1" x14ac:dyDescent="0.2">
      <c r="A490" s="24" t="str">
        <f t="shared" si="7"/>
        <v/>
      </c>
    </row>
    <row r="491" spans="1:1" x14ac:dyDescent="0.2">
      <c r="A491" s="24" t="str">
        <f t="shared" si="7"/>
        <v/>
      </c>
    </row>
    <row r="492" spans="1:1" x14ac:dyDescent="0.2">
      <c r="A492" s="24" t="str">
        <f t="shared" si="7"/>
        <v/>
      </c>
    </row>
    <row r="493" spans="1:1" x14ac:dyDescent="0.2">
      <c r="A493" s="24" t="str">
        <f t="shared" si="7"/>
        <v/>
      </c>
    </row>
    <row r="494" spans="1:1" x14ac:dyDescent="0.2">
      <c r="A494" s="24" t="str">
        <f t="shared" si="7"/>
        <v/>
      </c>
    </row>
    <row r="495" spans="1:1" x14ac:dyDescent="0.2">
      <c r="A495" s="24" t="str">
        <f t="shared" si="7"/>
        <v/>
      </c>
    </row>
    <row r="496" spans="1:1" x14ac:dyDescent="0.2">
      <c r="A496" s="24" t="str">
        <f t="shared" si="7"/>
        <v/>
      </c>
    </row>
    <row r="497" spans="1:1" x14ac:dyDescent="0.2">
      <c r="A497" s="24" t="str">
        <f t="shared" si="7"/>
        <v/>
      </c>
    </row>
    <row r="498" spans="1:1" x14ac:dyDescent="0.2">
      <c r="A498" s="24" t="str">
        <f t="shared" si="7"/>
        <v/>
      </c>
    </row>
    <row r="499" spans="1:1" x14ac:dyDescent="0.2">
      <c r="A499" s="24" t="str">
        <f t="shared" si="7"/>
        <v/>
      </c>
    </row>
    <row r="500" spans="1:1" x14ac:dyDescent="0.2">
      <c r="A500" s="24" t="str">
        <f t="shared" si="7"/>
        <v/>
      </c>
    </row>
    <row r="501" spans="1:1" x14ac:dyDescent="0.2">
      <c r="A501" s="24" t="str">
        <f t="shared" si="7"/>
        <v/>
      </c>
    </row>
    <row r="502" spans="1:1" x14ac:dyDescent="0.2">
      <c r="A502" s="24" t="str">
        <f t="shared" si="7"/>
        <v/>
      </c>
    </row>
    <row r="503" spans="1:1" x14ac:dyDescent="0.2">
      <c r="A503" s="24" t="str">
        <f t="shared" si="7"/>
        <v/>
      </c>
    </row>
    <row r="504" spans="1:1" x14ac:dyDescent="0.2">
      <c r="A504" s="24" t="str">
        <f t="shared" si="7"/>
        <v/>
      </c>
    </row>
    <row r="505" spans="1:1" x14ac:dyDescent="0.2">
      <c r="A505" s="24" t="str">
        <f t="shared" si="7"/>
        <v/>
      </c>
    </row>
    <row r="506" spans="1:1" x14ac:dyDescent="0.2">
      <c r="A506" s="24" t="str">
        <f t="shared" si="7"/>
        <v/>
      </c>
    </row>
    <row r="507" spans="1:1" x14ac:dyDescent="0.2">
      <c r="A507" s="24" t="str">
        <f t="shared" si="7"/>
        <v/>
      </c>
    </row>
    <row r="508" spans="1:1" x14ac:dyDescent="0.2">
      <c r="A508" s="24" t="str">
        <f t="shared" si="7"/>
        <v/>
      </c>
    </row>
    <row r="509" spans="1:1" x14ac:dyDescent="0.2">
      <c r="A509" s="24" t="str">
        <f t="shared" si="7"/>
        <v/>
      </c>
    </row>
    <row r="510" spans="1:1" x14ac:dyDescent="0.2">
      <c r="A510" s="24" t="str">
        <f t="shared" si="7"/>
        <v/>
      </c>
    </row>
    <row r="511" spans="1:1" x14ac:dyDescent="0.2">
      <c r="A511" s="24" t="str">
        <f t="shared" si="7"/>
        <v/>
      </c>
    </row>
    <row r="512" spans="1:1" x14ac:dyDescent="0.2">
      <c r="A512" s="24" t="str">
        <f t="shared" si="7"/>
        <v/>
      </c>
    </row>
    <row r="513" spans="1:1" x14ac:dyDescent="0.2">
      <c r="A513" s="24" t="str">
        <f t="shared" si="7"/>
        <v/>
      </c>
    </row>
    <row r="514" spans="1:1" x14ac:dyDescent="0.2">
      <c r="A514" s="24" t="str">
        <f t="shared" si="7"/>
        <v/>
      </c>
    </row>
    <row r="515" spans="1:1" x14ac:dyDescent="0.2">
      <c r="A515" s="24" t="str">
        <f t="shared" si="7"/>
        <v/>
      </c>
    </row>
    <row r="516" spans="1:1" x14ac:dyDescent="0.2">
      <c r="A516" s="24" t="str">
        <f t="shared" ref="A516:A579" si="8">IF(AND(B515&lt;&gt;"",B516=""),$A$2&amp;"---&gt;","")</f>
        <v/>
      </c>
    </row>
    <row r="517" spans="1:1" x14ac:dyDescent="0.2">
      <c r="A517" s="24" t="str">
        <f t="shared" si="8"/>
        <v/>
      </c>
    </row>
    <row r="518" spans="1:1" x14ac:dyDescent="0.2">
      <c r="A518" s="24" t="str">
        <f t="shared" si="8"/>
        <v/>
      </c>
    </row>
    <row r="519" spans="1:1" x14ac:dyDescent="0.2">
      <c r="A519" s="24" t="str">
        <f t="shared" si="8"/>
        <v/>
      </c>
    </row>
    <row r="520" spans="1:1" x14ac:dyDescent="0.2">
      <c r="A520" s="24" t="str">
        <f t="shared" si="8"/>
        <v/>
      </c>
    </row>
    <row r="521" spans="1:1" x14ac:dyDescent="0.2">
      <c r="A521" s="24" t="str">
        <f t="shared" si="8"/>
        <v/>
      </c>
    </row>
    <row r="522" spans="1:1" x14ac:dyDescent="0.2">
      <c r="A522" s="24" t="str">
        <f t="shared" si="8"/>
        <v/>
      </c>
    </row>
    <row r="523" spans="1:1" x14ac:dyDescent="0.2">
      <c r="A523" s="24" t="str">
        <f t="shared" si="8"/>
        <v/>
      </c>
    </row>
    <row r="524" spans="1:1" x14ac:dyDescent="0.2">
      <c r="A524" s="24" t="str">
        <f t="shared" si="8"/>
        <v/>
      </c>
    </row>
    <row r="525" spans="1:1" x14ac:dyDescent="0.2">
      <c r="A525" s="24" t="str">
        <f t="shared" si="8"/>
        <v/>
      </c>
    </row>
    <row r="526" spans="1:1" x14ac:dyDescent="0.2">
      <c r="A526" s="24" t="str">
        <f t="shared" si="8"/>
        <v/>
      </c>
    </row>
    <row r="527" spans="1:1" x14ac:dyDescent="0.2">
      <c r="A527" s="24" t="str">
        <f t="shared" si="8"/>
        <v/>
      </c>
    </row>
    <row r="528" spans="1:1" x14ac:dyDescent="0.2">
      <c r="A528" s="24" t="str">
        <f t="shared" si="8"/>
        <v/>
      </c>
    </row>
    <row r="529" spans="1:1" x14ac:dyDescent="0.2">
      <c r="A529" s="24" t="str">
        <f t="shared" si="8"/>
        <v/>
      </c>
    </row>
    <row r="530" spans="1:1" x14ac:dyDescent="0.2">
      <c r="A530" s="24" t="str">
        <f t="shared" si="8"/>
        <v/>
      </c>
    </row>
    <row r="531" spans="1:1" x14ac:dyDescent="0.2">
      <c r="A531" s="24" t="str">
        <f t="shared" si="8"/>
        <v/>
      </c>
    </row>
    <row r="532" spans="1:1" x14ac:dyDescent="0.2">
      <c r="A532" s="24" t="str">
        <f t="shared" si="8"/>
        <v/>
      </c>
    </row>
    <row r="533" spans="1:1" x14ac:dyDescent="0.2">
      <c r="A533" s="24" t="str">
        <f t="shared" si="8"/>
        <v/>
      </c>
    </row>
    <row r="534" spans="1:1" x14ac:dyDescent="0.2">
      <c r="A534" s="24" t="str">
        <f t="shared" si="8"/>
        <v/>
      </c>
    </row>
    <row r="535" spans="1:1" x14ac:dyDescent="0.2">
      <c r="A535" s="24" t="str">
        <f t="shared" si="8"/>
        <v/>
      </c>
    </row>
    <row r="536" spans="1:1" x14ac:dyDescent="0.2">
      <c r="A536" s="24" t="str">
        <f t="shared" si="8"/>
        <v/>
      </c>
    </row>
    <row r="537" spans="1:1" x14ac:dyDescent="0.2">
      <c r="A537" s="24" t="str">
        <f t="shared" si="8"/>
        <v/>
      </c>
    </row>
    <row r="538" spans="1:1" x14ac:dyDescent="0.2">
      <c r="A538" s="24" t="str">
        <f t="shared" si="8"/>
        <v/>
      </c>
    </row>
    <row r="539" spans="1:1" x14ac:dyDescent="0.2">
      <c r="A539" s="24" t="str">
        <f t="shared" si="8"/>
        <v/>
      </c>
    </row>
    <row r="540" spans="1:1" x14ac:dyDescent="0.2">
      <c r="A540" s="24" t="str">
        <f t="shared" si="8"/>
        <v/>
      </c>
    </row>
    <row r="541" spans="1:1" x14ac:dyDescent="0.2">
      <c r="A541" s="24" t="str">
        <f t="shared" si="8"/>
        <v/>
      </c>
    </row>
    <row r="542" spans="1:1" x14ac:dyDescent="0.2">
      <c r="A542" s="24" t="str">
        <f t="shared" si="8"/>
        <v/>
      </c>
    </row>
    <row r="543" spans="1:1" x14ac:dyDescent="0.2">
      <c r="A543" s="24" t="str">
        <f t="shared" si="8"/>
        <v/>
      </c>
    </row>
    <row r="544" spans="1:1" x14ac:dyDescent="0.2">
      <c r="A544" s="24" t="str">
        <f t="shared" si="8"/>
        <v/>
      </c>
    </row>
    <row r="545" spans="1:1" x14ac:dyDescent="0.2">
      <c r="A545" s="24" t="str">
        <f t="shared" si="8"/>
        <v/>
      </c>
    </row>
    <row r="546" spans="1:1" x14ac:dyDescent="0.2">
      <c r="A546" s="24" t="str">
        <f t="shared" si="8"/>
        <v/>
      </c>
    </row>
    <row r="547" spans="1:1" x14ac:dyDescent="0.2">
      <c r="A547" s="24" t="str">
        <f t="shared" si="8"/>
        <v/>
      </c>
    </row>
    <row r="548" spans="1:1" x14ac:dyDescent="0.2">
      <c r="A548" s="24" t="str">
        <f t="shared" si="8"/>
        <v/>
      </c>
    </row>
    <row r="549" spans="1:1" x14ac:dyDescent="0.2">
      <c r="A549" s="24" t="str">
        <f t="shared" si="8"/>
        <v/>
      </c>
    </row>
    <row r="550" spans="1:1" x14ac:dyDescent="0.2">
      <c r="A550" s="24" t="str">
        <f t="shared" si="8"/>
        <v/>
      </c>
    </row>
    <row r="551" spans="1:1" x14ac:dyDescent="0.2">
      <c r="A551" s="24" t="str">
        <f t="shared" si="8"/>
        <v/>
      </c>
    </row>
    <row r="552" spans="1:1" x14ac:dyDescent="0.2">
      <c r="A552" s="24" t="str">
        <f t="shared" si="8"/>
        <v/>
      </c>
    </row>
    <row r="553" spans="1:1" x14ac:dyDescent="0.2">
      <c r="A553" s="24" t="str">
        <f t="shared" si="8"/>
        <v/>
      </c>
    </row>
    <row r="554" spans="1:1" x14ac:dyDescent="0.2">
      <c r="A554" s="24" t="str">
        <f t="shared" si="8"/>
        <v/>
      </c>
    </row>
    <row r="555" spans="1:1" x14ac:dyDescent="0.2">
      <c r="A555" s="24" t="str">
        <f t="shared" si="8"/>
        <v/>
      </c>
    </row>
    <row r="556" spans="1:1" x14ac:dyDescent="0.2">
      <c r="A556" s="24" t="str">
        <f t="shared" si="8"/>
        <v/>
      </c>
    </row>
    <row r="557" spans="1:1" x14ac:dyDescent="0.2">
      <c r="A557" s="24" t="str">
        <f t="shared" si="8"/>
        <v/>
      </c>
    </row>
    <row r="558" spans="1:1" x14ac:dyDescent="0.2">
      <c r="A558" s="24" t="str">
        <f t="shared" si="8"/>
        <v/>
      </c>
    </row>
    <row r="559" spans="1:1" x14ac:dyDescent="0.2">
      <c r="A559" s="24" t="str">
        <f t="shared" si="8"/>
        <v/>
      </c>
    </row>
    <row r="560" spans="1:1" x14ac:dyDescent="0.2">
      <c r="A560" s="24" t="str">
        <f t="shared" si="8"/>
        <v/>
      </c>
    </row>
    <row r="561" spans="1:1" x14ac:dyDescent="0.2">
      <c r="A561" s="24" t="str">
        <f t="shared" si="8"/>
        <v/>
      </c>
    </row>
    <row r="562" spans="1:1" x14ac:dyDescent="0.2">
      <c r="A562" s="24" t="str">
        <f t="shared" si="8"/>
        <v/>
      </c>
    </row>
    <row r="563" spans="1:1" x14ac:dyDescent="0.2">
      <c r="A563" s="24" t="str">
        <f t="shared" si="8"/>
        <v/>
      </c>
    </row>
    <row r="564" spans="1:1" x14ac:dyDescent="0.2">
      <c r="A564" s="24" t="str">
        <f t="shared" si="8"/>
        <v/>
      </c>
    </row>
    <row r="565" spans="1:1" x14ac:dyDescent="0.2">
      <c r="A565" s="24" t="str">
        <f t="shared" si="8"/>
        <v/>
      </c>
    </row>
    <row r="566" spans="1:1" x14ac:dyDescent="0.2">
      <c r="A566" s="24" t="str">
        <f t="shared" si="8"/>
        <v/>
      </c>
    </row>
    <row r="567" spans="1:1" x14ac:dyDescent="0.2">
      <c r="A567" s="24" t="str">
        <f t="shared" si="8"/>
        <v/>
      </c>
    </row>
    <row r="568" spans="1:1" x14ac:dyDescent="0.2">
      <c r="A568" s="24" t="str">
        <f t="shared" si="8"/>
        <v/>
      </c>
    </row>
    <row r="569" spans="1:1" x14ac:dyDescent="0.2">
      <c r="A569" s="24" t="str">
        <f t="shared" si="8"/>
        <v/>
      </c>
    </row>
    <row r="570" spans="1:1" x14ac:dyDescent="0.2">
      <c r="A570" s="24" t="str">
        <f t="shared" si="8"/>
        <v/>
      </c>
    </row>
    <row r="571" spans="1:1" x14ac:dyDescent="0.2">
      <c r="A571" s="24" t="str">
        <f t="shared" si="8"/>
        <v/>
      </c>
    </row>
    <row r="572" spans="1:1" x14ac:dyDescent="0.2">
      <c r="A572" s="24" t="str">
        <f t="shared" si="8"/>
        <v/>
      </c>
    </row>
    <row r="573" spans="1:1" x14ac:dyDescent="0.2">
      <c r="A573" s="24" t="str">
        <f t="shared" si="8"/>
        <v/>
      </c>
    </row>
    <row r="574" spans="1:1" x14ac:dyDescent="0.2">
      <c r="A574" s="24" t="str">
        <f t="shared" si="8"/>
        <v/>
      </c>
    </row>
    <row r="575" spans="1:1" x14ac:dyDescent="0.2">
      <c r="A575" s="24" t="str">
        <f t="shared" si="8"/>
        <v/>
      </c>
    </row>
    <row r="576" spans="1:1" x14ac:dyDescent="0.2">
      <c r="A576" s="24" t="str">
        <f t="shared" si="8"/>
        <v/>
      </c>
    </row>
    <row r="577" spans="1:1" x14ac:dyDescent="0.2">
      <c r="A577" s="24" t="str">
        <f t="shared" si="8"/>
        <v/>
      </c>
    </row>
    <row r="578" spans="1:1" x14ac:dyDescent="0.2">
      <c r="A578" s="24" t="str">
        <f t="shared" si="8"/>
        <v/>
      </c>
    </row>
    <row r="579" spans="1:1" x14ac:dyDescent="0.2">
      <c r="A579" s="24" t="str">
        <f t="shared" si="8"/>
        <v/>
      </c>
    </row>
    <row r="580" spans="1:1" x14ac:dyDescent="0.2">
      <c r="A580" s="24" t="str">
        <f t="shared" ref="A580:A643" si="9">IF(AND(B579&lt;&gt;"",B580=""),$A$2&amp;"---&gt;","")</f>
        <v/>
      </c>
    </row>
    <row r="581" spans="1:1" x14ac:dyDescent="0.2">
      <c r="A581" s="24" t="str">
        <f t="shared" si="9"/>
        <v/>
      </c>
    </row>
    <row r="582" spans="1:1" x14ac:dyDescent="0.2">
      <c r="A582" s="24" t="str">
        <f t="shared" si="9"/>
        <v/>
      </c>
    </row>
    <row r="583" spans="1:1" x14ac:dyDescent="0.2">
      <c r="A583" s="24" t="str">
        <f t="shared" si="9"/>
        <v/>
      </c>
    </row>
    <row r="584" spans="1:1" x14ac:dyDescent="0.2">
      <c r="A584" s="24" t="str">
        <f t="shared" si="9"/>
        <v/>
      </c>
    </row>
    <row r="585" spans="1:1" x14ac:dyDescent="0.2">
      <c r="A585" s="24" t="str">
        <f t="shared" si="9"/>
        <v/>
      </c>
    </row>
    <row r="586" spans="1:1" x14ac:dyDescent="0.2">
      <c r="A586" s="24" t="str">
        <f t="shared" si="9"/>
        <v/>
      </c>
    </row>
    <row r="587" spans="1:1" x14ac:dyDescent="0.2">
      <c r="A587" s="24" t="str">
        <f t="shared" si="9"/>
        <v/>
      </c>
    </row>
    <row r="588" spans="1:1" x14ac:dyDescent="0.2">
      <c r="A588" s="24" t="str">
        <f t="shared" si="9"/>
        <v/>
      </c>
    </row>
    <row r="589" spans="1:1" x14ac:dyDescent="0.2">
      <c r="A589" s="24" t="str">
        <f t="shared" si="9"/>
        <v/>
      </c>
    </row>
    <row r="590" spans="1:1" x14ac:dyDescent="0.2">
      <c r="A590" s="24" t="str">
        <f t="shared" si="9"/>
        <v/>
      </c>
    </row>
    <row r="591" spans="1:1" x14ac:dyDescent="0.2">
      <c r="A591" s="24" t="str">
        <f t="shared" si="9"/>
        <v/>
      </c>
    </row>
    <row r="592" spans="1:1" x14ac:dyDescent="0.2">
      <c r="A592" s="24" t="str">
        <f t="shared" si="9"/>
        <v/>
      </c>
    </row>
    <row r="593" spans="1:1" x14ac:dyDescent="0.2">
      <c r="A593" s="24" t="str">
        <f t="shared" si="9"/>
        <v/>
      </c>
    </row>
    <row r="594" spans="1:1" x14ac:dyDescent="0.2">
      <c r="A594" s="24" t="str">
        <f t="shared" si="9"/>
        <v/>
      </c>
    </row>
    <row r="595" spans="1:1" x14ac:dyDescent="0.2">
      <c r="A595" s="24" t="str">
        <f t="shared" si="9"/>
        <v/>
      </c>
    </row>
    <row r="596" spans="1:1" x14ac:dyDescent="0.2">
      <c r="A596" s="24" t="str">
        <f t="shared" si="9"/>
        <v/>
      </c>
    </row>
    <row r="597" spans="1:1" x14ac:dyDescent="0.2">
      <c r="A597" s="24" t="str">
        <f t="shared" si="9"/>
        <v/>
      </c>
    </row>
    <row r="598" spans="1:1" x14ac:dyDescent="0.2">
      <c r="A598" s="24" t="str">
        <f t="shared" si="9"/>
        <v/>
      </c>
    </row>
    <row r="599" spans="1:1" x14ac:dyDescent="0.2">
      <c r="A599" s="24" t="str">
        <f t="shared" si="9"/>
        <v/>
      </c>
    </row>
    <row r="600" spans="1:1" x14ac:dyDescent="0.2">
      <c r="A600" s="24" t="str">
        <f t="shared" si="9"/>
        <v/>
      </c>
    </row>
    <row r="601" spans="1:1" x14ac:dyDescent="0.2">
      <c r="A601" s="24" t="str">
        <f t="shared" si="9"/>
        <v/>
      </c>
    </row>
    <row r="602" spans="1:1" x14ac:dyDescent="0.2">
      <c r="A602" s="24" t="str">
        <f t="shared" si="9"/>
        <v/>
      </c>
    </row>
    <row r="603" spans="1:1" x14ac:dyDescent="0.2">
      <c r="A603" s="24" t="str">
        <f t="shared" si="9"/>
        <v/>
      </c>
    </row>
    <row r="604" spans="1:1" x14ac:dyDescent="0.2">
      <c r="A604" s="24" t="str">
        <f t="shared" si="9"/>
        <v/>
      </c>
    </row>
    <row r="605" spans="1:1" x14ac:dyDescent="0.2">
      <c r="A605" s="24" t="str">
        <f t="shared" si="9"/>
        <v/>
      </c>
    </row>
    <row r="606" spans="1:1" x14ac:dyDescent="0.2">
      <c r="A606" s="24" t="str">
        <f t="shared" si="9"/>
        <v/>
      </c>
    </row>
    <row r="607" spans="1:1" x14ac:dyDescent="0.2">
      <c r="A607" s="24" t="str">
        <f t="shared" si="9"/>
        <v/>
      </c>
    </row>
    <row r="608" spans="1:1" x14ac:dyDescent="0.2">
      <c r="A608" s="24" t="str">
        <f t="shared" si="9"/>
        <v/>
      </c>
    </row>
    <row r="609" spans="1:1" x14ac:dyDescent="0.2">
      <c r="A609" s="24" t="str">
        <f t="shared" si="9"/>
        <v/>
      </c>
    </row>
    <row r="610" spans="1:1" x14ac:dyDescent="0.2">
      <c r="A610" s="24" t="str">
        <f t="shared" si="9"/>
        <v/>
      </c>
    </row>
    <row r="611" spans="1:1" x14ac:dyDescent="0.2">
      <c r="A611" s="24" t="str">
        <f t="shared" si="9"/>
        <v/>
      </c>
    </row>
    <row r="612" spans="1:1" x14ac:dyDescent="0.2">
      <c r="A612" s="24" t="str">
        <f t="shared" si="9"/>
        <v/>
      </c>
    </row>
    <row r="613" spans="1:1" x14ac:dyDescent="0.2">
      <c r="A613" s="24" t="str">
        <f t="shared" si="9"/>
        <v/>
      </c>
    </row>
    <row r="614" spans="1:1" x14ac:dyDescent="0.2">
      <c r="A614" s="24" t="str">
        <f t="shared" si="9"/>
        <v/>
      </c>
    </row>
    <row r="615" spans="1:1" x14ac:dyDescent="0.2">
      <c r="A615" s="24" t="str">
        <f t="shared" si="9"/>
        <v/>
      </c>
    </row>
    <row r="616" spans="1:1" x14ac:dyDescent="0.2">
      <c r="A616" s="24" t="str">
        <f t="shared" si="9"/>
        <v/>
      </c>
    </row>
    <row r="617" spans="1:1" x14ac:dyDescent="0.2">
      <c r="A617" s="24" t="str">
        <f t="shared" si="9"/>
        <v/>
      </c>
    </row>
    <row r="618" spans="1:1" x14ac:dyDescent="0.2">
      <c r="A618" s="24" t="str">
        <f t="shared" si="9"/>
        <v/>
      </c>
    </row>
    <row r="619" spans="1:1" x14ac:dyDescent="0.2">
      <c r="A619" s="24" t="str">
        <f t="shared" si="9"/>
        <v/>
      </c>
    </row>
    <row r="620" spans="1:1" x14ac:dyDescent="0.2">
      <c r="A620" s="24" t="str">
        <f t="shared" si="9"/>
        <v/>
      </c>
    </row>
    <row r="621" spans="1:1" x14ac:dyDescent="0.2">
      <c r="A621" s="24" t="str">
        <f t="shared" si="9"/>
        <v/>
      </c>
    </row>
    <row r="622" spans="1:1" x14ac:dyDescent="0.2">
      <c r="A622" s="24" t="str">
        <f t="shared" si="9"/>
        <v/>
      </c>
    </row>
    <row r="623" spans="1:1" x14ac:dyDescent="0.2">
      <c r="A623" s="24" t="str">
        <f t="shared" si="9"/>
        <v/>
      </c>
    </row>
    <row r="624" spans="1:1" x14ac:dyDescent="0.2">
      <c r="A624" s="24" t="str">
        <f t="shared" si="9"/>
        <v/>
      </c>
    </row>
    <row r="625" spans="1:1" x14ac:dyDescent="0.2">
      <c r="A625" s="24" t="str">
        <f t="shared" si="9"/>
        <v/>
      </c>
    </row>
    <row r="626" spans="1:1" x14ac:dyDescent="0.2">
      <c r="A626" s="24" t="str">
        <f t="shared" si="9"/>
        <v/>
      </c>
    </row>
    <row r="627" spans="1:1" x14ac:dyDescent="0.2">
      <c r="A627" s="24" t="str">
        <f t="shared" si="9"/>
        <v/>
      </c>
    </row>
    <row r="628" spans="1:1" x14ac:dyDescent="0.2">
      <c r="A628" s="24" t="str">
        <f t="shared" si="9"/>
        <v/>
      </c>
    </row>
    <row r="629" spans="1:1" x14ac:dyDescent="0.2">
      <c r="A629" s="24" t="str">
        <f t="shared" si="9"/>
        <v/>
      </c>
    </row>
    <row r="630" spans="1:1" x14ac:dyDescent="0.2">
      <c r="A630" s="24" t="str">
        <f t="shared" si="9"/>
        <v/>
      </c>
    </row>
    <row r="631" spans="1:1" x14ac:dyDescent="0.2">
      <c r="A631" s="24" t="str">
        <f t="shared" si="9"/>
        <v/>
      </c>
    </row>
    <row r="632" spans="1:1" x14ac:dyDescent="0.2">
      <c r="A632" s="24" t="str">
        <f t="shared" si="9"/>
        <v/>
      </c>
    </row>
    <row r="633" spans="1:1" x14ac:dyDescent="0.2">
      <c r="A633" s="24" t="str">
        <f t="shared" si="9"/>
        <v/>
      </c>
    </row>
    <row r="634" spans="1:1" x14ac:dyDescent="0.2">
      <c r="A634" s="24" t="str">
        <f t="shared" si="9"/>
        <v/>
      </c>
    </row>
    <row r="635" spans="1:1" x14ac:dyDescent="0.2">
      <c r="A635" s="24" t="str">
        <f t="shared" si="9"/>
        <v/>
      </c>
    </row>
    <row r="636" spans="1:1" x14ac:dyDescent="0.2">
      <c r="A636" s="24" t="str">
        <f t="shared" si="9"/>
        <v/>
      </c>
    </row>
    <row r="637" spans="1:1" x14ac:dyDescent="0.2">
      <c r="A637" s="24" t="str">
        <f t="shared" si="9"/>
        <v/>
      </c>
    </row>
    <row r="638" spans="1:1" x14ac:dyDescent="0.2">
      <c r="A638" s="24" t="str">
        <f t="shared" si="9"/>
        <v/>
      </c>
    </row>
    <row r="639" spans="1:1" x14ac:dyDescent="0.2">
      <c r="A639" s="24" t="str">
        <f t="shared" si="9"/>
        <v/>
      </c>
    </row>
    <row r="640" spans="1:1" x14ac:dyDescent="0.2">
      <c r="A640" s="24" t="str">
        <f t="shared" si="9"/>
        <v/>
      </c>
    </row>
    <row r="641" spans="1:1" x14ac:dyDescent="0.2">
      <c r="A641" s="24" t="str">
        <f t="shared" si="9"/>
        <v/>
      </c>
    </row>
    <row r="642" spans="1:1" x14ac:dyDescent="0.2">
      <c r="A642" s="24" t="str">
        <f t="shared" si="9"/>
        <v/>
      </c>
    </row>
    <row r="643" spans="1:1" x14ac:dyDescent="0.2">
      <c r="A643" s="24" t="str">
        <f t="shared" si="9"/>
        <v/>
      </c>
    </row>
    <row r="644" spans="1:1" x14ac:dyDescent="0.2">
      <c r="A644" s="24" t="str">
        <f t="shared" ref="A644:A707" si="10">IF(AND(B643&lt;&gt;"",B644=""),$A$2&amp;"---&gt;","")</f>
        <v/>
      </c>
    </row>
    <row r="645" spans="1:1" x14ac:dyDescent="0.2">
      <c r="A645" s="24" t="str">
        <f t="shared" si="10"/>
        <v/>
      </c>
    </row>
    <row r="646" spans="1:1" x14ac:dyDescent="0.2">
      <c r="A646" s="24" t="str">
        <f t="shared" si="10"/>
        <v/>
      </c>
    </row>
    <row r="647" spans="1:1" x14ac:dyDescent="0.2">
      <c r="A647" s="24" t="str">
        <f t="shared" si="10"/>
        <v/>
      </c>
    </row>
    <row r="648" spans="1:1" x14ac:dyDescent="0.2">
      <c r="A648" s="24" t="str">
        <f t="shared" si="10"/>
        <v/>
      </c>
    </row>
    <row r="649" spans="1:1" x14ac:dyDescent="0.2">
      <c r="A649" s="24" t="str">
        <f t="shared" si="10"/>
        <v/>
      </c>
    </row>
    <row r="650" spans="1:1" x14ac:dyDescent="0.2">
      <c r="A650" s="24" t="str">
        <f t="shared" si="10"/>
        <v/>
      </c>
    </row>
    <row r="651" spans="1:1" x14ac:dyDescent="0.2">
      <c r="A651" s="24" t="str">
        <f t="shared" si="10"/>
        <v/>
      </c>
    </row>
    <row r="652" spans="1:1" x14ac:dyDescent="0.2">
      <c r="A652" s="24" t="str">
        <f t="shared" si="10"/>
        <v/>
      </c>
    </row>
    <row r="653" spans="1:1" x14ac:dyDescent="0.2">
      <c r="A653" s="24" t="str">
        <f t="shared" si="10"/>
        <v/>
      </c>
    </row>
    <row r="654" spans="1:1" x14ac:dyDescent="0.2">
      <c r="A654" s="24" t="str">
        <f t="shared" si="10"/>
        <v/>
      </c>
    </row>
    <row r="655" spans="1:1" x14ac:dyDescent="0.2">
      <c r="A655" s="24" t="str">
        <f t="shared" si="10"/>
        <v/>
      </c>
    </row>
    <row r="656" spans="1:1" x14ac:dyDescent="0.2">
      <c r="A656" s="24" t="str">
        <f t="shared" si="10"/>
        <v/>
      </c>
    </row>
    <row r="657" spans="1:1" x14ac:dyDescent="0.2">
      <c r="A657" s="24" t="str">
        <f t="shared" si="10"/>
        <v/>
      </c>
    </row>
    <row r="658" spans="1:1" x14ac:dyDescent="0.2">
      <c r="A658" s="24" t="str">
        <f t="shared" si="10"/>
        <v/>
      </c>
    </row>
    <row r="659" spans="1:1" x14ac:dyDescent="0.2">
      <c r="A659" s="24" t="str">
        <f t="shared" si="10"/>
        <v/>
      </c>
    </row>
    <row r="660" spans="1:1" x14ac:dyDescent="0.2">
      <c r="A660" s="24" t="str">
        <f t="shared" si="10"/>
        <v/>
      </c>
    </row>
    <row r="661" spans="1:1" x14ac:dyDescent="0.2">
      <c r="A661" s="24" t="str">
        <f t="shared" si="10"/>
        <v/>
      </c>
    </row>
    <row r="662" spans="1:1" x14ac:dyDescent="0.2">
      <c r="A662" s="24" t="str">
        <f t="shared" si="10"/>
        <v/>
      </c>
    </row>
    <row r="663" spans="1:1" x14ac:dyDescent="0.2">
      <c r="A663" s="24" t="str">
        <f t="shared" si="10"/>
        <v/>
      </c>
    </row>
    <row r="664" spans="1:1" x14ac:dyDescent="0.2">
      <c r="A664" s="24" t="str">
        <f t="shared" si="10"/>
        <v/>
      </c>
    </row>
    <row r="665" spans="1:1" x14ac:dyDescent="0.2">
      <c r="A665" s="24" t="str">
        <f t="shared" si="10"/>
        <v/>
      </c>
    </row>
    <row r="666" spans="1:1" x14ac:dyDescent="0.2">
      <c r="A666" s="24" t="str">
        <f t="shared" si="10"/>
        <v/>
      </c>
    </row>
    <row r="667" spans="1:1" x14ac:dyDescent="0.2">
      <c r="A667" s="24" t="str">
        <f t="shared" si="10"/>
        <v/>
      </c>
    </row>
    <row r="668" spans="1:1" x14ac:dyDescent="0.2">
      <c r="A668" s="24" t="str">
        <f t="shared" si="10"/>
        <v/>
      </c>
    </row>
    <row r="669" spans="1:1" x14ac:dyDescent="0.2">
      <c r="A669" s="24" t="str">
        <f t="shared" si="10"/>
        <v/>
      </c>
    </row>
    <row r="670" spans="1:1" x14ac:dyDescent="0.2">
      <c r="A670" s="24" t="str">
        <f t="shared" si="10"/>
        <v/>
      </c>
    </row>
    <row r="671" spans="1:1" x14ac:dyDescent="0.2">
      <c r="A671" s="24" t="str">
        <f t="shared" si="10"/>
        <v/>
      </c>
    </row>
    <row r="672" spans="1:1" x14ac:dyDescent="0.2">
      <c r="A672" s="24" t="str">
        <f t="shared" si="10"/>
        <v/>
      </c>
    </row>
    <row r="673" spans="1:1" x14ac:dyDescent="0.2">
      <c r="A673" s="24" t="str">
        <f t="shared" si="10"/>
        <v/>
      </c>
    </row>
    <row r="674" spans="1:1" x14ac:dyDescent="0.2">
      <c r="A674" s="24" t="str">
        <f t="shared" si="10"/>
        <v/>
      </c>
    </row>
    <row r="675" spans="1:1" x14ac:dyDescent="0.2">
      <c r="A675" s="24" t="str">
        <f t="shared" si="10"/>
        <v/>
      </c>
    </row>
    <row r="676" spans="1:1" x14ac:dyDescent="0.2">
      <c r="A676" s="24" t="str">
        <f t="shared" si="10"/>
        <v/>
      </c>
    </row>
    <row r="677" spans="1:1" x14ac:dyDescent="0.2">
      <c r="A677" s="24" t="str">
        <f t="shared" si="10"/>
        <v/>
      </c>
    </row>
    <row r="678" spans="1:1" x14ac:dyDescent="0.2">
      <c r="A678" s="24" t="str">
        <f t="shared" si="10"/>
        <v/>
      </c>
    </row>
    <row r="679" spans="1:1" x14ac:dyDescent="0.2">
      <c r="A679" s="24" t="str">
        <f t="shared" si="10"/>
        <v/>
      </c>
    </row>
    <row r="680" spans="1:1" x14ac:dyDescent="0.2">
      <c r="A680" s="24" t="str">
        <f t="shared" si="10"/>
        <v/>
      </c>
    </row>
    <row r="681" spans="1:1" x14ac:dyDescent="0.2">
      <c r="A681" s="24" t="str">
        <f t="shared" si="10"/>
        <v/>
      </c>
    </row>
    <row r="682" spans="1:1" x14ac:dyDescent="0.2">
      <c r="A682" s="24" t="str">
        <f t="shared" si="10"/>
        <v/>
      </c>
    </row>
    <row r="683" spans="1:1" x14ac:dyDescent="0.2">
      <c r="A683" s="24" t="str">
        <f t="shared" si="10"/>
        <v/>
      </c>
    </row>
    <row r="684" spans="1:1" x14ac:dyDescent="0.2">
      <c r="A684" s="24" t="str">
        <f t="shared" si="10"/>
        <v/>
      </c>
    </row>
    <row r="685" spans="1:1" x14ac:dyDescent="0.2">
      <c r="A685" s="24" t="str">
        <f t="shared" si="10"/>
        <v/>
      </c>
    </row>
    <row r="686" spans="1:1" x14ac:dyDescent="0.2">
      <c r="A686" s="24" t="str">
        <f t="shared" si="10"/>
        <v/>
      </c>
    </row>
    <row r="687" spans="1:1" x14ac:dyDescent="0.2">
      <c r="A687" s="24" t="str">
        <f t="shared" si="10"/>
        <v/>
      </c>
    </row>
    <row r="688" spans="1:1" x14ac:dyDescent="0.2">
      <c r="A688" s="24" t="str">
        <f t="shared" si="10"/>
        <v/>
      </c>
    </row>
    <row r="689" spans="1:1" x14ac:dyDescent="0.2">
      <c r="A689" s="24" t="str">
        <f t="shared" si="10"/>
        <v/>
      </c>
    </row>
    <row r="690" spans="1:1" x14ac:dyDescent="0.2">
      <c r="A690" s="24" t="str">
        <f t="shared" si="10"/>
        <v/>
      </c>
    </row>
    <row r="691" spans="1:1" x14ac:dyDescent="0.2">
      <c r="A691" s="24" t="str">
        <f t="shared" si="10"/>
        <v/>
      </c>
    </row>
    <row r="692" spans="1:1" x14ac:dyDescent="0.2">
      <c r="A692" s="24" t="str">
        <f t="shared" si="10"/>
        <v/>
      </c>
    </row>
    <row r="693" spans="1:1" x14ac:dyDescent="0.2">
      <c r="A693" s="24" t="str">
        <f t="shared" si="10"/>
        <v/>
      </c>
    </row>
    <row r="694" spans="1:1" x14ac:dyDescent="0.2">
      <c r="A694" s="24" t="str">
        <f t="shared" si="10"/>
        <v/>
      </c>
    </row>
    <row r="695" spans="1:1" x14ac:dyDescent="0.2">
      <c r="A695" s="24" t="str">
        <f t="shared" si="10"/>
        <v/>
      </c>
    </row>
    <row r="696" spans="1:1" x14ac:dyDescent="0.2">
      <c r="A696" s="24" t="str">
        <f t="shared" si="10"/>
        <v/>
      </c>
    </row>
    <row r="697" spans="1:1" x14ac:dyDescent="0.2">
      <c r="A697" s="24" t="str">
        <f t="shared" si="10"/>
        <v/>
      </c>
    </row>
    <row r="698" spans="1:1" x14ac:dyDescent="0.2">
      <c r="A698" s="24" t="str">
        <f t="shared" si="10"/>
        <v/>
      </c>
    </row>
    <row r="699" spans="1:1" x14ac:dyDescent="0.2">
      <c r="A699" s="24" t="str">
        <f t="shared" si="10"/>
        <v/>
      </c>
    </row>
    <row r="700" spans="1:1" x14ac:dyDescent="0.2">
      <c r="A700" s="24" t="str">
        <f t="shared" si="10"/>
        <v/>
      </c>
    </row>
    <row r="701" spans="1:1" x14ac:dyDescent="0.2">
      <c r="A701" s="24" t="str">
        <f t="shared" si="10"/>
        <v/>
      </c>
    </row>
    <row r="702" spans="1:1" x14ac:dyDescent="0.2">
      <c r="A702" s="24" t="str">
        <f t="shared" si="10"/>
        <v/>
      </c>
    </row>
    <row r="703" spans="1:1" x14ac:dyDescent="0.2">
      <c r="A703" s="24" t="str">
        <f t="shared" si="10"/>
        <v/>
      </c>
    </row>
    <row r="704" spans="1:1" x14ac:dyDescent="0.2">
      <c r="A704" s="24" t="str">
        <f t="shared" si="10"/>
        <v/>
      </c>
    </row>
    <row r="705" spans="1:1" x14ac:dyDescent="0.2">
      <c r="A705" s="24" t="str">
        <f t="shared" si="10"/>
        <v/>
      </c>
    </row>
    <row r="706" spans="1:1" x14ac:dyDescent="0.2">
      <c r="A706" s="24" t="str">
        <f t="shared" si="10"/>
        <v/>
      </c>
    </row>
    <row r="707" spans="1:1" x14ac:dyDescent="0.2">
      <c r="A707" s="24" t="str">
        <f t="shared" si="10"/>
        <v/>
      </c>
    </row>
    <row r="708" spans="1:1" x14ac:dyDescent="0.2">
      <c r="A708" s="24" t="str">
        <f t="shared" ref="A708:A771" si="11">IF(AND(B707&lt;&gt;"",B708=""),$A$2&amp;"---&gt;","")</f>
        <v/>
      </c>
    </row>
    <row r="709" spans="1:1" x14ac:dyDescent="0.2">
      <c r="A709" s="24" t="str">
        <f t="shared" si="11"/>
        <v/>
      </c>
    </row>
    <row r="710" spans="1:1" x14ac:dyDescent="0.2">
      <c r="A710" s="24" t="str">
        <f t="shared" si="11"/>
        <v/>
      </c>
    </row>
    <row r="711" spans="1:1" x14ac:dyDescent="0.2">
      <c r="A711" s="24" t="str">
        <f t="shared" si="11"/>
        <v/>
      </c>
    </row>
    <row r="712" spans="1:1" x14ac:dyDescent="0.2">
      <c r="A712" s="24" t="str">
        <f t="shared" si="11"/>
        <v/>
      </c>
    </row>
    <row r="713" spans="1:1" x14ac:dyDescent="0.2">
      <c r="A713" s="24" t="str">
        <f t="shared" si="11"/>
        <v/>
      </c>
    </row>
    <row r="714" spans="1:1" x14ac:dyDescent="0.2">
      <c r="A714" s="24" t="str">
        <f t="shared" si="11"/>
        <v/>
      </c>
    </row>
    <row r="715" spans="1:1" x14ac:dyDescent="0.2">
      <c r="A715" s="24" t="str">
        <f t="shared" si="11"/>
        <v/>
      </c>
    </row>
    <row r="716" spans="1:1" x14ac:dyDescent="0.2">
      <c r="A716" s="24" t="str">
        <f t="shared" si="11"/>
        <v/>
      </c>
    </row>
    <row r="717" spans="1:1" x14ac:dyDescent="0.2">
      <c r="A717" s="24" t="str">
        <f t="shared" si="11"/>
        <v/>
      </c>
    </row>
    <row r="718" spans="1:1" x14ac:dyDescent="0.2">
      <c r="A718" s="24" t="str">
        <f t="shared" si="11"/>
        <v/>
      </c>
    </row>
    <row r="719" spans="1:1" x14ac:dyDescent="0.2">
      <c r="A719" s="24" t="str">
        <f t="shared" si="11"/>
        <v/>
      </c>
    </row>
    <row r="720" spans="1:1" x14ac:dyDescent="0.2">
      <c r="A720" s="24" t="str">
        <f t="shared" si="11"/>
        <v/>
      </c>
    </row>
    <row r="721" spans="1:1" x14ac:dyDescent="0.2">
      <c r="A721" s="24" t="str">
        <f t="shared" si="11"/>
        <v/>
      </c>
    </row>
    <row r="722" spans="1:1" x14ac:dyDescent="0.2">
      <c r="A722" s="24" t="str">
        <f t="shared" si="11"/>
        <v/>
      </c>
    </row>
    <row r="723" spans="1:1" x14ac:dyDescent="0.2">
      <c r="A723" s="24" t="str">
        <f t="shared" si="11"/>
        <v/>
      </c>
    </row>
    <row r="724" spans="1:1" x14ac:dyDescent="0.2">
      <c r="A724" s="24" t="str">
        <f t="shared" si="11"/>
        <v/>
      </c>
    </row>
    <row r="725" spans="1:1" x14ac:dyDescent="0.2">
      <c r="A725" s="24" t="str">
        <f t="shared" si="11"/>
        <v/>
      </c>
    </row>
    <row r="726" spans="1:1" x14ac:dyDescent="0.2">
      <c r="A726" s="24" t="str">
        <f t="shared" si="11"/>
        <v/>
      </c>
    </row>
    <row r="727" spans="1:1" x14ac:dyDescent="0.2">
      <c r="A727" s="24" t="str">
        <f t="shared" si="11"/>
        <v/>
      </c>
    </row>
    <row r="728" spans="1:1" x14ac:dyDescent="0.2">
      <c r="A728" s="24" t="str">
        <f t="shared" si="11"/>
        <v/>
      </c>
    </row>
    <row r="729" spans="1:1" x14ac:dyDescent="0.2">
      <c r="A729" s="24" t="str">
        <f t="shared" si="11"/>
        <v/>
      </c>
    </row>
    <row r="730" spans="1:1" x14ac:dyDescent="0.2">
      <c r="A730" s="24" t="str">
        <f t="shared" si="11"/>
        <v/>
      </c>
    </row>
    <row r="731" spans="1:1" x14ac:dyDescent="0.2">
      <c r="A731" s="24" t="str">
        <f t="shared" si="11"/>
        <v/>
      </c>
    </row>
    <row r="732" spans="1:1" x14ac:dyDescent="0.2">
      <c r="A732" s="24" t="str">
        <f t="shared" si="11"/>
        <v/>
      </c>
    </row>
    <row r="733" spans="1:1" x14ac:dyDescent="0.2">
      <c r="A733" s="24" t="str">
        <f t="shared" si="11"/>
        <v/>
      </c>
    </row>
    <row r="734" spans="1:1" x14ac:dyDescent="0.2">
      <c r="A734" s="24" t="str">
        <f t="shared" si="11"/>
        <v/>
      </c>
    </row>
    <row r="735" spans="1:1" x14ac:dyDescent="0.2">
      <c r="A735" s="24" t="str">
        <f t="shared" si="11"/>
        <v/>
      </c>
    </row>
    <row r="736" spans="1:1" x14ac:dyDescent="0.2">
      <c r="A736" s="24" t="str">
        <f t="shared" si="11"/>
        <v/>
      </c>
    </row>
    <row r="737" spans="1:1" x14ac:dyDescent="0.2">
      <c r="A737" s="24" t="str">
        <f t="shared" si="11"/>
        <v/>
      </c>
    </row>
    <row r="738" spans="1:1" x14ac:dyDescent="0.2">
      <c r="A738" s="24" t="str">
        <f t="shared" si="11"/>
        <v/>
      </c>
    </row>
    <row r="739" spans="1:1" x14ac:dyDescent="0.2">
      <c r="A739" s="24" t="str">
        <f t="shared" si="11"/>
        <v/>
      </c>
    </row>
    <row r="740" spans="1:1" x14ac:dyDescent="0.2">
      <c r="A740" s="24" t="str">
        <f t="shared" si="11"/>
        <v/>
      </c>
    </row>
    <row r="741" spans="1:1" x14ac:dyDescent="0.2">
      <c r="A741" s="24" t="str">
        <f t="shared" si="11"/>
        <v/>
      </c>
    </row>
    <row r="742" spans="1:1" x14ac:dyDescent="0.2">
      <c r="A742" s="24" t="str">
        <f t="shared" si="11"/>
        <v/>
      </c>
    </row>
    <row r="743" spans="1:1" x14ac:dyDescent="0.2">
      <c r="A743" s="24" t="str">
        <f t="shared" si="11"/>
        <v/>
      </c>
    </row>
    <row r="744" spans="1:1" x14ac:dyDescent="0.2">
      <c r="A744" s="24" t="str">
        <f t="shared" si="11"/>
        <v/>
      </c>
    </row>
    <row r="745" spans="1:1" x14ac:dyDescent="0.2">
      <c r="A745" s="24" t="str">
        <f t="shared" si="11"/>
        <v/>
      </c>
    </row>
    <row r="746" spans="1:1" x14ac:dyDescent="0.2">
      <c r="A746" s="24" t="str">
        <f t="shared" si="11"/>
        <v/>
      </c>
    </row>
    <row r="747" spans="1:1" x14ac:dyDescent="0.2">
      <c r="A747" s="24" t="str">
        <f t="shared" si="11"/>
        <v/>
      </c>
    </row>
    <row r="748" spans="1:1" x14ac:dyDescent="0.2">
      <c r="A748" s="24" t="str">
        <f t="shared" si="11"/>
        <v/>
      </c>
    </row>
    <row r="749" spans="1:1" x14ac:dyDescent="0.2">
      <c r="A749" s="24" t="str">
        <f t="shared" si="11"/>
        <v/>
      </c>
    </row>
    <row r="750" spans="1:1" x14ac:dyDescent="0.2">
      <c r="A750" s="24" t="str">
        <f t="shared" si="11"/>
        <v/>
      </c>
    </row>
    <row r="751" spans="1:1" x14ac:dyDescent="0.2">
      <c r="A751" s="24" t="str">
        <f t="shared" si="11"/>
        <v/>
      </c>
    </row>
    <row r="752" spans="1:1" x14ac:dyDescent="0.2">
      <c r="A752" s="24" t="str">
        <f t="shared" si="11"/>
        <v/>
      </c>
    </row>
    <row r="753" spans="1:1" x14ac:dyDescent="0.2">
      <c r="A753" s="24" t="str">
        <f t="shared" si="11"/>
        <v/>
      </c>
    </row>
    <row r="754" spans="1:1" x14ac:dyDescent="0.2">
      <c r="A754" s="24" t="str">
        <f t="shared" si="11"/>
        <v/>
      </c>
    </row>
    <row r="755" spans="1:1" x14ac:dyDescent="0.2">
      <c r="A755" s="24" t="str">
        <f t="shared" si="11"/>
        <v/>
      </c>
    </row>
    <row r="756" spans="1:1" x14ac:dyDescent="0.2">
      <c r="A756" s="24" t="str">
        <f t="shared" si="11"/>
        <v/>
      </c>
    </row>
    <row r="757" spans="1:1" x14ac:dyDescent="0.2">
      <c r="A757" s="24" t="str">
        <f t="shared" si="11"/>
        <v/>
      </c>
    </row>
    <row r="758" spans="1:1" x14ac:dyDescent="0.2">
      <c r="A758" s="24" t="str">
        <f t="shared" si="11"/>
        <v/>
      </c>
    </row>
    <row r="759" spans="1:1" x14ac:dyDescent="0.2">
      <c r="A759" s="24" t="str">
        <f t="shared" si="11"/>
        <v/>
      </c>
    </row>
    <row r="760" spans="1:1" x14ac:dyDescent="0.2">
      <c r="A760" s="24" t="str">
        <f t="shared" si="11"/>
        <v/>
      </c>
    </row>
    <row r="761" spans="1:1" x14ac:dyDescent="0.2">
      <c r="A761" s="24" t="str">
        <f t="shared" si="11"/>
        <v/>
      </c>
    </row>
    <row r="762" spans="1:1" x14ac:dyDescent="0.2">
      <c r="A762" s="24" t="str">
        <f t="shared" si="11"/>
        <v/>
      </c>
    </row>
    <row r="763" spans="1:1" x14ac:dyDescent="0.2">
      <c r="A763" s="24" t="str">
        <f t="shared" si="11"/>
        <v/>
      </c>
    </row>
    <row r="764" spans="1:1" x14ac:dyDescent="0.2">
      <c r="A764" s="24" t="str">
        <f t="shared" si="11"/>
        <v/>
      </c>
    </row>
    <row r="765" spans="1:1" x14ac:dyDescent="0.2">
      <c r="A765" s="24" t="str">
        <f t="shared" si="11"/>
        <v/>
      </c>
    </row>
    <row r="766" spans="1:1" x14ac:dyDescent="0.2">
      <c r="A766" s="24" t="str">
        <f t="shared" si="11"/>
        <v/>
      </c>
    </row>
    <row r="767" spans="1:1" x14ac:dyDescent="0.2">
      <c r="A767" s="24" t="str">
        <f t="shared" si="11"/>
        <v/>
      </c>
    </row>
    <row r="768" spans="1:1" x14ac:dyDescent="0.2">
      <c r="A768" s="24" t="str">
        <f t="shared" si="11"/>
        <v/>
      </c>
    </row>
    <row r="769" spans="1:1" x14ac:dyDescent="0.2">
      <c r="A769" s="24" t="str">
        <f t="shared" si="11"/>
        <v/>
      </c>
    </row>
    <row r="770" spans="1:1" x14ac:dyDescent="0.2">
      <c r="A770" s="24" t="str">
        <f t="shared" si="11"/>
        <v/>
      </c>
    </row>
    <row r="771" spans="1:1" x14ac:dyDescent="0.2">
      <c r="A771" s="24" t="str">
        <f t="shared" si="11"/>
        <v/>
      </c>
    </row>
    <row r="772" spans="1:1" x14ac:dyDescent="0.2">
      <c r="A772" s="24" t="str">
        <f t="shared" ref="A772:A835" si="12">IF(AND(B771&lt;&gt;"",B772=""),$A$2&amp;"---&gt;","")</f>
        <v/>
      </c>
    </row>
    <row r="773" spans="1:1" x14ac:dyDescent="0.2">
      <c r="A773" s="24" t="str">
        <f t="shared" si="12"/>
        <v/>
      </c>
    </row>
    <row r="774" spans="1:1" x14ac:dyDescent="0.2">
      <c r="A774" s="24" t="str">
        <f t="shared" si="12"/>
        <v/>
      </c>
    </row>
    <row r="775" spans="1:1" x14ac:dyDescent="0.2">
      <c r="A775" s="24" t="str">
        <f t="shared" si="12"/>
        <v/>
      </c>
    </row>
    <row r="776" spans="1:1" x14ac:dyDescent="0.2">
      <c r="A776" s="24" t="str">
        <f t="shared" si="12"/>
        <v/>
      </c>
    </row>
    <row r="777" spans="1:1" x14ac:dyDescent="0.2">
      <c r="A777" s="24" t="str">
        <f t="shared" si="12"/>
        <v/>
      </c>
    </row>
    <row r="778" spans="1:1" x14ac:dyDescent="0.2">
      <c r="A778" s="24" t="str">
        <f t="shared" si="12"/>
        <v/>
      </c>
    </row>
    <row r="779" spans="1:1" x14ac:dyDescent="0.2">
      <c r="A779" s="24" t="str">
        <f t="shared" si="12"/>
        <v/>
      </c>
    </row>
    <row r="780" spans="1:1" x14ac:dyDescent="0.2">
      <c r="A780" s="24" t="str">
        <f t="shared" si="12"/>
        <v/>
      </c>
    </row>
    <row r="781" spans="1:1" x14ac:dyDescent="0.2">
      <c r="A781" s="24" t="str">
        <f t="shared" si="12"/>
        <v/>
      </c>
    </row>
    <row r="782" spans="1:1" x14ac:dyDescent="0.2">
      <c r="A782" s="24" t="str">
        <f t="shared" si="12"/>
        <v/>
      </c>
    </row>
    <row r="783" spans="1:1" x14ac:dyDescent="0.2">
      <c r="A783" s="24" t="str">
        <f t="shared" si="12"/>
        <v/>
      </c>
    </row>
    <row r="784" spans="1:1" x14ac:dyDescent="0.2">
      <c r="A784" s="24" t="str">
        <f t="shared" si="12"/>
        <v/>
      </c>
    </row>
    <row r="785" spans="1:1" x14ac:dyDescent="0.2">
      <c r="A785" s="24" t="str">
        <f t="shared" si="12"/>
        <v/>
      </c>
    </row>
    <row r="786" spans="1:1" x14ac:dyDescent="0.2">
      <c r="A786" s="24" t="str">
        <f t="shared" si="12"/>
        <v/>
      </c>
    </row>
    <row r="787" spans="1:1" x14ac:dyDescent="0.2">
      <c r="A787" s="24" t="str">
        <f t="shared" si="12"/>
        <v/>
      </c>
    </row>
    <row r="788" spans="1:1" x14ac:dyDescent="0.2">
      <c r="A788" s="24" t="str">
        <f t="shared" si="12"/>
        <v/>
      </c>
    </row>
    <row r="789" spans="1:1" x14ac:dyDescent="0.2">
      <c r="A789" s="24" t="str">
        <f t="shared" si="12"/>
        <v/>
      </c>
    </row>
    <row r="790" spans="1:1" x14ac:dyDescent="0.2">
      <c r="A790" s="24" t="str">
        <f t="shared" si="12"/>
        <v/>
      </c>
    </row>
    <row r="791" spans="1:1" x14ac:dyDescent="0.2">
      <c r="A791" s="24" t="str">
        <f t="shared" si="12"/>
        <v/>
      </c>
    </row>
    <row r="792" spans="1:1" x14ac:dyDescent="0.2">
      <c r="A792" s="24" t="str">
        <f t="shared" si="12"/>
        <v/>
      </c>
    </row>
    <row r="793" spans="1:1" x14ac:dyDescent="0.2">
      <c r="A793" s="24" t="str">
        <f t="shared" si="12"/>
        <v/>
      </c>
    </row>
    <row r="794" spans="1:1" x14ac:dyDescent="0.2">
      <c r="A794" s="24" t="str">
        <f t="shared" si="12"/>
        <v/>
      </c>
    </row>
    <row r="795" spans="1:1" x14ac:dyDescent="0.2">
      <c r="A795" s="24" t="str">
        <f t="shared" si="12"/>
        <v/>
      </c>
    </row>
    <row r="796" spans="1:1" x14ac:dyDescent="0.2">
      <c r="A796" s="24" t="str">
        <f t="shared" si="12"/>
        <v/>
      </c>
    </row>
    <row r="797" spans="1:1" x14ac:dyDescent="0.2">
      <c r="A797" s="24" t="str">
        <f t="shared" si="12"/>
        <v/>
      </c>
    </row>
    <row r="798" spans="1:1" x14ac:dyDescent="0.2">
      <c r="A798" s="24" t="str">
        <f t="shared" si="12"/>
        <v/>
      </c>
    </row>
    <row r="799" spans="1:1" x14ac:dyDescent="0.2">
      <c r="A799" s="24" t="str">
        <f t="shared" si="12"/>
        <v/>
      </c>
    </row>
    <row r="800" spans="1:1" x14ac:dyDescent="0.2">
      <c r="A800" s="24" t="str">
        <f t="shared" si="12"/>
        <v/>
      </c>
    </row>
    <row r="801" spans="1:1" x14ac:dyDescent="0.2">
      <c r="A801" s="24" t="str">
        <f t="shared" si="12"/>
        <v/>
      </c>
    </row>
    <row r="802" spans="1:1" x14ac:dyDescent="0.2">
      <c r="A802" s="24" t="str">
        <f t="shared" si="12"/>
        <v/>
      </c>
    </row>
    <row r="803" spans="1:1" x14ac:dyDescent="0.2">
      <c r="A803" s="24" t="str">
        <f t="shared" si="12"/>
        <v/>
      </c>
    </row>
    <row r="804" spans="1:1" x14ac:dyDescent="0.2">
      <c r="A804" s="24" t="str">
        <f t="shared" si="12"/>
        <v/>
      </c>
    </row>
    <row r="805" spans="1:1" x14ac:dyDescent="0.2">
      <c r="A805" s="24" t="str">
        <f t="shared" si="12"/>
        <v/>
      </c>
    </row>
    <row r="806" spans="1:1" x14ac:dyDescent="0.2">
      <c r="A806" s="24" t="str">
        <f t="shared" si="12"/>
        <v/>
      </c>
    </row>
    <row r="807" spans="1:1" x14ac:dyDescent="0.2">
      <c r="A807" s="24" t="str">
        <f t="shared" si="12"/>
        <v/>
      </c>
    </row>
    <row r="808" spans="1:1" x14ac:dyDescent="0.2">
      <c r="A808" s="24" t="str">
        <f t="shared" si="12"/>
        <v/>
      </c>
    </row>
    <row r="809" spans="1:1" x14ac:dyDescent="0.2">
      <c r="A809" s="24" t="str">
        <f t="shared" si="12"/>
        <v/>
      </c>
    </row>
    <row r="810" spans="1:1" x14ac:dyDescent="0.2">
      <c r="A810" s="24" t="str">
        <f t="shared" si="12"/>
        <v/>
      </c>
    </row>
    <row r="811" spans="1:1" x14ac:dyDescent="0.2">
      <c r="A811" s="24" t="str">
        <f t="shared" si="12"/>
        <v/>
      </c>
    </row>
    <row r="812" spans="1:1" x14ac:dyDescent="0.2">
      <c r="A812" s="24" t="str">
        <f t="shared" si="12"/>
        <v/>
      </c>
    </row>
    <row r="813" spans="1:1" x14ac:dyDescent="0.2">
      <c r="A813" s="24" t="str">
        <f t="shared" si="12"/>
        <v/>
      </c>
    </row>
    <row r="814" spans="1:1" x14ac:dyDescent="0.2">
      <c r="A814" s="24" t="str">
        <f t="shared" si="12"/>
        <v/>
      </c>
    </row>
    <row r="815" spans="1:1" x14ac:dyDescent="0.2">
      <c r="A815" s="24" t="str">
        <f t="shared" si="12"/>
        <v/>
      </c>
    </row>
    <row r="816" spans="1:1" x14ac:dyDescent="0.2">
      <c r="A816" s="24" t="str">
        <f t="shared" si="12"/>
        <v/>
      </c>
    </row>
    <row r="817" spans="1:1" x14ac:dyDescent="0.2">
      <c r="A817" s="24" t="str">
        <f t="shared" si="12"/>
        <v/>
      </c>
    </row>
    <row r="818" spans="1:1" x14ac:dyDescent="0.2">
      <c r="A818" s="24" t="str">
        <f t="shared" si="12"/>
        <v/>
      </c>
    </row>
    <row r="819" spans="1:1" x14ac:dyDescent="0.2">
      <c r="A819" s="24" t="str">
        <f t="shared" si="12"/>
        <v/>
      </c>
    </row>
    <row r="820" spans="1:1" x14ac:dyDescent="0.2">
      <c r="A820" s="24" t="str">
        <f t="shared" si="12"/>
        <v/>
      </c>
    </row>
    <row r="821" spans="1:1" x14ac:dyDescent="0.2">
      <c r="A821" s="24" t="str">
        <f t="shared" si="12"/>
        <v/>
      </c>
    </row>
    <row r="822" spans="1:1" x14ac:dyDescent="0.2">
      <c r="A822" s="24" t="str">
        <f t="shared" si="12"/>
        <v/>
      </c>
    </row>
    <row r="823" spans="1:1" x14ac:dyDescent="0.2">
      <c r="A823" s="24" t="str">
        <f t="shared" si="12"/>
        <v/>
      </c>
    </row>
    <row r="824" spans="1:1" x14ac:dyDescent="0.2">
      <c r="A824" s="24" t="str">
        <f t="shared" si="12"/>
        <v/>
      </c>
    </row>
    <row r="825" spans="1:1" x14ac:dyDescent="0.2">
      <c r="A825" s="24" t="str">
        <f t="shared" si="12"/>
        <v/>
      </c>
    </row>
    <row r="826" spans="1:1" x14ac:dyDescent="0.2">
      <c r="A826" s="24" t="str">
        <f t="shared" si="12"/>
        <v/>
      </c>
    </row>
    <row r="827" spans="1:1" x14ac:dyDescent="0.2">
      <c r="A827" s="24" t="str">
        <f t="shared" si="12"/>
        <v/>
      </c>
    </row>
    <row r="828" spans="1:1" x14ac:dyDescent="0.2">
      <c r="A828" s="24" t="str">
        <f t="shared" si="12"/>
        <v/>
      </c>
    </row>
    <row r="829" spans="1:1" x14ac:dyDescent="0.2">
      <c r="A829" s="24" t="str">
        <f t="shared" si="12"/>
        <v/>
      </c>
    </row>
    <row r="830" spans="1:1" x14ac:dyDescent="0.2">
      <c r="A830" s="24" t="str">
        <f t="shared" si="12"/>
        <v/>
      </c>
    </row>
    <row r="831" spans="1:1" x14ac:dyDescent="0.2">
      <c r="A831" s="24" t="str">
        <f t="shared" si="12"/>
        <v/>
      </c>
    </row>
    <row r="832" spans="1:1" x14ac:dyDescent="0.2">
      <c r="A832" s="24" t="str">
        <f t="shared" si="12"/>
        <v/>
      </c>
    </row>
    <row r="833" spans="1:1" x14ac:dyDescent="0.2">
      <c r="A833" s="24" t="str">
        <f t="shared" si="12"/>
        <v/>
      </c>
    </row>
    <row r="834" spans="1:1" x14ac:dyDescent="0.2">
      <c r="A834" s="24" t="str">
        <f t="shared" si="12"/>
        <v/>
      </c>
    </row>
    <row r="835" spans="1:1" x14ac:dyDescent="0.2">
      <c r="A835" s="24" t="str">
        <f t="shared" si="12"/>
        <v/>
      </c>
    </row>
    <row r="836" spans="1:1" x14ac:dyDescent="0.2">
      <c r="A836" s="24" t="str">
        <f t="shared" ref="A836:A899" si="13">IF(AND(B835&lt;&gt;"",B836=""),$A$2&amp;"---&gt;","")</f>
        <v/>
      </c>
    </row>
    <row r="837" spans="1:1" x14ac:dyDescent="0.2">
      <c r="A837" s="24" t="str">
        <f t="shared" si="13"/>
        <v/>
      </c>
    </row>
    <row r="838" spans="1:1" x14ac:dyDescent="0.2">
      <c r="A838" s="24" t="str">
        <f t="shared" si="13"/>
        <v/>
      </c>
    </row>
    <row r="839" spans="1:1" x14ac:dyDescent="0.2">
      <c r="A839" s="24" t="str">
        <f t="shared" si="13"/>
        <v/>
      </c>
    </row>
    <row r="840" spans="1:1" x14ac:dyDescent="0.2">
      <c r="A840" s="24" t="str">
        <f t="shared" si="13"/>
        <v/>
      </c>
    </row>
    <row r="841" spans="1:1" x14ac:dyDescent="0.2">
      <c r="A841" s="24" t="str">
        <f t="shared" si="13"/>
        <v/>
      </c>
    </row>
    <row r="842" spans="1:1" x14ac:dyDescent="0.2">
      <c r="A842" s="24" t="str">
        <f t="shared" si="13"/>
        <v/>
      </c>
    </row>
    <row r="843" spans="1:1" x14ac:dyDescent="0.2">
      <c r="A843" s="24" t="str">
        <f t="shared" si="13"/>
        <v/>
      </c>
    </row>
    <row r="844" spans="1:1" x14ac:dyDescent="0.2">
      <c r="A844" s="24" t="str">
        <f t="shared" si="13"/>
        <v/>
      </c>
    </row>
    <row r="845" spans="1:1" x14ac:dyDescent="0.2">
      <c r="A845" s="24" t="str">
        <f t="shared" si="13"/>
        <v/>
      </c>
    </row>
    <row r="846" spans="1:1" x14ac:dyDescent="0.2">
      <c r="A846" s="24" t="str">
        <f t="shared" si="13"/>
        <v/>
      </c>
    </row>
    <row r="847" spans="1:1" x14ac:dyDescent="0.2">
      <c r="A847" s="24" t="str">
        <f t="shared" si="13"/>
        <v/>
      </c>
    </row>
    <row r="848" spans="1:1" x14ac:dyDescent="0.2">
      <c r="A848" s="24" t="str">
        <f t="shared" si="13"/>
        <v/>
      </c>
    </row>
    <row r="849" spans="1:1" x14ac:dyDescent="0.2">
      <c r="A849" s="24" t="str">
        <f t="shared" si="13"/>
        <v/>
      </c>
    </row>
    <row r="850" spans="1:1" x14ac:dyDescent="0.2">
      <c r="A850" s="24" t="str">
        <f t="shared" si="13"/>
        <v/>
      </c>
    </row>
    <row r="851" spans="1:1" x14ac:dyDescent="0.2">
      <c r="A851" s="24" t="str">
        <f t="shared" si="13"/>
        <v/>
      </c>
    </row>
    <row r="852" spans="1:1" x14ac:dyDescent="0.2">
      <c r="A852" s="24" t="str">
        <f t="shared" si="13"/>
        <v/>
      </c>
    </row>
    <row r="853" spans="1:1" x14ac:dyDescent="0.2">
      <c r="A853" s="24" t="str">
        <f t="shared" si="13"/>
        <v/>
      </c>
    </row>
    <row r="854" spans="1:1" x14ac:dyDescent="0.2">
      <c r="A854" s="24" t="str">
        <f t="shared" si="13"/>
        <v/>
      </c>
    </row>
    <row r="855" spans="1:1" x14ac:dyDescent="0.2">
      <c r="A855" s="24" t="str">
        <f t="shared" si="13"/>
        <v/>
      </c>
    </row>
    <row r="856" spans="1:1" x14ac:dyDescent="0.2">
      <c r="A856" s="24" t="str">
        <f t="shared" si="13"/>
        <v/>
      </c>
    </row>
    <row r="857" spans="1:1" x14ac:dyDescent="0.2">
      <c r="A857" s="24" t="str">
        <f t="shared" si="13"/>
        <v/>
      </c>
    </row>
    <row r="858" spans="1:1" x14ac:dyDescent="0.2">
      <c r="A858" s="24" t="str">
        <f t="shared" si="13"/>
        <v/>
      </c>
    </row>
    <row r="859" spans="1:1" x14ac:dyDescent="0.2">
      <c r="A859" s="24" t="str">
        <f t="shared" si="13"/>
        <v/>
      </c>
    </row>
    <row r="860" spans="1:1" x14ac:dyDescent="0.2">
      <c r="A860" s="24" t="str">
        <f t="shared" si="13"/>
        <v/>
      </c>
    </row>
    <row r="861" spans="1:1" x14ac:dyDescent="0.2">
      <c r="A861" s="24" t="str">
        <f t="shared" si="13"/>
        <v/>
      </c>
    </row>
    <row r="862" spans="1:1" x14ac:dyDescent="0.2">
      <c r="A862" s="24" t="str">
        <f t="shared" si="13"/>
        <v/>
      </c>
    </row>
    <row r="863" spans="1:1" x14ac:dyDescent="0.2">
      <c r="A863" s="24" t="str">
        <f t="shared" si="13"/>
        <v/>
      </c>
    </row>
    <row r="864" spans="1:1" x14ac:dyDescent="0.2">
      <c r="A864" s="24" t="str">
        <f t="shared" si="13"/>
        <v/>
      </c>
    </row>
    <row r="865" spans="1:1" x14ac:dyDescent="0.2">
      <c r="A865" s="24" t="str">
        <f t="shared" si="13"/>
        <v/>
      </c>
    </row>
    <row r="866" spans="1:1" x14ac:dyDescent="0.2">
      <c r="A866" s="24" t="str">
        <f t="shared" si="13"/>
        <v/>
      </c>
    </row>
    <row r="867" spans="1:1" x14ac:dyDescent="0.2">
      <c r="A867" s="24" t="str">
        <f t="shared" si="13"/>
        <v/>
      </c>
    </row>
    <row r="868" spans="1:1" x14ac:dyDescent="0.2">
      <c r="A868" s="24" t="str">
        <f t="shared" si="13"/>
        <v/>
      </c>
    </row>
    <row r="869" spans="1:1" x14ac:dyDescent="0.2">
      <c r="A869" s="24" t="str">
        <f t="shared" si="13"/>
        <v/>
      </c>
    </row>
    <row r="870" spans="1:1" x14ac:dyDescent="0.2">
      <c r="A870" s="24" t="str">
        <f t="shared" si="13"/>
        <v/>
      </c>
    </row>
    <row r="871" spans="1:1" x14ac:dyDescent="0.2">
      <c r="A871" s="24" t="str">
        <f t="shared" si="13"/>
        <v/>
      </c>
    </row>
    <row r="872" spans="1:1" x14ac:dyDescent="0.2">
      <c r="A872" s="24" t="str">
        <f t="shared" si="13"/>
        <v/>
      </c>
    </row>
    <row r="873" spans="1:1" x14ac:dyDescent="0.2">
      <c r="A873" s="24" t="str">
        <f t="shared" si="13"/>
        <v/>
      </c>
    </row>
    <row r="874" spans="1:1" x14ac:dyDescent="0.2">
      <c r="A874" s="24" t="str">
        <f t="shared" si="13"/>
        <v/>
      </c>
    </row>
    <row r="875" spans="1:1" x14ac:dyDescent="0.2">
      <c r="A875" s="24" t="str">
        <f t="shared" si="13"/>
        <v/>
      </c>
    </row>
    <row r="876" spans="1:1" x14ac:dyDescent="0.2">
      <c r="A876" s="24" t="str">
        <f t="shared" si="13"/>
        <v/>
      </c>
    </row>
    <row r="877" spans="1:1" x14ac:dyDescent="0.2">
      <c r="A877" s="24" t="str">
        <f t="shared" si="13"/>
        <v/>
      </c>
    </row>
    <row r="878" spans="1:1" x14ac:dyDescent="0.2">
      <c r="A878" s="24" t="str">
        <f t="shared" si="13"/>
        <v/>
      </c>
    </row>
    <row r="879" spans="1:1" x14ac:dyDescent="0.2">
      <c r="A879" s="24" t="str">
        <f t="shared" si="13"/>
        <v/>
      </c>
    </row>
    <row r="880" spans="1:1" x14ac:dyDescent="0.2">
      <c r="A880" s="24" t="str">
        <f t="shared" si="13"/>
        <v/>
      </c>
    </row>
    <row r="881" spans="1:1" x14ac:dyDescent="0.2">
      <c r="A881" s="24" t="str">
        <f t="shared" si="13"/>
        <v/>
      </c>
    </row>
    <row r="882" spans="1:1" x14ac:dyDescent="0.2">
      <c r="A882" s="24" t="str">
        <f t="shared" si="13"/>
        <v/>
      </c>
    </row>
    <row r="883" spans="1:1" x14ac:dyDescent="0.2">
      <c r="A883" s="24" t="str">
        <f t="shared" si="13"/>
        <v/>
      </c>
    </row>
    <row r="884" spans="1:1" x14ac:dyDescent="0.2">
      <c r="A884" s="24" t="str">
        <f t="shared" si="13"/>
        <v/>
      </c>
    </row>
    <row r="885" spans="1:1" x14ac:dyDescent="0.2">
      <c r="A885" s="24" t="str">
        <f t="shared" si="13"/>
        <v/>
      </c>
    </row>
    <row r="886" spans="1:1" x14ac:dyDescent="0.2">
      <c r="A886" s="24" t="str">
        <f t="shared" si="13"/>
        <v/>
      </c>
    </row>
    <row r="887" spans="1:1" x14ac:dyDescent="0.2">
      <c r="A887" s="24" t="str">
        <f t="shared" si="13"/>
        <v/>
      </c>
    </row>
    <row r="888" spans="1:1" x14ac:dyDescent="0.2">
      <c r="A888" s="24" t="str">
        <f t="shared" si="13"/>
        <v/>
      </c>
    </row>
    <row r="889" spans="1:1" x14ac:dyDescent="0.2">
      <c r="A889" s="24" t="str">
        <f t="shared" si="13"/>
        <v/>
      </c>
    </row>
    <row r="890" spans="1:1" x14ac:dyDescent="0.2">
      <c r="A890" s="24" t="str">
        <f t="shared" si="13"/>
        <v/>
      </c>
    </row>
    <row r="891" spans="1:1" x14ac:dyDescent="0.2">
      <c r="A891" s="24" t="str">
        <f t="shared" si="13"/>
        <v/>
      </c>
    </row>
    <row r="892" spans="1:1" x14ac:dyDescent="0.2">
      <c r="A892" s="24" t="str">
        <f t="shared" si="13"/>
        <v/>
      </c>
    </row>
    <row r="893" spans="1:1" x14ac:dyDescent="0.2">
      <c r="A893" s="24" t="str">
        <f t="shared" si="13"/>
        <v/>
      </c>
    </row>
    <row r="894" spans="1:1" x14ac:dyDescent="0.2">
      <c r="A894" s="24" t="str">
        <f t="shared" si="13"/>
        <v/>
      </c>
    </row>
    <row r="895" spans="1:1" x14ac:dyDescent="0.2">
      <c r="A895" s="24" t="str">
        <f t="shared" si="13"/>
        <v/>
      </c>
    </row>
    <row r="896" spans="1:1" x14ac:dyDescent="0.2">
      <c r="A896" s="24" t="str">
        <f t="shared" si="13"/>
        <v/>
      </c>
    </row>
    <row r="897" spans="1:1" x14ac:dyDescent="0.2">
      <c r="A897" s="24" t="str">
        <f t="shared" si="13"/>
        <v/>
      </c>
    </row>
    <row r="898" spans="1:1" x14ac:dyDescent="0.2">
      <c r="A898" s="24" t="str">
        <f t="shared" si="13"/>
        <v/>
      </c>
    </row>
    <row r="899" spans="1:1" x14ac:dyDescent="0.2">
      <c r="A899" s="24" t="str">
        <f t="shared" si="13"/>
        <v/>
      </c>
    </row>
    <row r="900" spans="1:1" x14ac:dyDescent="0.2">
      <c r="A900" s="24" t="str">
        <f t="shared" ref="A900:A963" si="14">IF(AND(B899&lt;&gt;"",B900=""),$A$2&amp;"---&gt;","")</f>
        <v/>
      </c>
    </row>
    <row r="901" spans="1:1" x14ac:dyDescent="0.2">
      <c r="A901" s="24" t="str">
        <f t="shared" si="14"/>
        <v/>
      </c>
    </row>
    <row r="902" spans="1:1" x14ac:dyDescent="0.2">
      <c r="A902" s="24" t="str">
        <f t="shared" si="14"/>
        <v/>
      </c>
    </row>
    <row r="903" spans="1:1" x14ac:dyDescent="0.2">
      <c r="A903" s="24" t="str">
        <f t="shared" si="14"/>
        <v/>
      </c>
    </row>
    <row r="904" spans="1:1" x14ac:dyDescent="0.2">
      <c r="A904" s="24" t="str">
        <f t="shared" si="14"/>
        <v/>
      </c>
    </row>
    <row r="905" spans="1:1" x14ac:dyDescent="0.2">
      <c r="A905" s="24" t="str">
        <f t="shared" si="14"/>
        <v/>
      </c>
    </row>
    <row r="906" spans="1:1" x14ac:dyDescent="0.2">
      <c r="A906" s="24" t="str">
        <f t="shared" si="14"/>
        <v/>
      </c>
    </row>
    <row r="907" spans="1:1" x14ac:dyDescent="0.2">
      <c r="A907" s="24" t="str">
        <f t="shared" si="14"/>
        <v/>
      </c>
    </row>
    <row r="908" spans="1:1" x14ac:dyDescent="0.2">
      <c r="A908" s="24" t="str">
        <f t="shared" si="14"/>
        <v/>
      </c>
    </row>
    <row r="909" spans="1:1" x14ac:dyDescent="0.2">
      <c r="A909" s="24" t="str">
        <f t="shared" si="14"/>
        <v/>
      </c>
    </row>
    <row r="910" spans="1:1" x14ac:dyDescent="0.2">
      <c r="A910" s="24" t="str">
        <f t="shared" si="14"/>
        <v/>
      </c>
    </row>
    <row r="911" spans="1:1" x14ac:dyDescent="0.2">
      <c r="A911" s="24" t="str">
        <f t="shared" si="14"/>
        <v/>
      </c>
    </row>
    <row r="912" spans="1:1" x14ac:dyDescent="0.2">
      <c r="A912" s="24" t="str">
        <f t="shared" si="14"/>
        <v/>
      </c>
    </row>
    <row r="913" spans="1:1" x14ac:dyDescent="0.2">
      <c r="A913" s="24" t="str">
        <f t="shared" si="14"/>
        <v/>
      </c>
    </row>
    <row r="914" spans="1:1" x14ac:dyDescent="0.2">
      <c r="A914" s="24" t="str">
        <f t="shared" si="14"/>
        <v/>
      </c>
    </row>
    <row r="915" spans="1:1" x14ac:dyDescent="0.2">
      <c r="A915" s="24" t="str">
        <f t="shared" si="14"/>
        <v/>
      </c>
    </row>
    <row r="916" spans="1:1" x14ac:dyDescent="0.2">
      <c r="A916" s="24" t="str">
        <f t="shared" si="14"/>
        <v/>
      </c>
    </row>
    <row r="917" spans="1:1" x14ac:dyDescent="0.2">
      <c r="A917" s="24" t="str">
        <f t="shared" si="14"/>
        <v/>
      </c>
    </row>
    <row r="918" spans="1:1" x14ac:dyDescent="0.2">
      <c r="A918" s="24" t="str">
        <f t="shared" si="14"/>
        <v/>
      </c>
    </row>
    <row r="919" spans="1:1" x14ac:dyDescent="0.2">
      <c r="A919" s="24" t="str">
        <f t="shared" si="14"/>
        <v/>
      </c>
    </row>
    <row r="920" spans="1:1" x14ac:dyDescent="0.2">
      <c r="A920" s="24" t="str">
        <f t="shared" si="14"/>
        <v/>
      </c>
    </row>
    <row r="921" spans="1:1" x14ac:dyDescent="0.2">
      <c r="A921" s="24" t="str">
        <f t="shared" si="14"/>
        <v/>
      </c>
    </row>
    <row r="922" spans="1:1" x14ac:dyDescent="0.2">
      <c r="A922" s="24" t="str">
        <f t="shared" si="14"/>
        <v/>
      </c>
    </row>
    <row r="923" spans="1:1" x14ac:dyDescent="0.2">
      <c r="A923" s="24" t="str">
        <f t="shared" si="14"/>
        <v/>
      </c>
    </row>
    <row r="924" spans="1:1" x14ac:dyDescent="0.2">
      <c r="A924" s="24" t="str">
        <f t="shared" si="14"/>
        <v/>
      </c>
    </row>
    <row r="925" spans="1:1" x14ac:dyDescent="0.2">
      <c r="A925" s="24" t="str">
        <f t="shared" si="14"/>
        <v/>
      </c>
    </row>
    <row r="926" spans="1:1" x14ac:dyDescent="0.2">
      <c r="A926" s="24" t="str">
        <f t="shared" si="14"/>
        <v/>
      </c>
    </row>
    <row r="927" spans="1:1" x14ac:dyDescent="0.2">
      <c r="A927" s="24" t="str">
        <f t="shared" si="14"/>
        <v/>
      </c>
    </row>
    <row r="928" spans="1:1" x14ac:dyDescent="0.2">
      <c r="A928" s="24" t="str">
        <f t="shared" si="14"/>
        <v/>
      </c>
    </row>
    <row r="929" spans="1:1" x14ac:dyDescent="0.2">
      <c r="A929" s="24" t="str">
        <f t="shared" si="14"/>
        <v/>
      </c>
    </row>
    <row r="930" spans="1:1" x14ac:dyDescent="0.2">
      <c r="A930" s="24" t="str">
        <f t="shared" si="14"/>
        <v/>
      </c>
    </row>
    <row r="931" spans="1:1" x14ac:dyDescent="0.2">
      <c r="A931" s="24" t="str">
        <f t="shared" si="14"/>
        <v/>
      </c>
    </row>
    <row r="932" spans="1:1" x14ac:dyDescent="0.2">
      <c r="A932" s="24" t="str">
        <f t="shared" si="14"/>
        <v/>
      </c>
    </row>
    <row r="933" spans="1:1" x14ac:dyDescent="0.2">
      <c r="A933" s="24" t="str">
        <f t="shared" si="14"/>
        <v/>
      </c>
    </row>
    <row r="934" spans="1:1" x14ac:dyDescent="0.2">
      <c r="A934" s="24" t="str">
        <f t="shared" si="14"/>
        <v/>
      </c>
    </row>
    <row r="935" spans="1:1" x14ac:dyDescent="0.2">
      <c r="A935" s="24" t="str">
        <f t="shared" si="14"/>
        <v/>
      </c>
    </row>
    <row r="936" spans="1:1" x14ac:dyDescent="0.2">
      <c r="A936" s="24" t="str">
        <f t="shared" si="14"/>
        <v/>
      </c>
    </row>
    <row r="937" spans="1:1" x14ac:dyDescent="0.2">
      <c r="A937" s="24" t="str">
        <f t="shared" si="14"/>
        <v/>
      </c>
    </row>
    <row r="938" spans="1:1" x14ac:dyDescent="0.2">
      <c r="A938" s="24" t="str">
        <f t="shared" si="14"/>
        <v/>
      </c>
    </row>
    <row r="939" spans="1:1" x14ac:dyDescent="0.2">
      <c r="A939" s="24" t="str">
        <f t="shared" si="14"/>
        <v/>
      </c>
    </row>
    <row r="940" spans="1:1" x14ac:dyDescent="0.2">
      <c r="A940" s="24" t="str">
        <f t="shared" si="14"/>
        <v/>
      </c>
    </row>
    <row r="941" spans="1:1" x14ac:dyDescent="0.2">
      <c r="A941" s="24" t="str">
        <f t="shared" si="14"/>
        <v/>
      </c>
    </row>
    <row r="942" spans="1:1" x14ac:dyDescent="0.2">
      <c r="A942" s="24" t="str">
        <f t="shared" si="14"/>
        <v/>
      </c>
    </row>
    <row r="943" spans="1:1" x14ac:dyDescent="0.2">
      <c r="A943" s="24" t="str">
        <f t="shared" si="14"/>
        <v/>
      </c>
    </row>
    <row r="944" spans="1:1" x14ac:dyDescent="0.2">
      <c r="A944" s="24" t="str">
        <f t="shared" si="14"/>
        <v/>
      </c>
    </row>
    <row r="945" spans="1:1" x14ac:dyDescent="0.2">
      <c r="A945" s="24" t="str">
        <f t="shared" si="14"/>
        <v/>
      </c>
    </row>
    <row r="946" spans="1:1" x14ac:dyDescent="0.2">
      <c r="A946" s="24" t="str">
        <f t="shared" si="14"/>
        <v/>
      </c>
    </row>
    <row r="947" spans="1:1" x14ac:dyDescent="0.2">
      <c r="A947" s="24" t="str">
        <f t="shared" si="14"/>
        <v/>
      </c>
    </row>
    <row r="948" spans="1:1" x14ac:dyDescent="0.2">
      <c r="A948" s="24" t="str">
        <f t="shared" si="14"/>
        <v/>
      </c>
    </row>
    <row r="949" spans="1:1" x14ac:dyDescent="0.2">
      <c r="A949" s="24" t="str">
        <f t="shared" si="14"/>
        <v/>
      </c>
    </row>
    <row r="950" spans="1:1" x14ac:dyDescent="0.2">
      <c r="A950" s="24" t="str">
        <f t="shared" si="14"/>
        <v/>
      </c>
    </row>
    <row r="951" spans="1:1" x14ac:dyDescent="0.2">
      <c r="A951" s="24" t="str">
        <f t="shared" si="14"/>
        <v/>
      </c>
    </row>
    <row r="952" spans="1:1" x14ac:dyDescent="0.2">
      <c r="A952" s="24" t="str">
        <f t="shared" si="14"/>
        <v/>
      </c>
    </row>
    <row r="953" spans="1:1" x14ac:dyDescent="0.2">
      <c r="A953" s="24" t="str">
        <f t="shared" si="14"/>
        <v/>
      </c>
    </row>
    <row r="954" spans="1:1" x14ac:dyDescent="0.2">
      <c r="A954" s="24" t="str">
        <f t="shared" si="14"/>
        <v/>
      </c>
    </row>
    <row r="955" spans="1:1" x14ac:dyDescent="0.2">
      <c r="A955" s="24" t="str">
        <f t="shared" si="14"/>
        <v/>
      </c>
    </row>
    <row r="956" spans="1:1" x14ac:dyDescent="0.2">
      <c r="A956" s="24" t="str">
        <f t="shared" si="14"/>
        <v/>
      </c>
    </row>
    <row r="957" spans="1:1" x14ac:dyDescent="0.2">
      <c r="A957" s="24" t="str">
        <f t="shared" si="14"/>
        <v/>
      </c>
    </row>
    <row r="958" spans="1:1" x14ac:dyDescent="0.2">
      <c r="A958" s="24" t="str">
        <f t="shared" si="14"/>
        <v/>
      </c>
    </row>
    <row r="959" spans="1:1" x14ac:dyDescent="0.2">
      <c r="A959" s="24" t="str">
        <f t="shared" si="14"/>
        <v/>
      </c>
    </row>
    <row r="960" spans="1:1" x14ac:dyDescent="0.2">
      <c r="A960" s="24" t="str">
        <f t="shared" si="14"/>
        <v/>
      </c>
    </row>
    <row r="961" spans="1:1" x14ac:dyDescent="0.2">
      <c r="A961" s="24" t="str">
        <f t="shared" si="14"/>
        <v/>
      </c>
    </row>
    <row r="962" spans="1:1" x14ac:dyDescent="0.2">
      <c r="A962" s="24" t="str">
        <f t="shared" si="14"/>
        <v/>
      </c>
    </row>
    <row r="963" spans="1:1" x14ac:dyDescent="0.2">
      <c r="A963" s="24" t="str">
        <f t="shared" si="14"/>
        <v/>
      </c>
    </row>
    <row r="964" spans="1:1" x14ac:dyDescent="0.2">
      <c r="A964" s="24" t="str">
        <f t="shared" ref="A964:A1027" si="15">IF(AND(B963&lt;&gt;"",B964=""),$A$2&amp;"---&gt;","")</f>
        <v/>
      </c>
    </row>
    <row r="965" spans="1:1" x14ac:dyDescent="0.2">
      <c r="A965" s="24" t="str">
        <f t="shared" si="15"/>
        <v/>
      </c>
    </row>
    <row r="966" spans="1:1" x14ac:dyDescent="0.2">
      <c r="A966" s="24" t="str">
        <f t="shared" si="15"/>
        <v/>
      </c>
    </row>
    <row r="967" spans="1:1" x14ac:dyDescent="0.2">
      <c r="A967" s="24" t="str">
        <f t="shared" si="15"/>
        <v/>
      </c>
    </row>
    <row r="968" spans="1:1" x14ac:dyDescent="0.2">
      <c r="A968" s="24" t="str">
        <f t="shared" si="15"/>
        <v/>
      </c>
    </row>
    <row r="969" spans="1:1" x14ac:dyDescent="0.2">
      <c r="A969" s="24" t="str">
        <f t="shared" si="15"/>
        <v/>
      </c>
    </row>
    <row r="970" spans="1:1" x14ac:dyDescent="0.2">
      <c r="A970" s="24" t="str">
        <f t="shared" si="15"/>
        <v/>
      </c>
    </row>
    <row r="971" spans="1:1" x14ac:dyDescent="0.2">
      <c r="A971" s="24" t="str">
        <f t="shared" si="15"/>
        <v/>
      </c>
    </row>
    <row r="972" spans="1:1" x14ac:dyDescent="0.2">
      <c r="A972" s="24" t="str">
        <f t="shared" si="15"/>
        <v/>
      </c>
    </row>
    <row r="973" spans="1:1" x14ac:dyDescent="0.2">
      <c r="A973" s="24" t="str">
        <f t="shared" si="15"/>
        <v/>
      </c>
    </row>
    <row r="974" spans="1:1" x14ac:dyDescent="0.2">
      <c r="A974" s="24" t="str">
        <f t="shared" si="15"/>
        <v/>
      </c>
    </row>
    <row r="975" spans="1:1" x14ac:dyDescent="0.2">
      <c r="A975" s="24" t="str">
        <f t="shared" si="15"/>
        <v/>
      </c>
    </row>
    <row r="976" spans="1:1" x14ac:dyDescent="0.2">
      <c r="A976" s="24" t="str">
        <f t="shared" si="15"/>
        <v/>
      </c>
    </row>
    <row r="977" spans="1:1" x14ac:dyDescent="0.2">
      <c r="A977" s="24" t="str">
        <f t="shared" si="15"/>
        <v/>
      </c>
    </row>
    <row r="978" spans="1:1" x14ac:dyDescent="0.2">
      <c r="A978" s="24" t="str">
        <f t="shared" si="15"/>
        <v/>
      </c>
    </row>
    <row r="979" spans="1:1" x14ac:dyDescent="0.2">
      <c r="A979" s="24" t="str">
        <f t="shared" si="15"/>
        <v/>
      </c>
    </row>
    <row r="980" spans="1:1" x14ac:dyDescent="0.2">
      <c r="A980" s="24" t="str">
        <f t="shared" si="15"/>
        <v/>
      </c>
    </row>
    <row r="981" spans="1:1" x14ac:dyDescent="0.2">
      <c r="A981" s="24" t="str">
        <f t="shared" si="15"/>
        <v/>
      </c>
    </row>
    <row r="982" spans="1:1" x14ac:dyDescent="0.2">
      <c r="A982" s="24" t="str">
        <f t="shared" si="15"/>
        <v/>
      </c>
    </row>
    <row r="983" spans="1:1" x14ac:dyDescent="0.2">
      <c r="A983" s="24" t="str">
        <f t="shared" si="15"/>
        <v/>
      </c>
    </row>
    <row r="984" spans="1:1" x14ac:dyDescent="0.2">
      <c r="A984" s="24" t="str">
        <f t="shared" si="15"/>
        <v/>
      </c>
    </row>
    <row r="985" spans="1:1" x14ac:dyDescent="0.2">
      <c r="A985" s="24" t="str">
        <f t="shared" si="15"/>
        <v/>
      </c>
    </row>
    <row r="986" spans="1:1" x14ac:dyDescent="0.2">
      <c r="A986" s="24" t="str">
        <f t="shared" si="15"/>
        <v/>
      </c>
    </row>
    <row r="987" spans="1:1" x14ac:dyDescent="0.2">
      <c r="A987" s="24" t="str">
        <f t="shared" si="15"/>
        <v/>
      </c>
    </row>
    <row r="988" spans="1:1" x14ac:dyDescent="0.2">
      <c r="A988" s="24" t="str">
        <f t="shared" si="15"/>
        <v/>
      </c>
    </row>
    <row r="989" spans="1:1" x14ac:dyDescent="0.2">
      <c r="A989" s="24" t="str">
        <f t="shared" si="15"/>
        <v/>
      </c>
    </row>
    <row r="990" spans="1:1" x14ac:dyDescent="0.2">
      <c r="A990" s="24" t="str">
        <f t="shared" si="15"/>
        <v/>
      </c>
    </row>
    <row r="991" spans="1:1" x14ac:dyDescent="0.2">
      <c r="A991" s="24" t="str">
        <f t="shared" si="15"/>
        <v/>
      </c>
    </row>
    <row r="992" spans="1:1" x14ac:dyDescent="0.2">
      <c r="A992" s="24" t="str">
        <f t="shared" si="15"/>
        <v/>
      </c>
    </row>
    <row r="993" spans="1:1" x14ac:dyDescent="0.2">
      <c r="A993" s="24" t="str">
        <f t="shared" si="15"/>
        <v/>
      </c>
    </row>
    <row r="994" spans="1:1" x14ac:dyDescent="0.2">
      <c r="A994" s="24" t="str">
        <f t="shared" si="15"/>
        <v/>
      </c>
    </row>
    <row r="995" spans="1:1" x14ac:dyDescent="0.2">
      <c r="A995" s="24" t="str">
        <f t="shared" si="15"/>
        <v/>
      </c>
    </row>
    <row r="996" spans="1:1" x14ac:dyDescent="0.2">
      <c r="A996" s="24" t="str">
        <f t="shared" si="15"/>
        <v/>
      </c>
    </row>
    <row r="997" spans="1:1" x14ac:dyDescent="0.2">
      <c r="A997" s="24" t="str">
        <f t="shared" si="15"/>
        <v/>
      </c>
    </row>
    <row r="998" spans="1:1" x14ac:dyDescent="0.2">
      <c r="A998" s="24" t="str">
        <f t="shared" si="15"/>
        <v/>
      </c>
    </row>
    <row r="999" spans="1:1" x14ac:dyDescent="0.2">
      <c r="A999" s="24" t="str">
        <f t="shared" si="15"/>
        <v/>
      </c>
    </row>
    <row r="1000" spans="1:1" x14ac:dyDescent="0.2">
      <c r="A1000" s="24" t="str">
        <f t="shared" si="15"/>
        <v/>
      </c>
    </row>
    <row r="1001" spans="1:1" x14ac:dyDescent="0.2">
      <c r="A1001" s="24" t="str">
        <f t="shared" si="15"/>
        <v/>
      </c>
    </row>
    <row r="1002" spans="1:1" x14ac:dyDescent="0.2">
      <c r="A1002" s="24" t="str">
        <f t="shared" si="15"/>
        <v/>
      </c>
    </row>
    <row r="1003" spans="1:1" x14ac:dyDescent="0.2">
      <c r="A1003" s="24" t="str">
        <f t="shared" si="15"/>
        <v/>
      </c>
    </row>
    <row r="1004" spans="1:1" x14ac:dyDescent="0.2">
      <c r="A1004" s="24" t="str">
        <f t="shared" si="15"/>
        <v/>
      </c>
    </row>
    <row r="1005" spans="1:1" x14ac:dyDescent="0.2">
      <c r="A1005" s="24" t="str">
        <f t="shared" si="15"/>
        <v/>
      </c>
    </row>
    <row r="1006" spans="1:1" x14ac:dyDescent="0.2">
      <c r="A1006" s="24" t="str">
        <f t="shared" si="15"/>
        <v/>
      </c>
    </row>
    <row r="1007" spans="1:1" x14ac:dyDescent="0.2">
      <c r="A1007" s="24" t="str">
        <f t="shared" si="15"/>
        <v/>
      </c>
    </row>
    <row r="1008" spans="1:1" x14ac:dyDescent="0.2">
      <c r="A1008" s="24" t="str">
        <f t="shared" si="15"/>
        <v/>
      </c>
    </row>
    <row r="1009" spans="1:1" x14ac:dyDescent="0.2">
      <c r="A1009" s="24" t="str">
        <f t="shared" si="15"/>
        <v/>
      </c>
    </row>
    <row r="1010" spans="1:1" x14ac:dyDescent="0.2">
      <c r="A1010" s="24" t="str">
        <f t="shared" si="15"/>
        <v/>
      </c>
    </row>
    <row r="1011" spans="1:1" x14ac:dyDescent="0.2">
      <c r="A1011" s="24" t="str">
        <f t="shared" si="15"/>
        <v/>
      </c>
    </row>
    <row r="1012" spans="1:1" x14ac:dyDescent="0.2">
      <c r="A1012" s="24" t="str">
        <f t="shared" si="15"/>
        <v/>
      </c>
    </row>
    <row r="1013" spans="1:1" x14ac:dyDescent="0.2">
      <c r="A1013" s="24" t="str">
        <f t="shared" si="15"/>
        <v/>
      </c>
    </row>
    <row r="1014" spans="1:1" x14ac:dyDescent="0.2">
      <c r="A1014" s="24" t="str">
        <f t="shared" si="15"/>
        <v/>
      </c>
    </row>
    <row r="1015" spans="1:1" x14ac:dyDescent="0.2">
      <c r="A1015" s="24" t="str">
        <f t="shared" si="15"/>
        <v/>
      </c>
    </row>
    <row r="1016" spans="1:1" x14ac:dyDescent="0.2">
      <c r="A1016" s="24" t="str">
        <f t="shared" si="15"/>
        <v/>
      </c>
    </row>
    <row r="1017" spans="1:1" x14ac:dyDescent="0.2">
      <c r="A1017" s="24" t="str">
        <f t="shared" si="15"/>
        <v/>
      </c>
    </row>
    <row r="1018" spans="1:1" x14ac:dyDescent="0.2">
      <c r="A1018" s="24" t="str">
        <f t="shared" si="15"/>
        <v/>
      </c>
    </row>
    <row r="1019" spans="1:1" x14ac:dyDescent="0.2">
      <c r="A1019" s="24" t="str">
        <f t="shared" si="15"/>
        <v/>
      </c>
    </row>
    <row r="1020" spans="1:1" x14ac:dyDescent="0.2">
      <c r="A1020" s="24" t="str">
        <f t="shared" si="15"/>
        <v/>
      </c>
    </row>
    <row r="1021" spans="1:1" x14ac:dyDescent="0.2">
      <c r="A1021" s="24" t="str">
        <f t="shared" si="15"/>
        <v/>
      </c>
    </row>
    <row r="1022" spans="1:1" x14ac:dyDescent="0.2">
      <c r="A1022" s="24" t="str">
        <f t="shared" si="15"/>
        <v/>
      </c>
    </row>
    <row r="1023" spans="1:1" x14ac:dyDescent="0.2">
      <c r="A1023" s="24" t="str">
        <f t="shared" si="15"/>
        <v/>
      </c>
    </row>
    <row r="1024" spans="1:1" x14ac:dyDescent="0.2">
      <c r="A1024" s="24" t="str">
        <f t="shared" si="15"/>
        <v/>
      </c>
    </row>
    <row r="1025" spans="1:1" x14ac:dyDescent="0.2">
      <c r="A1025" s="24" t="str">
        <f t="shared" si="15"/>
        <v/>
      </c>
    </row>
    <row r="1026" spans="1:1" x14ac:dyDescent="0.2">
      <c r="A1026" s="24" t="str">
        <f t="shared" si="15"/>
        <v/>
      </c>
    </row>
    <row r="1027" spans="1:1" x14ac:dyDescent="0.2">
      <c r="A1027" s="24" t="str">
        <f t="shared" si="15"/>
        <v/>
      </c>
    </row>
    <row r="1028" spans="1:1" x14ac:dyDescent="0.2">
      <c r="A1028" s="24" t="str">
        <f t="shared" ref="A1028:A1091" si="16">IF(AND(B1027&lt;&gt;"",B1028=""),$A$2&amp;"---&gt;","")</f>
        <v/>
      </c>
    </row>
    <row r="1029" spans="1:1" x14ac:dyDescent="0.2">
      <c r="A1029" s="24" t="str">
        <f t="shared" si="16"/>
        <v/>
      </c>
    </row>
    <row r="1030" spans="1:1" x14ac:dyDescent="0.2">
      <c r="A1030" s="24" t="str">
        <f t="shared" si="16"/>
        <v/>
      </c>
    </row>
    <row r="1031" spans="1:1" x14ac:dyDescent="0.2">
      <c r="A1031" s="24" t="str">
        <f t="shared" si="16"/>
        <v/>
      </c>
    </row>
    <row r="1032" spans="1:1" x14ac:dyDescent="0.2">
      <c r="A1032" s="24" t="str">
        <f t="shared" si="16"/>
        <v/>
      </c>
    </row>
    <row r="1033" spans="1:1" x14ac:dyDescent="0.2">
      <c r="A1033" s="24" t="str">
        <f t="shared" si="16"/>
        <v/>
      </c>
    </row>
    <row r="1034" spans="1:1" x14ac:dyDescent="0.2">
      <c r="A1034" s="24" t="str">
        <f t="shared" si="16"/>
        <v/>
      </c>
    </row>
    <row r="1035" spans="1:1" x14ac:dyDescent="0.2">
      <c r="A1035" s="24" t="str">
        <f t="shared" si="16"/>
        <v/>
      </c>
    </row>
    <row r="1036" spans="1:1" x14ac:dyDescent="0.2">
      <c r="A1036" s="24" t="str">
        <f t="shared" si="16"/>
        <v/>
      </c>
    </row>
    <row r="1037" spans="1:1" x14ac:dyDescent="0.2">
      <c r="A1037" s="24" t="str">
        <f t="shared" si="16"/>
        <v/>
      </c>
    </row>
    <row r="1038" spans="1:1" x14ac:dyDescent="0.2">
      <c r="A1038" s="24" t="str">
        <f t="shared" si="16"/>
        <v/>
      </c>
    </row>
    <row r="1039" spans="1:1" x14ac:dyDescent="0.2">
      <c r="A1039" s="24" t="str">
        <f t="shared" si="16"/>
        <v/>
      </c>
    </row>
    <row r="1040" spans="1:1" x14ac:dyDescent="0.2">
      <c r="A1040" s="24" t="str">
        <f t="shared" si="16"/>
        <v/>
      </c>
    </row>
    <row r="1041" spans="1:1" x14ac:dyDescent="0.2">
      <c r="A1041" s="24" t="str">
        <f t="shared" si="16"/>
        <v/>
      </c>
    </row>
    <row r="1042" spans="1:1" x14ac:dyDescent="0.2">
      <c r="A1042" s="24" t="str">
        <f t="shared" si="16"/>
        <v/>
      </c>
    </row>
    <row r="1043" spans="1:1" x14ac:dyDescent="0.2">
      <c r="A1043" s="24" t="str">
        <f t="shared" si="16"/>
        <v/>
      </c>
    </row>
    <row r="1044" spans="1:1" x14ac:dyDescent="0.2">
      <c r="A1044" s="24" t="str">
        <f t="shared" si="16"/>
        <v/>
      </c>
    </row>
    <row r="1045" spans="1:1" x14ac:dyDescent="0.2">
      <c r="A1045" s="24" t="str">
        <f t="shared" si="16"/>
        <v/>
      </c>
    </row>
    <row r="1046" spans="1:1" x14ac:dyDescent="0.2">
      <c r="A1046" s="24" t="str">
        <f t="shared" si="16"/>
        <v/>
      </c>
    </row>
    <row r="1047" spans="1:1" x14ac:dyDescent="0.2">
      <c r="A1047" s="24" t="str">
        <f t="shared" si="16"/>
        <v/>
      </c>
    </row>
    <row r="1048" spans="1:1" x14ac:dyDescent="0.2">
      <c r="A1048" s="24" t="str">
        <f t="shared" si="16"/>
        <v/>
      </c>
    </row>
    <row r="1049" spans="1:1" x14ac:dyDescent="0.2">
      <c r="A1049" s="24" t="str">
        <f t="shared" si="16"/>
        <v/>
      </c>
    </row>
    <row r="1050" spans="1:1" x14ac:dyDescent="0.2">
      <c r="A1050" s="24" t="str">
        <f t="shared" si="16"/>
        <v/>
      </c>
    </row>
    <row r="1051" spans="1:1" x14ac:dyDescent="0.2">
      <c r="A1051" s="24" t="str">
        <f t="shared" si="16"/>
        <v/>
      </c>
    </row>
    <row r="1052" spans="1:1" x14ac:dyDescent="0.2">
      <c r="A1052" s="24" t="str">
        <f t="shared" si="16"/>
        <v/>
      </c>
    </row>
    <row r="1053" spans="1:1" x14ac:dyDescent="0.2">
      <c r="A1053" s="24" t="str">
        <f t="shared" si="16"/>
        <v/>
      </c>
    </row>
    <row r="1054" spans="1:1" x14ac:dyDescent="0.2">
      <c r="A1054" s="24" t="str">
        <f t="shared" si="16"/>
        <v/>
      </c>
    </row>
    <row r="1055" spans="1:1" x14ac:dyDescent="0.2">
      <c r="A1055" s="24" t="str">
        <f t="shared" si="16"/>
        <v/>
      </c>
    </row>
    <row r="1056" spans="1:1" x14ac:dyDescent="0.2">
      <c r="A1056" s="24" t="str">
        <f t="shared" si="16"/>
        <v/>
      </c>
    </row>
    <row r="1057" spans="1:1" x14ac:dyDescent="0.2">
      <c r="A1057" s="24" t="str">
        <f t="shared" si="16"/>
        <v/>
      </c>
    </row>
    <row r="1058" spans="1:1" x14ac:dyDescent="0.2">
      <c r="A1058" s="24" t="str">
        <f t="shared" si="16"/>
        <v/>
      </c>
    </row>
    <row r="1059" spans="1:1" x14ac:dyDescent="0.2">
      <c r="A1059" s="24" t="str">
        <f t="shared" si="16"/>
        <v/>
      </c>
    </row>
    <row r="1060" spans="1:1" x14ac:dyDescent="0.2">
      <c r="A1060" s="24" t="str">
        <f t="shared" si="16"/>
        <v/>
      </c>
    </row>
    <row r="1061" spans="1:1" x14ac:dyDescent="0.2">
      <c r="A1061" s="24" t="str">
        <f t="shared" si="16"/>
        <v/>
      </c>
    </row>
    <row r="1062" spans="1:1" x14ac:dyDescent="0.2">
      <c r="A1062" s="24" t="str">
        <f t="shared" si="16"/>
        <v/>
      </c>
    </row>
    <row r="1063" spans="1:1" x14ac:dyDescent="0.2">
      <c r="A1063" s="24" t="str">
        <f t="shared" si="16"/>
        <v/>
      </c>
    </row>
    <row r="1064" spans="1:1" x14ac:dyDescent="0.2">
      <c r="A1064" s="24" t="str">
        <f t="shared" si="16"/>
        <v/>
      </c>
    </row>
    <row r="1065" spans="1:1" x14ac:dyDescent="0.2">
      <c r="A1065" s="24" t="str">
        <f t="shared" si="16"/>
        <v/>
      </c>
    </row>
    <row r="1066" spans="1:1" x14ac:dyDescent="0.2">
      <c r="A1066" s="24" t="str">
        <f t="shared" si="16"/>
        <v/>
      </c>
    </row>
    <row r="1067" spans="1:1" x14ac:dyDescent="0.2">
      <c r="A1067" s="24" t="str">
        <f t="shared" si="16"/>
        <v/>
      </c>
    </row>
    <row r="1068" spans="1:1" x14ac:dyDescent="0.2">
      <c r="A1068" s="24" t="str">
        <f t="shared" si="16"/>
        <v/>
      </c>
    </row>
    <row r="1069" spans="1:1" x14ac:dyDescent="0.2">
      <c r="A1069" s="24" t="str">
        <f t="shared" si="16"/>
        <v/>
      </c>
    </row>
    <row r="1070" spans="1:1" x14ac:dyDescent="0.2">
      <c r="A1070" s="24" t="str">
        <f t="shared" si="16"/>
        <v/>
      </c>
    </row>
    <row r="1071" spans="1:1" x14ac:dyDescent="0.2">
      <c r="A1071" s="24" t="str">
        <f t="shared" si="16"/>
        <v/>
      </c>
    </row>
    <row r="1072" spans="1:1" x14ac:dyDescent="0.2">
      <c r="A1072" s="24" t="str">
        <f t="shared" si="16"/>
        <v/>
      </c>
    </row>
    <row r="1073" spans="1:1" x14ac:dyDescent="0.2">
      <c r="A1073" s="24" t="str">
        <f t="shared" si="16"/>
        <v/>
      </c>
    </row>
    <row r="1074" spans="1:1" x14ac:dyDescent="0.2">
      <c r="A1074" s="24" t="str">
        <f t="shared" si="16"/>
        <v/>
      </c>
    </row>
    <row r="1075" spans="1:1" x14ac:dyDescent="0.2">
      <c r="A1075" s="24" t="str">
        <f t="shared" si="16"/>
        <v/>
      </c>
    </row>
    <row r="1076" spans="1:1" x14ac:dyDescent="0.2">
      <c r="A1076" s="24" t="str">
        <f t="shared" si="16"/>
        <v/>
      </c>
    </row>
    <row r="1077" spans="1:1" x14ac:dyDescent="0.2">
      <c r="A1077" s="24" t="str">
        <f t="shared" si="16"/>
        <v/>
      </c>
    </row>
    <row r="1078" spans="1:1" x14ac:dyDescent="0.2">
      <c r="A1078" s="24" t="str">
        <f t="shared" si="16"/>
        <v/>
      </c>
    </row>
    <row r="1079" spans="1:1" x14ac:dyDescent="0.2">
      <c r="A1079" s="24" t="str">
        <f t="shared" si="16"/>
        <v/>
      </c>
    </row>
    <row r="1080" spans="1:1" x14ac:dyDescent="0.2">
      <c r="A1080" s="24" t="str">
        <f t="shared" si="16"/>
        <v/>
      </c>
    </row>
    <row r="1081" spans="1:1" x14ac:dyDescent="0.2">
      <c r="A1081" s="24" t="str">
        <f t="shared" si="16"/>
        <v/>
      </c>
    </row>
    <row r="1082" spans="1:1" x14ac:dyDescent="0.2">
      <c r="A1082" s="24" t="str">
        <f t="shared" si="16"/>
        <v/>
      </c>
    </row>
    <row r="1083" spans="1:1" x14ac:dyDescent="0.2">
      <c r="A1083" s="24" t="str">
        <f t="shared" si="16"/>
        <v/>
      </c>
    </row>
    <row r="1084" spans="1:1" x14ac:dyDescent="0.2">
      <c r="A1084" s="24" t="str">
        <f t="shared" si="16"/>
        <v/>
      </c>
    </row>
    <row r="1085" spans="1:1" x14ac:dyDescent="0.2">
      <c r="A1085" s="24" t="str">
        <f t="shared" si="16"/>
        <v/>
      </c>
    </row>
    <row r="1086" spans="1:1" x14ac:dyDescent="0.2">
      <c r="A1086" s="24" t="str">
        <f t="shared" si="16"/>
        <v/>
      </c>
    </row>
    <row r="1087" spans="1:1" x14ac:dyDescent="0.2">
      <c r="A1087" s="24" t="str">
        <f t="shared" si="16"/>
        <v/>
      </c>
    </row>
    <row r="1088" spans="1:1" x14ac:dyDescent="0.2">
      <c r="A1088" s="24" t="str">
        <f t="shared" si="16"/>
        <v/>
      </c>
    </row>
    <row r="1089" spans="1:1" x14ac:dyDescent="0.2">
      <c r="A1089" s="24" t="str">
        <f t="shared" si="16"/>
        <v/>
      </c>
    </row>
    <row r="1090" spans="1:1" x14ac:dyDescent="0.2">
      <c r="A1090" s="24" t="str">
        <f t="shared" si="16"/>
        <v/>
      </c>
    </row>
    <row r="1091" spans="1:1" x14ac:dyDescent="0.2">
      <c r="A1091" s="24" t="str">
        <f t="shared" si="16"/>
        <v/>
      </c>
    </row>
    <row r="1092" spans="1:1" x14ac:dyDescent="0.2">
      <c r="A1092" s="24" t="str">
        <f t="shared" ref="A1092:A1155" si="17">IF(AND(B1091&lt;&gt;"",B1092=""),$A$2&amp;"---&gt;","")</f>
        <v/>
      </c>
    </row>
    <row r="1093" spans="1:1" x14ac:dyDescent="0.2">
      <c r="A1093" s="24" t="str">
        <f t="shared" si="17"/>
        <v/>
      </c>
    </row>
    <row r="1094" spans="1:1" x14ac:dyDescent="0.2">
      <c r="A1094" s="24" t="str">
        <f t="shared" si="17"/>
        <v/>
      </c>
    </row>
    <row r="1095" spans="1:1" x14ac:dyDescent="0.2">
      <c r="A1095" s="24" t="str">
        <f t="shared" si="17"/>
        <v/>
      </c>
    </row>
    <row r="1096" spans="1:1" x14ac:dyDescent="0.2">
      <c r="A1096" s="24" t="str">
        <f t="shared" si="17"/>
        <v/>
      </c>
    </row>
    <row r="1097" spans="1:1" x14ac:dyDescent="0.2">
      <c r="A1097" s="24" t="str">
        <f t="shared" si="17"/>
        <v/>
      </c>
    </row>
    <row r="1098" spans="1:1" x14ac:dyDescent="0.2">
      <c r="A1098" s="24" t="str">
        <f t="shared" si="17"/>
        <v/>
      </c>
    </row>
    <row r="1099" spans="1:1" x14ac:dyDescent="0.2">
      <c r="A1099" s="24" t="str">
        <f t="shared" si="17"/>
        <v/>
      </c>
    </row>
    <row r="1100" spans="1:1" x14ac:dyDescent="0.2">
      <c r="A1100" s="24" t="str">
        <f t="shared" si="17"/>
        <v/>
      </c>
    </row>
    <row r="1101" spans="1:1" x14ac:dyDescent="0.2">
      <c r="A1101" s="24" t="str">
        <f t="shared" si="17"/>
        <v/>
      </c>
    </row>
    <row r="1102" spans="1:1" x14ac:dyDescent="0.2">
      <c r="A1102" s="24" t="str">
        <f t="shared" si="17"/>
        <v/>
      </c>
    </row>
    <row r="1103" spans="1:1" x14ac:dyDescent="0.2">
      <c r="A1103" s="24" t="str">
        <f t="shared" si="17"/>
        <v/>
      </c>
    </row>
    <row r="1104" spans="1:1" x14ac:dyDescent="0.2">
      <c r="A1104" s="24" t="str">
        <f t="shared" si="17"/>
        <v/>
      </c>
    </row>
    <row r="1105" spans="1:1" x14ac:dyDescent="0.2">
      <c r="A1105" s="24" t="str">
        <f t="shared" si="17"/>
        <v/>
      </c>
    </row>
    <row r="1106" spans="1:1" x14ac:dyDescent="0.2">
      <c r="A1106" s="24" t="str">
        <f t="shared" si="17"/>
        <v/>
      </c>
    </row>
    <row r="1107" spans="1:1" x14ac:dyDescent="0.2">
      <c r="A1107" s="24" t="str">
        <f t="shared" si="17"/>
        <v/>
      </c>
    </row>
    <row r="1108" spans="1:1" x14ac:dyDescent="0.2">
      <c r="A1108" s="24" t="str">
        <f t="shared" si="17"/>
        <v/>
      </c>
    </row>
    <row r="1109" spans="1:1" x14ac:dyDescent="0.2">
      <c r="A1109" s="24" t="str">
        <f t="shared" si="17"/>
        <v/>
      </c>
    </row>
    <row r="1110" spans="1:1" x14ac:dyDescent="0.2">
      <c r="A1110" s="24" t="str">
        <f t="shared" si="17"/>
        <v/>
      </c>
    </row>
    <row r="1111" spans="1:1" x14ac:dyDescent="0.2">
      <c r="A1111" s="24" t="str">
        <f t="shared" si="17"/>
        <v/>
      </c>
    </row>
    <row r="1112" spans="1:1" x14ac:dyDescent="0.2">
      <c r="A1112" s="24" t="str">
        <f t="shared" si="17"/>
        <v/>
      </c>
    </row>
    <row r="1113" spans="1:1" x14ac:dyDescent="0.2">
      <c r="A1113" s="24" t="str">
        <f t="shared" si="17"/>
        <v/>
      </c>
    </row>
    <row r="1114" spans="1:1" x14ac:dyDescent="0.2">
      <c r="A1114" s="24" t="str">
        <f t="shared" si="17"/>
        <v/>
      </c>
    </row>
    <row r="1115" spans="1:1" x14ac:dyDescent="0.2">
      <c r="A1115" s="24" t="str">
        <f t="shared" si="17"/>
        <v/>
      </c>
    </row>
    <row r="1116" spans="1:1" x14ac:dyDescent="0.2">
      <c r="A1116" s="24" t="str">
        <f t="shared" si="17"/>
        <v/>
      </c>
    </row>
    <row r="1117" spans="1:1" x14ac:dyDescent="0.2">
      <c r="A1117" s="24" t="str">
        <f t="shared" si="17"/>
        <v/>
      </c>
    </row>
    <row r="1118" spans="1:1" x14ac:dyDescent="0.2">
      <c r="A1118" s="24" t="str">
        <f t="shared" si="17"/>
        <v/>
      </c>
    </row>
    <row r="1119" spans="1:1" x14ac:dyDescent="0.2">
      <c r="A1119" s="24" t="str">
        <f t="shared" si="17"/>
        <v/>
      </c>
    </row>
    <row r="1120" spans="1:1" x14ac:dyDescent="0.2">
      <c r="A1120" s="24" t="str">
        <f t="shared" si="17"/>
        <v/>
      </c>
    </row>
    <row r="1121" spans="1:1" x14ac:dyDescent="0.2">
      <c r="A1121" s="24" t="str">
        <f t="shared" si="17"/>
        <v/>
      </c>
    </row>
    <row r="1122" spans="1:1" x14ac:dyDescent="0.2">
      <c r="A1122" s="24" t="str">
        <f t="shared" si="17"/>
        <v/>
      </c>
    </row>
    <row r="1123" spans="1:1" x14ac:dyDescent="0.2">
      <c r="A1123" s="24" t="str">
        <f t="shared" si="17"/>
        <v/>
      </c>
    </row>
    <row r="1124" spans="1:1" x14ac:dyDescent="0.2">
      <c r="A1124" s="24" t="str">
        <f t="shared" si="17"/>
        <v/>
      </c>
    </row>
    <row r="1125" spans="1:1" x14ac:dyDescent="0.2">
      <c r="A1125" s="24" t="str">
        <f t="shared" si="17"/>
        <v/>
      </c>
    </row>
    <row r="1126" spans="1:1" x14ac:dyDescent="0.2">
      <c r="A1126" s="24" t="str">
        <f t="shared" si="17"/>
        <v/>
      </c>
    </row>
    <row r="1127" spans="1:1" x14ac:dyDescent="0.2">
      <c r="A1127" s="24" t="str">
        <f t="shared" si="17"/>
        <v/>
      </c>
    </row>
    <row r="1128" spans="1:1" x14ac:dyDescent="0.2">
      <c r="A1128" s="24" t="str">
        <f t="shared" si="17"/>
        <v/>
      </c>
    </row>
    <row r="1129" spans="1:1" x14ac:dyDescent="0.2">
      <c r="A1129" s="24" t="str">
        <f t="shared" si="17"/>
        <v/>
      </c>
    </row>
    <row r="1130" spans="1:1" x14ac:dyDescent="0.2">
      <c r="A1130" s="24" t="str">
        <f t="shared" si="17"/>
        <v/>
      </c>
    </row>
    <row r="1131" spans="1:1" x14ac:dyDescent="0.2">
      <c r="A1131" s="24" t="str">
        <f t="shared" si="17"/>
        <v/>
      </c>
    </row>
    <row r="1132" spans="1:1" x14ac:dyDescent="0.2">
      <c r="A1132" s="24" t="str">
        <f t="shared" si="17"/>
        <v/>
      </c>
    </row>
    <row r="1133" spans="1:1" x14ac:dyDescent="0.2">
      <c r="A1133" s="24" t="str">
        <f t="shared" si="17"/>
        <v/>
      </c>
    </row>
    <row r="1134" spans="1:1" x14ac:dyDescent="0.2">
      <c r="A1134" s="24" t="str">
        <f t="shared" si="17"/>
        <v/>
      </c>
    </row>
    <row r="1135" spans="1:1" x14ac:dyDescent="0.2">
      <c r="A1135" s="24" t="str">
        <f t="shared" si="17"/>
        <v/>
      </c>
    </row>
    <row r="1136" spans="1:1" x14ac:dyDescent="0.2">
      <c r="A1136" s="24" t="str">
        <f t="shared" si="17"/>
        <v/>
      </c>
    </row>
    <row r="1137" spans="1:1" x14ac:dyDescent="0.2">
      <c r="A1137" s="24" t="str">
        <f t="shared" si="17"/>
        <v/>
      </c>
    </row>
    <row r="1138" spans="1:1" x14ac:dyDescent="0.2">
      <c r="A1138" s="24" t="str">
        <f t="shared" si="17"/>
        <v/>
      </c>
    </row>
    <row r="1139" spans="1:1" x14ac:dyDescent="0.2">
      <c r="A1139" s="24" t="str">
        <f t="shared" si="17"/>
        <v/>
      </c>
    </row>
    <row r="1140" spans="1:1" x14ac:dyDescent="0.2">
      <c r="A1140" s="24" t="str">
        <f t="shared" si="17"/>
        <v/>
      </c>
    </row>
    <row r="1141" spans="1:1" x14ac:dyDescent="0.2">
      <c r="A1141" s="24" t="str">
        <f t="shared" si="17"/>
        <v/>
      </c>
    </row>
    <row r="1142" spans="1:1" x14ac:dyDescent="0.2">
      <c r="A1142" s="24" t="str">
        <f t="shared" si="17"/>
        <v/>
      </c>
    </row>
    <row r="1143" spans="1:1" x14ac:dyDescent="0.2">
      <c r="A1143" s="24" t="str">
        <f t="shared" si="17"/>
        <v/>
      </c>
    </row>
    <row r="1144" spans="1:1" x14ac:dyDescent="0.2">
      <c r="A1144" s="24" t="str">
        <f t="shared" si="17"/>
        <v/>
      </c>
    </row>
    <row r="1145" spans="1:1" x14ac:dyDescent="0.2">
      <c r="A1145" s="24" t="str">
        <f t="shared" si="17"/>
        <v/>
      </c>
    </row>
    <row r="1146" spans="1:1" x14ac:dyDescent="0.2">
      <c r="A1146" s="24" t="str">
        <f t="shared" si="17"/>
        <v/>
      </c>
    </row>
    <row r="1147" spans="1:1" x14ac:dyDescent="0.2">
      <c r="A1147" s="24" t="str">
        <f t="shared" si="17"/>
        <v/>
      </c>
    </row>
    <row r="1148" spans="1:1" x14ac:dyDescent="0.2">
      <c r="A1148" s="24" t="str">
        <f t="shared" si="17"/>
        <v/>
      </c>
    </row>
    <row r="1149" spans="1:1" x14ac:dyDescent="0.2">
      <c r="A1149" s="24" t="str">
        <f t="shared" si="17"/>
        <v/>
      </c>
    </row>
    <row r="1150" spans="1:1" x14ac:dyDescent="0.2">
      <c r="A1150" s="24" t="str">
        <f t="shared" si="17"/>
        <v/>
      </c>
    </row>
    <row r="1151" spans="1:1" x14ac:dyDescent="0.2">
      <c r="A1151" s="24" t="str">
        <f t="shared" si="17"/>
        <v/>
      </c>
    </row>
    <row r="1152" spans="1:1" x14ac:dyDescent="0.2">
      <c r="A1152" s="24" t="str">
        <f t="shared" si="17"/>
        <v/>
      </c>
    </row>
    <row r="1153" spans="1:1" x14ac:dyDescent="0.2">
      <c r="A1153" s="24" t="str">
        <f t="shared" si="17"/>
        <v/>
      </c>
    </row>
    <row r="1154" spans="1:1" x14ac:dyDescent="0.2">
      <c r="A1154" s="24" t="str">
        <f t="shared" si="17"/>
        <v/>
      </c>
    </row>
    <row r="1155" spans="1:1" x14ac:dyDescent="0.2">
      <c r="A1155" s="24" t="str">
        <f t="shared" si="17"/>
        <v/>
      </c>
    </row>
    <row r="1156" spans="1:1" x14ac:dyDescent="0.2">
      <c r="A1156" s="24" t="str">
        <f t="shared" ref="A1156:A1219" si="18">IF(AND(B1155&lt;&gt;"",B1156=""),$A$2&amp;"---&gt;","")</f>
        <v/>
      </c>
    </row>
    <row r="1157" spans="1:1" x14ac:dyDescent="0.2">
      <c r="A1157" s="24" t="str">
        <f t="shared" si="18"/>
        <v/>
      </c>
    </row>
    <row r="1158" spans="1:1" x14ac:dyDescent="0.2">
      <c r="A1158" s="24" t="str">
        <f t="shared" si="18"/>
        <v/>
      </c>
    </row>
    <row r="1159" spans="1:1" x14ac:dyDescent="0.2">
      <c r="A1159" s="24" t="str">
        <f t="shared" si="18"/>
        <v/>
      </c>
    </row>
    <row r="1160" spans="1:1" x14ac:dyDescent="0.2">
      <c r="A1160" s="24" t="str">
        <f t="shared" si="18"/>
        <v/>
      </c>
    </row>
    <row r="1161" spans="1:1" x14ac:dyDescent="0.2">
      <c r="A1161" s="24" t="str">
        <f t="shared" si="18"/>
        <v/>
      </c>
    </row>
    <row r="1162" spans="1:1" x14ac:dyDescent="0.2">
      <c r="A1162" s="24" t="str">
        <f t="shared" si="18"/>
        <v/>
      </c>
    </row>
    <row r="1163" spans="1:1" x14ac:dyDescent="0.2">
      <c r="A1163" s="24" t="str">
        <f t="shared" si="18"/>
        <v/>
      </c>
    </row>
    <row r="1164" spans="1:1" x14ac:dyDescent="0.2">
      <c r="A1164" s="24" t="str">
        <f t="shared" si="18"/>
        <v/>
      </c>
    </row>
    <row r="1165" spans="1:1" x14ac:dyDescent="0.2">
      <c r="A1165" s="24" t="str">
        <f t="shared" si="18"/>
        <v/>
      </c>
    </row>
    <row r="1166" spans="1:1" x14ac:dyDescent="0.2">
      <c r="A1166" s="24" t="str">
        <f t="shared" si="18"/>
        <v/>
      </c>
    </row>
    <row r="1167" spans="1:1" x14ac:dyDescent="0.2">
      <c r="A1167" s="24" t="str">
        <f t="shared" si="18"/>
        <v/>
      </c>
    </row>
    <row r="1168" spans="1:1" x14ac:dyDescent="0.2">
      <c r="A1168" s="24" t="str">
        <f t="shared" si="18"/>
        <v/>
      </c>
    </row>
    <row r="1169" spans="1:1" x14ac:dyDescent="0.2">
      <c r="A1169" s="24" t="str">
        <f t="shared" si="18"/>
        <v/>
      </c>
    </row>
    <row r="1170" spans="1:1" x14ac:dyDescent="0.2">
      <c r="A1170" s="24" t="str">
        <f t="shared" si="18"/>
        <v/>
      </c>
    </row>
    <row r="1171" spans="1:1" x14ac:dyDescent="0.2">
      <c r="A1171" s="24" t="str">
        <f t="shared" si="18"/>
        <v/>
      </c>
    </row>
    <row r="1172" spans="1:1" x14ac:dyDescent="0.2">
      <c r="A1172" s="24" t="str">
        <f t="shared" si="18"/>
        <v/>
      </c>
    </row>
    <row r="1173" spans="1:1" x14ac:dyDescent="0.2">
      <c r="A1173" s="24" t="str">
        <f t="shared" si="18"/>
        <v/>
      </c>
    </row>
    <row r="1174" spans="1:1" x14ac:dyDescent="0.2">
      <c r="A1174" s="24" t="str">
        <f t="shared" si="18"/>
        <v/>
      </c>
    </row>
    <row r="1175" spans="1:1" x14ac:dyDescent="0.2">
      <c r="A1175" s="24" t="str">
        <f t="shared" si="18"/>
        <v/>
      </c>
    </row>
    <row r="1176" spans="1:1" x14ac:dyDescent="0.2">
      <c r="A1176" s="24" t="str">
        <f t="shared" si="18"/>
        <v/>
      </c>
    </row>
    <row r="1177" spans="1:1" x14ac:dyDescent="0.2">
      <c r="A1177" s="24" t="str">
        <f t="shared" si="18"/>
        <v/>
      </c>
    </row>
    <row r="1178" spans="1:1" x14ac:dyDescent="0.2">
      <c r="A1178" s="24" t="str">
        <f t="shared" si="18"/>
        <v/>
      </c>
    </row>
    <row r="1179" spans="1:1" x14ac:dyDescent="0.2">
      <c r="A1179" s="24" t="str">
        <f t="shared" si="18"/>
        <v/>
      </c>
    </row>
    <row r="1180" spans="1:1" x14ac:dyDescent="0.2">
      <c r="A1180" s="24" t="str">
        <f t="shared" si="18"/>
        <v/>
      </c>
    </row>
    <row r="1181" spans="1:1" x14ac:dyDescent="0.2">
      <c r="A1181" s="24" t="str">
        <f t="shared" si="18"/>
        <v/>
      </c>
    </row>
    <row r="1182" spans="1:1" x14ac:dyDescent="0.2">
      <c r="A1182" s="24" t="str">
        <f t="shared" si="18"/>
        <v/>
      </c>
    </row>
    <row r="1183" spans="1:1" x14ac:dyDescent="0.2">
      <c r="A1183" s="24" t="str">
        <f t="shared" si="18"/>
        <v/>
      </c>
    </row>
    <row r="1184" spans="1:1" x14ac:dyDescent="0.2">
      <c r="A1184" s="24" t="str">
        <f t="shared" si="18"/>
        <v/>
      </c>
    </row>
    <row r="1185" spans="1:1" x14ac:dyDescent="0.2">
      <c r="A1185" s="24" t="str">
        <f t="shared" si="18"/>
        <v/>
      </c>
    </row>
    <row r="1186" spans="1:1" x14ac:dyDescent="0.2">
      <c r="A1186" s="24" t="str">
        <f t="shared" si="18"/>
        <v/>
      </c>
    </row>
    <row r="1187" spans="1:1" x14ac:dyDescent="0.2">
      <c r="A1187" s="24" t="str">
        <f t="shared" si="18"/>
        <v/>
      </c>
    </row>
    <row r="1188" spans="1:1" x14ac:dyDescent="0.2">
      <c r="A1188" s="24" t="str">
        <f t="shared" si="18"/>
        <v/>
      </c>
    </row>
    <row r="1189" spans="1:1" x14ac:dyDescent="0.2">
      <c r="A1189" s="24" t="str">
        <f t="shared" si="18"/>
        <v/>
      </c>
    </row>
    <row r="1190" spans="1:1" x14ac:dyDescent="0.2">
      <c r="A1190" s="24" t="str">
        <f t="shared" si="18"/>
        <v/>
      </c>
    </row>
    <row r="1191" spans="1:1" x14ac:dyDescent="0.2">
      <c r="A1191" s="24" t="str">
        <f t="shared" si="18"/>
        <v/>
      </c>
    </row>
    <row r="1192" spans="1:1" x14ac:dyDescent="0.2">
      <c r="A1192" s="24" t="str">
        <f t="shared" si="18"/>
        <v/>
      </c>
    </row>
    <row r="1193" spans="1:1" x14ac:dyDescent="0.2">
      <c r="A1193" s="24" t="str">
        <f t="shared" si="18"/>
        <v/>
      </c>
    </row>
    <row r="1194" spans="1:1" x14ac:dyDescent="0.2">
      <c r="A1194" s="24" t="str">
        <f t="shared" si="18"/>
        <v/>
      </c>
    </row>
    <row r="1195" spans="1:1" x14ac:dyDescent="0.2">
      <c r="A1195" s="24" t="str">
        <f t="shared" si="18"/>
        <v/>
      </c>
    </row>
    <row r="1196" spans="1:1" x14ac:dyDescent="0.2">
      <c r="A1196" s="24" t="str">
        <f t="shared" si="18"/>
        <v/>
      </c>
    </row>
    <row r="1197" spans="1:1" x14ac:dyDescent="0.2">
      <c r="A1197" s="24" t="str">
        <f t="shared" si="18"/>
        <v/>
      </c>
    </row>
    <row r="1198" spans="1:1" x14ac:dyDescent="0.2">
      <c r="A1198" s="24" t="str">
        <f t="shared" si="18"/>
        <v/>
      </c>
    </row>
    <row r="1199" spans="1:1" x14ac:dyDescent="0.2">
      <c r="A1199" s="24" t="str">
        <f t="shared" si="18"/>
        <v/>
      </c>
    </row>
    <row r="1200" spans="1:1" x14ac:dyDescent="0.2">
      <c r="A1200" s="24" t="str">
        <f t="shared" si="18"/>
        <v/>
      </c>
    </row>
    <row r="1201" spans="1:1" x14ac:dyDescent="0.2">
      <c r="A1201" s="24" t="str">
        <f t="shared" si="18"/>
        <v/>
      </c>
    </row>
    <row r="1202" spans="1:1" x14ac:dyDescent="0.2">
      <c r="A1202" s="24" t="str">
        <f t="shared" si="18"/>
        <v/>
      </c>
    </row>
    <row r="1203" spans="1:1" x14ac:dyDescent="0.2">
      <c r="A1203" s="24" t="str">
        <f t="shared" si="18"/>
        <v/>
      </c>
    </row>
    <row r="1204" spans="1:1" x14ac:dyDescent="0.2">
      <c r="A1204" s="24" t="str">
        <f t="shared" si="18"/>
        <v/>
      </c>
    </row>
    <row r="1205" spans="1:1" x14ac:dyDescent="0.2">
      <c r="A1205" s="24" t="str">
        <f t="shared" si="18"/>
        <v/>
      </c>
    </row>
    <row r="1206" spans="1:1" x14ac:dyDescent="0.2">
      <c r="A1206" s="24" t="str">
        <f t="shared" si="18"/>
        <v/>
      </c>
    </row>
    <row r="1207" spans="1:1" x14ac:dyDescent="0.2">
      <c r="A1207" s="24" t="str">
        <f t="shared" si="18"/>
        <v/>
      </c>
    </row>
    <row r="1208" spans="1:1" x14ac:dyDescent="0.2">
      <c r="A1208" s="24" t="str">
        <f t="shared" si="18"/>
        <v/>
      </c>
    </row>
    <row r="1209" spans="1:1" x14ac:dyDescent="0.2">
      <c r="A1209" s="24" t="str">
        <f t="shared" si="18"/>
        <v/>
      </c>
    </row>
    <row r="1210" spans="1:1" x14ac:dyDescent="0.2">
      <c r="A1210" s="24" t="str">
        <f t="shared" si="18"/>
        <v/>
      </c>
    </row>
    <row r="1211" spans="1:1" x14ac:dyDescent="0.2">
      <c r="A1211" s="24" t="str">
        <f t="shared" si="18"/>
        <v/>
      </c>
    </row>
    <row r="1212" spans="1:1" x14ac:dyDescent="0.2">
      <c r="A1212" s="24" t="str">
        <f t="shared" si="18"/>
        <v/>
      </c>
    </row>
    <row r="1213" spans="1:1" x14ac:dyDescent="0.2">
      <c r="A1213" s="24" t="str">
        <f t="shared" si="18"/>
        <v/>
      </c>
    </row>
    <row r="1214" spans="1:1" x14ac:dyDescent="0.2">
      <c r="A1214" s="24" t="str">
        <f t="shared" si="18"/>
        <v/>
      </c>
    </row>
    <row r="1215" spans="1:1" x14ac:dyDescent="0.2">
      <c r="A1215" s="24" t="str">
        <f t="shared" si="18"/>
        <v/>
      </c>
    </row>
    <row r="1216" spans="1:1" x14ac:dyDescent="0.2">
      <c r="A1216" s="24" t="str">
        <f t="shared" si="18"/>
        <v/>
      </c>
    </row>
    <row r="1217" spans="1:1" x14ac:dyDescent="0.2">
      <c r="A1217" s="24" t="str">
        <f t="shared" si="18"/>
        <v/>
      </c>
    </row>
    <row r="1218" spans="1:1" x14ac:dyDescent="0.2">
      <c r="A1218" s="24" t="str">
        <f t="shared" si="18"/>
        <v/>
      </c>
    </row>
    <row r="1219" spans="1:1" x14ac:dyDescent="0.2">
      <c r="A1219" s="24" t="str">
        <f t="shared" si="18"/>
        <v/>
      </c>
    </row>
    <row r="1220" spans="1:1" x14ac:dyDescent="0.2">
      <c r="A1220" s="24" t="str">
        <f t="shared" ref="A1220:A1283" si="19">IF(AND(B1219&lt;&gt;"",B1220=""),$A$2&amp;"---&gt;","")</f>
        <v/>
      </c>
    </row>
    <row r="1221" spans="1:1" x14ac:dyDescent="0.2">
      <c r="A1221" s="24" t="str">
        <f t="shared" si="19"/>
        <v/>
      </c>
    </row>
    <row r="1222" spans="1:1" x14ac:dyDescent="0.2">
      <c r="A1222" s="24" t="str">
        <f t="shared" si="19"/>
        <v/>
      </c>
    </row>
    <row r="1223" spans="1:1" x14ac:dyDescent="0.2">
      <c r="A1223" s="24" t="str">
        <f t="shared" si="19"/>
        <v/>
      </c>
    </row>
    <row r="1224" spans="1:1" x14ac:dyDescent="0.2">
      <c r="A1224" s="24" t="str">
        <f t="shared" si="19"/>
        <v/>
      </c>
    </row>
    <row r="1225" spans="1:1" x14ac:dyDescent="0.2">
      <c r="A1225" s="24" t="str">
        <f t="shared" si="19"/>
        <v/>
      </c>
    </row>
    <row r="1226" spans="1:1" x14ac:dyDescent="0.2">
      <c r="A1226" s="24" t="str">
        <f t="shared" si="19"/>
        <v/>
      </c>
    </row>
    <row r="1227" spans="1:1" x14ac:dyDescent="0.2">
      <c r="A1227" s="24" t="str">
        <f t="shared" si="19"/>
        <v/>
      </c>
    </row>
    <row r="1228" spans="1:1" x14ac:dyDescent="0.2">
      <c r="A1228" s="24" t="str">
        <f t="shared" si="19"/>
        <v/>
      </c>
    </row>
    <row r="1229" spans="1:1" x14ac:dyDescent="0.2">
      <c r="A1229" s="24" t="str">
        <f t="shared" si="19"/>
        <v/>
      </c>
    </row>
    <row r="1230" spans="1:1" x14ac:dyDescent="0.2">
      <c r="A1230" s="24" t="str">
        <f t="shared" si="19"/>
        <v/>
      </c>
    </row>
    <row r="1231" spans="1:1" x14ac:dyDescent="0.2">
      <c r="A1231" s="24" t="str">
        <f t="shared" si="19"/>
        <v/>
      </c>
    </row>
    <row r="1232" spans="1:1" x14ac:dyDescent="0.2">
      <c r="A1232" s="24" t="str">
        <f t="shared" si="19"/>
        <v/>
      </c>
    </row>
    <row r="1233" spans="1:1" x14ac:dyDescent="0.2">
      <c r="A1233" s="24" t="str">
        <f t="shared" si="19"/>
        <v/>
      </c>
    </row>
    <row r="1234" spans="1:1" x14ac:dyDescent="0.2">
      <c r="A1234" s="24" t="str">
        <f t="shared" si="19"/>
        <v/>
      </c>
    </row>
    <row r="1235" spans="1:1" x14ac:dyDescent="0.2">
      <c r="A1235" s="24" t="str">
        <f t="shared" si="19"/>
        <v/>
      </c>
    </row>
    <row r="1236" spans="1:1" x14ac:dyDescent="0.2">
      <c r="A1236" s="24" t="str">
        <f t="shared" si="19"/>
        <v/>
      </c>
    </row>
    <row r="1237" spans="1:1" x14ac:dyDescent="0.2">
      <c r="A1237" s="24" t="str">
        <f t="shared" si="19"/>
        <v/>
      </c>
    </row>
    <row r="1238" spans="1:1" x14ac:dyDescent="0.2">
      <c r="A1238" s="24" t="str">
        <f t="shared" si="19"/>
        <v/>
      </c>
    </row>
    <row r="1239" spans="1:1" x14ac:dyDescent="0.2">
      <c r="A1239" s="24" t="str">
        <f t="shared" si="19"/>
        <v/>
      </c>
    </row>
    <row r="1240" spans="1:1" x14ac:dyDescent="0.2">
      <c r="A1240" s="24" t="str">
        <f t="shared" si="19"/>
        <v/>
      </c>
    </row>
    <row r="1241" spans="1:1" x14ac:dyDescent="0.2">
      <c r="A1241" s="24" t="str">
        <f t="shared" si="19"/>
        <v/>
      </c>
    </row>
    <row r="1242" spans="1:1" x14ac:dyDescent="0.2">
      <c r="A1242" s="24" t="str">
        <f t="shared" si="19"/>
        <v/>
      </c>
    </row>
    <row r="1243" spans="1:1" x14ac:dyDescent="0.2">
      <c r="A1243" s="24" t="str">
        <f t="shared" si="19"/>
        <v/>
      </c>
    </row>
    <row r="1244" spans="1:1" x14ac:dyDescent="0.2">
      <c r="A1244" s="24" t="str">
        <f t="shared" si="19"/>
        <v/>
      </c>
    </row>
    <row r="1245" spans="1:1" x14ac:dyDescent="0.2">
      <c r="A1245" s="24" t="str">
        <f t="shared" si="19"/>
        <v/>
      </c>
    </row>
    <row r="1246" spans="1:1" x14ac:dyDescent="0.2">
      <c r="A1246" s="24" t="str">
        <f t="shared" si="19"/>
        <v/>
      </c>
    </row>
    <row r="1247" spans="1:1" x14ac:dyDescent="0.2">
      <c r="A1247" s="24" t="str">
        <f t="shared" si="19"/>
        <v/>
      </c>
    </row>
    <row r="1248" spans="1:1" x14ac:dyDescent="0.2">
      <c r="A1248" s="24" t="str">
        <f t="shared" si="19"/>
        <v/>
      </c>
    </row>
    <row r="1249" spans="1:1" x14ac:dyDescent="0.2">
      <c r="A1249" s="24" t="str">
        <f t="shared" si="19"/>
        <v/>
      </c>
    </row>
    <row r="1250" spans="1:1" x14ac:dyDescent="0.2">
      <c r="A1250" s="24" t="str">
        <f t="shared" si="19"/>
        <v/>
      </c>
    </row>
    <row r="1251" spans="1:1" x14ac:dyDescent="0.2">
      <c r="A1251" s="24" t="str">
        <f t="shared" si="19"/>
        <v/>
      </c>
    </row>
    <row r="1252" spans="1:1" x14ac:dyDescent="0.2">
      <c r="A1252" s="24" t="str">
        <f t="shared" si="19"/>
        <v/>
      </c>
    </row>
    <row r="1253" spans="1:1" x14ac:dyDescent="0.2">
      <c r="A1253" s="24" t="str">
        <f t="shared" si="19"/>
        <v/>
      </c>
    </row>
    <row r="1254" spans="1:1" x14ac:dyDescent="0.2">
      <c r="A1254" s="24" t="str">
        <f t="shared" si="19"/>
        <v/>
      </c>
    </row>
    <row r="1255" spans="1:1" x14ac:dyDescent="0.2">
      <c r="A1255" s="24" t="str">
        <f t="shared" si="19"/>
        <v/>
      </c>
    </row>
    <row r="1256" spans="1:1" x14ac:dyDescent="0.2">
      <c r="A1256" s="24" t="str">
        <f t="shared" si="19"/>
        <v/>
      </c>
    </row>
    <row r="1257" spans="1:1" x14ac:dyDescent="0.2">
      <c r="A1257" s="24" t="str">
        <f t="shared" si="19"/>
        <v/>
      </c>
    </row>
    <row r="1258" spans="1:1" x14ac:dyDescent="0.2">
      <c r="A1258" s="24" t="str">
        <f t="shared" si="19"/>
        <v/>
      </c>
    </row>
    <row r="1259" spans="1:1" x14ac:dyDescent="0.2">
      <c r="A1259" s="24" t="str">
        <f t="shared" si="19"/>
        <v/>
      </c>
    </row>
    <row r="1260" spans="1:1" x14ac:dyDescent="0.2">
      <c r="A1260" s="24" t="str">
        <f t="shared" si="19"/>
        <v/>
      </c>
    </row>
    <row r="1261" spans="1:1" x14ac:dyDescent="0.2">
      <c r="A1261" s="24" t="str">
        <f t="shared" si="19"/>
        <v/>
      </c>
    </row>
    <row r="1262" spans="1:1" x14ac:dyDescent="0.2">
      <c r="A1262" s="24" t="str">
        <f t="shared" si="19"/>
        <v/>
      </c>
    </row>
    <row r="1263" spans="1:1" x14ac:dyDescent="0.2">
      <c r="A1263" s="24" t="str">
        <f t="shared" si="19"/>
        <v/>
      </c>
    </row>
    <row r="1264" spans="1:1" x14ac:dyDescent="0.2">
      <c r="A1264" s="24" t="str">
        <f t="shared" si="19"/>
        <v/>
      </c>
    </row>
    <row r="1265" spans="1:1" x14ac:dyDescent="0.2">
      <c r="A1265" s="24" t="str">
        <f t="shared" si="19"/>
        <v/>
      </c>
    </row>
    <row r="1266" spans="1:1" x14ac:dyDescent="0.2">
      <c r="A1266" s="24" t="str">
        <f t="shared" si="19"/>
        <v/>
      </c>
    </row>
    <row r="1267" spans="1:1" x14ac:dyDescent="0.2">
      <c r="A1267" s="24" t="str">
        <f t="shared" si="19"/>
        <v/>
      </c>
    </row>
    <row r="1268" spans="1:1" x14ac:dyDescent="0.2">
      <c r="A1268" s="24" t="str">
        <f t="shared" si="19"/>
        <v/>
      </c>
    </row>
    <row r="1269" spans="1:1" x14ac:dyDescent="0.2">
      <c r="A1269" s="24" t="str">
        <f t="shared" si="19"/>
        <v/>
      </c>
    </row>
    <row r="1270" spans="1:1" x14ac:dyDescent="0.2">
      <c r="A1270" s="24" t="str">
        <f t="shared" si="19"/>
        <v/>
      </c>
    </row>
    <row r="1271" spans="1:1" x14ac:dyDescent="0.2">
      <c r="A1271" s="24" t="str">
        <f t="shared" si="19"/>
        <v/>
      </c>
    </row>
    <row r="1272" spans="1:1" x14ac:dyDescent="0.2">
      <c r="A1272" s="24" t="str">
        <f t="shared" si="19"/>
        <v/>
      </c>
    </row>
    <row r="1273" spans="1:1" x14ac:dyDescent="0.2">
      <c r="A1273" s="24" t="str">
        <f t="shared" si="19"/>
        <v/>
      </c>
    </row>
    <row r="1274" spans="1:1" x14ac:dyDescent="0.2">
      <c r="A1274" s="24" t="str">
        <f t="shared" si="19"/>
        <v/>
      </c>
    </row>
    <row r="1275" spans="1:1" x14ac:dyDescent="0.2">
      <c r="A1275" s="24" t="str">
        <f t="shared" si="19"/>
        <v/>
      </c>
    </row>
    <row r="1276" spans="1:1" x14ac:dyDescent="0.2">
      <c r="A1276" s="24" t="str">
        <f t="shared" si="19"/>
        <v/>
      </c>
    </row>
    <row r="1277" spans="1:1" x14ac:dyDescent="0.2">
      <c r="A1277" s="24" t="str">
        <f t="shared" si="19"/>
        <v/>
      </c>
    </row>
    <row r="1278" spans="1:1" x14ac:dyDescent="0.2">
      <c r="A1278" s="24" t="str">
        <f t="shared" si="19"/>
        <v/>
      </c>
    </row>
    <row r="1279" spans="1:1" x14ac:dyDescent="0.2">
      <c r="A1279" s="24" t="str">
        <f t="shared" si="19"/>
        <v/>
      </c>
    </row>
    <row r="1280" spans="1:1" x14ac:dyDescent="0.2">
      <c r="A1280" s="24" t="str">
        <f t="shared" si="19"/>
        <v/>
      </c>
    </row>
    <row r="1281" spans="1:1" x14ac:dyDescent="0.2">
      <c r="A1281" s="24" t="str">
        <f t="shared" si="19"/>
        <v/>
      </c>
    </row>
    <row r="1282" spans="1:1" x14ac:dyDescent="0.2">
      <c r="A1282" s="24" t="str">
        <f t="shared" si="19"/>
        <v/>
      </c>
    </row>
    <row r="1283" spans="1:1" x14ac:dyDescent="0.2">
      <c r="A1283" s="24" t="str">
        <f t="shared" si="19"/>
        <v/>
      </c>
    </row>
    <row r="1284" spans="1:1" x14ac:dyDescent="0.2">
      <c r="A1284" s="24" t="str">
        <f t="shared" ref="A1284:A1347" si="20">IF(AND(B1283&lt;&gt;"",B1284=""),$A$2&amp;"---&gt;","")</f>
        <v/>
      </c>
    </row>
    <row r="1285" spans="1:1" x14ac:dyDescent="0.2">
      <c r="A1285" s="24" t="str">
        <f t="shared" si="20"/>
        <v/>
      </c>
    </row>
    <row r="1286" spans="1:1" x14ac:dyDescent="0.2">
      <c r="A1286" s="24" t="str">
        <f t="shared" si="20"/>
        <v/>
      </c>
    </row>
    <row r="1287" spans="1:1" x14ac:dyDescent="0.2">
      <c r="A1287" s="24" t="str">
        <f t="shared" si="20"/>
        <v/>
      </c>
    </row>
    <row r="1288" spans="1:1" x14ac:dyDescent="0.2">
      <c r="A1288" s="24" t="str">
        <f t="shared" si="20"/>
        <v/>
      </c>
    </row>
    <row r="1289" spans="1:1" x14ac:dyDescent="0.2">
      <c r="A1289" s="24" t="str">
        <f t="shared" si="20"/>
        <v/>
      </c>
    </row>
    <row r="1290" spans="1:1" x14ac:dyDescent="0.2">
      <c r="A1290" s="24" t="str">
        <f t="shared" si="20"/>
        <v/>
      </c>
    </row>
    <row r="1291" spans="1:1" x14ac:dyDescent="0.2">
      <c r="A1291" s="24" t="str">
        <f t="shared" si="20"/>
        <v/>
      </c>
    </row>
    <row r="1292" spans="1:1" x14ac:dyDescent="0.2">
      <c r="A1292" s="24" t="str">
        <f t="shared" si="20"/>
        <v/>
      </c>
    </row>
    <row r="1293" spans="1:1" x14ac:dyDescent="0.2">
      <c r="A1293" s="24" t="str">
        <f t="shared" si="20"/>
        <v/>
      </c>
    </row>
    <row r="1294" spans="1:1" x14ac:dyDescent="0.2">
      <c r="A1294" s="24" t="str">
        <f t="shared" si="20"/>
        <v/>
      </c>
    </row>
    <row r="1295" spans="1:1" x14ac:dyDescent="0.2">
      <c r="A1295" s="24" t="str">
        <f t="shared" si="20"/>
        <v/>
      </c>
    </row>
    <row r="1296" spans="1:1" x14ac:dyDescent="0.2">
      <c r="A1296" s="24" t="str">
        <f t="shared" si="20"/>
        <v/>
      </c>
    </row>
    <row r="1297" spans="1:1" x14ac:dyDescent="0.2">
      <c r="A1297" s="24" t="str">
        <f t="shared" si="20"/>
        <v/>
      </c>
    </row>
    <row r="1298" spans="1:1" x14ac:dyDescent="0.2">
      <c r="A1298" s="24" t="str">
        <f t="shared" si="20"/>
        <v/>
      </c>
    </row>
    <row r="1299" spans="1:1" x14ac:dyDescent="0.2">
      <c r="A1299" s="24" t="str">
        <f t="shared" si="20"/>
        <v/>
      </c>
    </row>
    <row r="1300" spans="1:1" x14ac:dyDescent="0.2">
      <c r="A1300" s="24" t="str">
        <f t="shared" si="20"/>
        <v/>
      </c>
    </row>
    <row r="1301" spans="1:1" x14ac:dyDescent="0.2">
      <c r="A1301" s="24" t="str">
        <f t="shared" si="20"/>
        <v/>
      </c>
    </row>
    <row r="1302" spans="1:1" x14ac:dyDescent="0.2">
      <c r="A1302" s="24" t="str">
        <f t="shared" si="20"/>
        <v/>
      </c>
    </row>
    <row r="1303" spans="1:1" x14ac:dyDescent="0.2">
      <c r="A1303" s="24" t="str">
        <f t="shared" si="20"/>
        <v/>
      </c>
    </row>
    <row r="1304" spans="1:1" x14ac:dyDescent="0.2">
      <c r="A1304" s="24" t="str">
        <f t="shared" si="20"/>
        <v/>
      </c>
    </row>
    <row r="1305" spans="1:1" x14ac:dyDescent="0.2">
      <c r="A1305" s="24" t="str">
        <f t="shared" si="20"/>
        <v/>
      </c>
    </row>
    <row r="1306" spans="1:1" x14ac:dyDescent="0.2">
      <c r="A1306" s="24" t="str">
        <f t="shared" si="20"/>
        <v/>
      </c>
    </row>
    <row r="1307" spans="1:1" x14ac:dyDescent="0.2">
      <c r="A1307" s="24" t="str">
        <f t="shared" si="20"/>
        <v/>
      </c>
    </row>
    <row r="1308" spans="1:1" x14ac:dyDescent="0.2">
      <c r="A1308" s="24" t="str">
        <f t="shared" si="20"/>
        <v/>
      </c>
    </row>
    <row r="1309" spans="1:1" x14ac:dyDescent="0.2">
      <c r="A1309" s="24" t="str">
        <f t="shared" si="20"/>
        <v/>
      </c>
    </row>
    <row r="1310" spans="1:1" x14ac:dyDescent="0.2">
      <c r="A1310" s="24" t="str">
        <f t="shared" si="20"/>
        <v/>
      </c>
    </row>
    <row r="1311" spans="1:1" x14ac:dyDescent="0.2">
      <c r="A1311" s="24" t="str">
        <f t="shared" si="20"/>
        <v/>
      </c>
    </row>
    <row r="1312" spans="1:1" x14ac:dyDescent="0.2">
      <c r="A1312" s="24" t="str">
        <f t="shared" si="20"/>
        <v/>
      </c>
    </row>
    <row r="1313" spans="1:1" x14ac:dyDescent="0.2">
      <c r="A1313" s="24" t="str">
        <f t="shared" si="20"/>
        <v/>
      </c>
    </row>
    <row r="1314" spans="1:1" x14ac:dyDescent="0.2">
      <c r="A1314" s="24" t="str">
        <f t="shared" si="20"/>
        <v/>
      </c>
    </row>
    <row r="1315" spans="1:1" x14ac:dyDescent="0.2">
      <c r="A1315" s="24" t="str">
        <f t="shared" si="20"/>
        <v/>
      </c>
    </row>
    <row r="1316" spans="1:1" x14ac:dyDescent="0.2">
      <c r="A1316" s="24" t="str">
        <f t="shared" si="20"/>
        <v/>
      </c>
    </row>
    <row r="1317" spans="1:1" x14ac:dyDescent="0.2">
      <c r="A1317" s="24" t="str">
        <f t="shared" si="20"/>
        <v/>
      </c>
    </row>
    <row r="1318" spans="1:1" x14ac:dyDescent="0.2">
      <c r="A1318" s="24" t="str">
        <f t="shared" si="20"/>
        <v/>
      </c>
    </row>
    <row r="1319" spans="1:1" x14ac:dyDescent="0.2">
      <c r="A1319" s="24" t="str">
        <f t="shared" si="20"/>
        <v/>
      </c>
    </row>
    <row r="1320" spans="1:1" x14ac:dyDescent="0.2">
      <c r="A1320" s="24" t="str">
        <f t="shared" si="20"/>
        <v/>
      </c>
    </row>
    <row r="1321" spans="1:1" x14ac:dyDescent="0.2">
      <c r="A1321" s="24" t="str">
        <f t="shared" si="20"/>
        <v/>
      </c>
    </row>
    <row r="1322" spans="1:1" x14ac:dyDescent="0.2">
      <c r="A1322" s="24" t="str">
        <f t="shared" si="20"/>
        <v/>
      </c>
    </row>
    <row r="1323" spans="1:1" x14ac:dyDescent="0.2">
      <c r="A1323" s="24" t="str">
        <f t="shared" si="20"/>
        <v/>
      </c>
    </row>
    <row r="1324" spans="1:1" x14ac:dyDescent="0.2">
      <c r="A1324" s="24" t="str">
        <f t="shared" si="20"/>
        <v/>
      </c>
    </row>
    <row r="1325" spans="1:1" x14ac:dyDescent="0.2">
      <c r="A1325" s="24" t="str">
        <f t="shared" si="20"/>
        <v/>
      </c>
    </row>
    <row r="1326" spans="1:1" x14ac:dyDescent="0.2">
      <c r="A1326" s="24" t="str">
        <f t="shared" si="20"/>
        <v/>
      </c>
    </row>
    <row r="1327" spans="1:1" x14ac:dyDescent="0.2">
      <c r="A1327" s="24" t="str">
        <f t="shared" si="20"/>
        <v/>
      </c>
    </row>
    <row r="1328" spans="1:1" x14ac:dyDescent="0.2">
      <c r="A1328" s="24" t="str">
        <f t="shared" si="20"/>
        <v/>
      </c>
    </row>
    <row r="1329" spans="1:1" x14ac:dyDescent="0.2">
      <c r="A1329" s="24" t="str">
        <f t="shared" si="20"/>
        <v/>
      </c>
    </row>
    <row r="1330" spans="1:1" x14ac:dyDescent="0.2">
      <c r="A1330" s="24" t="str">
        <f t="shared" si="20"/>
        <v/>
      </c>
    </row>
    <row r="1331" spans="1:1" x14ac:dyDescent="0.2">
      <c r="A1331" s="24" t="str">
        <f t="shared" si="20"/>
        <v/>
      </c>
    </row>
    <row r="1332" spans="1:1" x14ac:dyDescent="0.2">
      <c r="A1332" s="24" t="str">
        <f t="shared" si="20"/>
        <v/>
      </c>
    </row>
    <row r="1333" spans="1:1" x14ac:dyDescent="0.2">
      <c r="A1333" s="24" t="str">
        <f t="shared" si="20"/>
        <v/>
      </c>
    </row>
    <row r="1334" spans="1:1" x14ac:dyDescent="0.2">
      <c r="A1334" s="24" t="str">
        <f t="shared" si="20"/>
        <v/>
      </c>
    </row>
    <row r="1335" spans="1:1" x14ac:dyDescent="0.2">
      <c r="A1335" s="24" t="str">
        <f t="shared" si="20"/>
        <v/>
      </c>
    </row>
    <row r="1336" spans="1:1" x14ac:dyDescent="0.2">
      <c r="A1336" s="24" t="str">
        <f t="shared" si="20"/>
        <v/>
      </c>
    </row>
    <row r="1337" spans="1:1" x14ac:dyDescent="0.2">
      <c r="A1337" s="24" t="str">
        <f t="shared" si="20"/>
        <v/>
      </c>
    </row>
    <row r="1338" spans="1:1" x14ac:dyDescent="0.2">
      <c r="A1338" s="24" t="str">
        <f t="shared" si="20"/>
        <v/>
      </c>
    </row>
    <row r="1339" spans="1:1" x14ac:dyDescent="0.2">
      <c r="A1339" s="24" t="str">
        <f t="shared" si="20"/>
        <v/>
      </c>
    </row>
    <row r="1340" spans="1:1" x14ac:dyDescent="0.2">
      <c r="A1340" s="24" t="str">
        <f t="shared" si="20"/>
        <v/>
      </c>
    </row>
    <row r="1341" spans="1:1" x14ac:dyDescent="0.2">
      <c r="A1341" s="24" t="str">
        <f t="shared" si="20"/>
        <v/>
      </c>
    </row>
    <row r="1342" spans="1:1" x14ac:dyDescent="0.2">
      <c r="A1342" s="24" t="str">
        <f t="shared" si="20"/>
        <v/>
      </c>
    </row>
    <row r="1343" spans="1:1" x14ac:dyDescent="0.2">
      <c r="A1343" s="24" t="str">
        <f t="shared" si="20"/>
        <v/>
      </c>
    </row>
    <row r="1344" spans="1:1" x14ac:dyDescent="0.2">
      <c r="A1344" s="24" t="str">
        <f t="shared" si="20"/>
        <v/>
      </c>
    </row>
    <row r="1345" spans="1:1" x14ac:dyDescent="0.2">
      <c r="A1345" s="24" t="str">
        <f t="shared" si="20"/>
        <v/>
      </c>
    </row>
    <row r="1346" spans="1:1" x14ac:dyDescent="0.2">
      <c r="A1346" s="24" t="str">
        <f t="shared" si="20"/>
        <v/>
      </c>
    </row>
    <row r="1347" spans="1:1" x14ac:dyDescent="0.2">
      <c r="A1347" s="24" t="str">
        <f t="shared" si="20"/>
        <v/>
      </c>
    </row>
    <row r="1348" spans="1:1" x14ac:dyDescent="0.2">
      <c r="A1348" s="24" t="str">
        <f t="shared" ref="A1348:A1411" si="21">IF(AND(B1347&lt;&gt;"",B1348=""),$A$2&amp;"---&gt;","")</f>
        <v/>
      </c>
    </row>
    <row r="1349" spans="1:1" x14ac:dyDescent="0.2">
      <c r="A1349" s="24" t="str">
        <f t="shared" si="21"/>
        <v/>
      </c>
    </row>
    <row r="1350" spans="1:1" x14ac:dyDescent="0.2">
      <c r="A1350" s="24" t="str">
        <f t="shared" si="21"/>
        <v/>
      </c>
    </row>
    <row r="1351" spans="1:1" x14ac:dyDescent="0.2">
      <c r="A1351" s="24" t="str">
        <f t="shared" si="21"/>
        <v/>
      </c>
    </row>
    <row r="1352" spans="1:1" x14ac:dyDescent="0.2">
      <c r="A1352" s="24" t="str">
        <f t="shared" si="21"/>
        <v/>
      </c>
    </row>
    <row r="1353" spans="1:1" x14ac:dyDescent="0.2">
      <c r="A1353" s="24" t="str">
        <f t="shared" si="21"/>
        <v/>
      </c>
    </row>
    <row r="1354" spans="1:1" x14ac:dyDescent="0.2">
      <c r="A1354" s="24" t="str">
        <f t="shared" si="21"/>
        <v/>
      </c>
    </row>
    <row r="1355" spans="1:1" x14ac:dyDescent="0.2">
      <c r="A1355" s="24" t="str">
        <f t="shared" si="21"/>
        <v/>
      </c>
    </row>
    <row r="1356" spans="1:1" x14ac:dyDescent="0.2">
      <c r="A1356" s="24" t="str">
        <f t="shared" si="21"/>
        <v/>
      </c>
    </row>
    <row r="1357" spans="1:1" x14ac:dyDescent="0.2">
      <c r="A1357" s="24" t="str">
        <f t="shared" si="21"/>
        <v/>
      </c>
    </row>
    <row r="1358" spans="1:1" x14ac:dyDescent="0.2">
      <c r="A1358" s="24" t="str">
        <f t="shared" si="21"/>
        <v/>
      </c>
    </row>
    <row r="1359" spans="1:1" x14ac:dyDescent="0.2">
      <c r="A1359" s="24" t="str">
        <f t="shared" si="21"/>
        <v/>
      </c>
    </row>
    <row r="1360" spans="1:1" x14ac:dyDescent="0.2">
      <c r="A1360" s="24" t="str">
        <f t="shared" si="21"/>
        <v/>
      </c>
    </row>
    <row r="1361" spans="1:1" x14ac:dyDescent="0.2">
      <c r="A1361" s="24" t="str">
        <f t="shared" si="21"/>
        <v/>
      </c>
    </row>
    <row r="1362" spans="1:1" x14ac:dyDescent="0.2">
      <c r="A1362" s="24" t="str">
        <f t="shared" si="21"/>
        <v/>
      </c>
    </row>
    <row r="1363" spans="1:1" x14ac:dyDescent="0.2">
      <c r="A1363" s="24" t="str">
        <f t="shared" si="21"/>
        <v/>
      </c>
    </row>
    <row r="1364" spans="1:1" x14ac:dyDescent="0.2">
      <c r="A1364" s="24" t="str">
        <f t="shared" si="21"/>
        <v/>
      </c>
    </row>
    <row r="1365" spans="1:1" x14ac:dyDescent="0.2">
      <c r="A1365" s="24" t="str">
        <f t="shared" si="21"/>
        <v/>
      </c>
    </row>
    <row r="1366" spans="1:1" x14ac:dyDescent="0.2">
      <c r="A1366" s="24" t="str">
        <f t="shared" si="21"/>
        <v/>
      </c>
    </row>
    <row r="1367" spans="1:1" x14ac:dyDescent="0.2">
      <c r="A1367" s="24" t="str">
        <f t="shared" si="21"/>
        <v/>
      </c>
    </row>
    <row r="1368" spans="1:1" x14ac:dyDescent="0.2">
      <c r="A1368" s="24" t="str">
        <f t="shared" si="21"/>
        <v/>
      </c>
    </row>
    <row r="1369" spans="1:1" x14ac:dyDescent="0.2">
      <c r="A1369" s="24" t="str">
        <f t="shared" si="21"/>
        <v/>
      </c>
    </row>
    <row r="1370" spans="1:1" x14ac:dyDescent="0.2">
      <c r="A1370" s="24" t="str">
        <f t="shared" si="21"/>
        <v/>
      </c>
    </row>
    <row r="1371" spans="1:1" x14ac:dyDescent="0.2">
      <c r="A1371" s="24" t="str">
        <f t="shared" si="21"/>
        <v/>
      </c>
    </row>
    <row r="1372" spans="1:1" x14ac:dyDescent="0.2">
      <c r="A1372" s="24" t="str">
        <f t="shared" si="21"/>
        <v/>
      </c>
    </row>
    <row r="1373" spans="1:1" x14ac:dyDescent="0.2">
      <c r="A1373" s="24" t="str">
        <f t="shared" si="21"/>
        <v/>
      </c>
    </row>
    <row r="1374" spans="1:1" x14ac:dyDescent="0.2">
      <c r="A1374" s="24" t="str">
        <f t="shared" si="21"/>
        <v/>
      </c>
    </row>
    <row r="1375" spans="1:1" x14ac:dyDescent="0.2">
      <c r="A1375" s="24" t="str">
        <f t="shared" si="21"/>
        <v/>
      </c>
    </row>
    <row r="1376" spans="1:1" x14ac:dyDescent="0.2">
      <c r="A1376" s="24" t="str">
        <f t="shared" si="21"/>
        <v/>
      </c>
    </row>
    <row r="1377" spans="1:1" x14ac:dyDescent="0.2">
      <c r="A1377" s="24" t="str">
        <f t="shared" si="21"/>
        <v/>
      </c>
    </row>
    <row r="1378" spans="1:1" x14ac:dyDescent="0.2">
      <c r="A1378" s="24" t="str">
        <f t="shared" si="21"/>
        <v/>
      </c>
    </row>
    <row r="1379" spans="1:1" x14ac:dyDescent="0.2">
      <c r="A1379" s="24" t="str">
        <f t="shared" si="21"/>
        <v/>
      </c>
    </row>
    <row r="1380" spans="1:1" x14ac:dyDescent="0.2">
      <c r="A1380" s="24" t="str">
        <f t="shared" si="21"/>
        <v/>
      </c>
    </row>
    <row r="1381" spans="1:1" x14ac:dyDescent="0.2">
      <c r="A1381" s="24" t="str">
        <f t="shared" si="21"/>
        <v/>
      </c>
    </row>
    <row r="1382" spans="1:1" x14ac:dyDescent="0.2">
      <c r="A1382" s="24" t="str">
        <f t="shared" si="21"/>
        <v/>
      </c>
    </row>
    <row r="1383" spans="1:1" x14ac:dyDescent="0.2">
      <c r="A1383" s="24" t="str">
        <f t="shared" si="21"/>
        <v/>
      </c>
    </row>
    <row r="1384" spans="1:1" x14ac:dyDescent="0.2">
      <c r="A1384" s="24" t="str">
        <f t="shared" si="21"/>
        <v/>
      </c>
    </row>
    <row r="1385" spans="1:1" x14ac:dyDescent="0.2">
      <c r="A1385" s="24" t="str">
        <f t="shared" si="21"/>
        <v/>
      </c>
    </row>
    <row r="1386" spans="1:1" x14ac:dyDescent="0.2">
      <c r="A1386" s="24" t="str">
        <f t="shared" si="21"/>
        <v/>
      </c>
    </row>
    <row r="1387" spans="1:1" x14ac:dyDescent="0.2">
      <c r="A1387" s="24" t="str">
        <f t="shared" si="21"/>
        <v/>
      </c>
    </row>
    <row r="1388" spans="1:1" x14ac:dyDescent="0.2">
      <c r="A1388" s="24" t="str">
        <f t="shared" si="21"/>
        <v/>
      </c>
    </row>
    <row r="1389" spans="1:1" x14ac:dyDescent="0.2">
      <c r="A1389" s="24" t="str">
        <f t="shared" si="21"/>
        <v/>
      </c>
    </row>
    <row r="1390" spans="1:1" x14ac:dyDescent="0.2">
      <c r="A1390" s="24" t="str">
        <f t="shared" si="21"/>
        <v/>
      </c>
    </row>
    <row r="1391" spans="1:1" x14ac:dyDescent="0.2">
      <c r="A1391" s="24" t="str">
        <f t="shared" si="21"/>
        <v/>
      </c>
    </row>
    <row r="1392" spans="1:1" x14ac:dyDescent="0.2">
      <c r="A1392" s="24" t="str">
        <f t="shared" si="21"/>
        <v/>
      </c>
    </row>
    <row r="1393" spans="1:1" x14ac:dyDescent="0.2">
      <c r="A1393" s="24" t="str">
        <f t="shared" si="21"/>
        <v/>
      </c>
    </row>
    <row r="1394" spans="1:1" x14ac:dyDescent="0.2">
      <c r="A1394" s="24" t="str">
        <f t="shared" si="21"/>
        <v/>
      </c>
    </row>
    <row r="1395" spans="1:1" x14ac:dyDescent="0.2">
      <c r="A1395" s="24" t="str">
        <f t="shared" si="21"/>
        <v/>
      </c>
    </row>
    <row r="1396" spans="1:1" x14ac:dyDescent="0.2">
      <c r="A1396" s="24" t="str">
        <f t="shared" si="21"/>
        <v/>
      </c>
    </row>
    <row r="1397" spans="1:1" x14ac:dyDescent="0.2">
      <c r="A1397" s="24" t="str">
        <f t="shared" si="21"/>
        <v/>
      </c>
    </row>
    <row r="1398" spans="1:1" x14ac:dyDescent="0.2">
      <c r="A1398" s="24" t="str">
        <f t="shared" si="21"/>
        <v/>
      </c>
    </row>
    <row r="1399" spans="1:1" x14ac:dyDescent="0.2">
      <c r="A1399" s="24" t="str">
        <f t="shared" si="21"/>
        <v/>
      </c>
    </row>
    <row r="1400" spans="1:1" x14ac:dyDescent="0.2">
      <c r="A1400" s="24" t="str">
        <f t="shared" si="21"/>
        <v/>
      </c>
    </row>
    <row r="1401" spans="1:1" x14ac:dyDescent="0.2">
      <c r="A1401" s="24" t="str">
        <f t="shared" si="21"/>
        <v/>
      </c>
    </row>
    <row r="1402" spans="1:1" x14ac:dyDescent="0.2">
      <c r="A1402" s="24" t="str">
        <f t="shared" si="21"/>
        <v/>
      </c>
    </row>
    <row r="1403" spans="1:1" x14ac:dyDescent="0.2">
      <c r="A1403" s="24" t="str">
        <f t="shared" si="21"/>
        <v/>
      </c>
    </row>
    <row r="1404" spans="1:1" x14ac:dyDescent="0.2">
      <c r="A1404" s="24" t="str">
        <f t="shared" si="21"/>
        <v/>
      </c>
    </row>
    <row r="1405" spans="1:1" x14ac:dyDescent="0.2">
      <c r="A1405" s="24" t="str">
        <f t="shared" si="21"/>
        <v/>
      </c>
    </row>
    <row r="1406" spans="1:1" x14ac:dyDescent="0.2">
      <c r="A1406" s="24" t="str">
        <f t="shared" si="21"/>
        <v/>
      </c>
    </row>
    <row r="1407" spans="1:1" x14ac:dyDescent="0.2">
      <c r="A1407" s="24" t="str">
        <f t="shared" si="21"/>
        <v/>
      </c>
    </row>
    <row r="1408" spans="1:1" x14ac:dyDescent="0.2">
      <c r="A1408" s="24" t="str">
        <f t="shared" si="21"/>
        <v/>
      </c>
    </row>
    <row r="1409" spans="1:1" x14ac:dyDescent="0.2">
      <c r="A1409" s="24" t="str">
        <f t="shared" si="21"/>
        <v/>
      </c>
    </row>
    <row r="1410" spans="1:1" x14ac:dyDescent="0.2">
      <c r="A1410" s="24" t="str">
        <f t="shared" si="21"/>
        <v/>
      </c>
    </row>
    <row r="1411" spans="1:1" x14ac:dyDescent="0.2">
      <c r="A1411" s="24" t="str">
        <f t="shared" si="21"/>
        <v/>
      </c>
    </row>
    <row r="1412" spans="1:1" x14ac:dyDescent="0.2">
      <c r="A1412" s="24" t="str">
        <f t="shared" ref="A1412:A1475" si="22">IF(AND(B1411&lt;&gt;"",B1412=""),$A$2&amp;"---&gt;","")</f>
        <v/>
      </c>
    </row>
    <row r="1413" spans="1:1" x14ac:dyDescent="0.2">
      <c r="A1413" s="24" t="str">
        <f t="shared" si="22"/>
        <v/>
      </c>
    </row>
    <row r="1414" spans="1:1" x14ac:dyDescent="0.2">
      <c r="A1414" s="24" t="str">
        <f t="shared" si="22"/>
        <v/>
      </c>
    </row>
    <row r="1415" spans="1:1" x14ac:dyDescent="0.2">
      <c r="A1415" s="24" t="str">
        <f t="shared" si="22"/>
        <v/>
      </c>
    </row>
    <row r="1416" spans="1:1" x14ac:dyDescent="0.2">
      <c r="A1416" s="24" t="str">
        <f t="shared" si="22"/>
        <v/>
      </c>
    </row>
    <row r="1417" spans="1:1" x14ac:dyDescent="0.2">
      <c r="A1417" s="24" t="str">
        <f t="shared" si="22"/>
        <v/>
      </c>
    </row>
    <row r="1418" spans="1:1" x14ac:dyDescent="0.2">
      <c r="A1418" s="24" t="str">
        <f t="shared" si="22"/>
        <v/>
      </c>
    </row>
    <row r="1419" spans="1:1" x14ac:dyDescent="0.2">
      <c r="A1419" s="24" t="str">
        <f t="shared" si="22"/>
        <v/>
      </c>
    </row>
    <row r="1420" spans="1:1" x14ac:dyDescent="0.2">
      <c r="A1420" s="24" t="str">
        <f t="shared" si="22"/>
        <v/>
      </c>
    </row>
    <row r="1421" spans="1:1" x14ac:dyDescent="0.2">
      <c r="A1421" s="24" t="str">
        <f t="shared" si="22"/>
        <v/>
      </c>
    </row>
    <row r="1422" spans="1:1" x14ac:dyDescent="0.2">
      <c r="A1422" s="24" t="str">
        <f t="shared" si="22"/>
        <v/>
      </c>
    </row>
    <row r="1423" spans="1:1" x14ac:dyDescent="0.2">
      <c r="A1423" s="24" t="str">
        <f t="shared" si="22"/>
        <v/>
      </c>
    </row>
    <row r="1424" spans="1:1" x14ac:dyDescent="0.2">
      <c r="A1424" s="24" t="str">
        <f t="shared" si="22"/>
        <v/>
      </c>
    </row>
    <row r="1425" spans="1:1" x14ac:dyDescent="0.2">
      <c r="A1425" s="24" t="str">
        <f t="shared" si="22"/>
        <v/>
      </c>
    </row>
    <row r="1426" spans="1:1" x14ac:dyDescent="0.2">
      <c r="A1426" s="24" t="str">
        <f t="shared" si="22"/>
        <v/>
      </c>
    </row>
    <row r="1427" spans="1:1" x14ac:dyDescent="0.2">
      <c r="A1427" s="24" t="str">
        <f t="shared" si="22"/>
        <v/>
      </c>
    </row>
    <row r="1428" spans="1:1" x14ac:dyDescent="0.2">
      <c r="A1428" s="24" t="str">
        <f t="shared" si="22"/>
        <v/>
      </c>
    </row>
    <row r="1429" spans="1:1" x14ac:dyDescent="0.2">
      <c r="A1429" s="24" t="str">
        <f t="shared" si="22"/>
        <v/>
      </c>
    </row>
    <row r="1430" spans="1:1" x14ac:dyDescent="0.2">
      <c r="A1430" s="24" t="str">
        <f t="shared" si="22"/>
        <v/>
      </c>
    </row>
    <row r="1431" spans="1:1" x14ac:dyDescent="0.2">
      <c r="A1431" s="24" t="str">
        <f t="shared" si="22"/>
        <v/>
      </c>
    </row>
    <row r="1432" spans="1:1" x14ac:dyDescent="0.2">
      <c r="A1432" s="24" t="str">
        <f t="shared" si="22"/>
        <v/>
      </c>
    </row>
    <row r="1433" spans="1:1" x14ac:dyDescent="0.2">
      <c r="A1433" s="24" t="str">
        <f t="shared" si="22"/>
        <v/>
      </c>
    </row>
    <row r="1434" spans="1:1" x14ac:dyDescent="0.2">
      <c r="A1434" s="24" t="str">
        <f t="shared" si="22"/>
        <v/>
      </c>
    </row>
    <row r="1435" spans="1:1" x14ac:dyDescent="0.2">
      <c r="A1435" s="24" t="str">
        <f t="shared" si="22"/>
        <v/>
      </c>
    </row>
    <row r="1436" spans="1:1" x14ac:dyDescent="0.2">
      <c r="A1436" s="24" t="str">
        <f t="shared" si="22"/>
        <v/>
      </c>
    </row>
    <row r="1437" spans="1:1" x14ac:dyDescent="0.2">
      <c r="A1437" s="24" t="str">
        <f t="shared" si="22"/>
        <v/>
      </c>
    </row>
    <row r="1438" spans="1:1" x14ac:dyDescent="0.2">
      <c r="A1438" s="24" t="str">
        <f t="shared" si="22"/>
        <v/>
      </c>
    </row>
    <row r="1439" spans="1:1" x14ac:dyDescent="0.2">
      <c r="A1439" s="24" t="str">
        <f t="shared" si="22"/>
        <v/>
      </c>
    </row>
    <row r="1440" spans="1:1" x14ac:dyDescent="0.2">
      <c r="A1440" s="24" t="str">
        <f t="shared" si="22"/>
        <v/>
      </c>
    </row>
    <row r="1441" spans="1:1" x14ac:dyDescent="0.2">
      <c r="A1441" s="24" t="str">
        <f t="shared" si="22"/>
        <v/>
      </c>
    </row>
    <row r="1442" spans="1:1" x14ac:dyDescent="0.2">
      <c r="A1442" s="24" t="str">
        <f t="shared" si="22"/>
        <v/>
      </c>
    </row>
    <row r="1443" spans="1:1" x14ac:dyDescent="0.2">
      <c r="A1443" s="24" t="str">
        <f t="shared" si="22"/>
        <v/>
      </c>
    </row>
    <row r="1444" spans="1:1" x14ac:dyDescent="0.2">
      <c r="A1444" s="24" t="str">
        <f t="shared" si="22"/>
        <v/>
      </c>
    </row>
    <row r="1445" spans="1:1" x14ac:dyDescent="0.2">
      <c r="A1445" s="24" t="str">
        <f t="shared" si="22"/>
        <v/>
      </c>
    </row>
    <row r="1446" spans="1:1" x14ac:dyDescent="0.2">
      <c r="A1446" s="24" t="str">
        <f t="shared" si="22"/>
        <v/>
      </c>
    </row>
    <row r="1447" spans="1:1" x14ac:dyDescent="0.2">
      <c r="A1447" s="24" t="str">
        <f t="shared" si="22"/>
        <v/>
      </c>
    </row>
    <row r="1448" spans="1:1" x14ac:dyDescent="0.2">
      <c r="A1448" s="24" t="str">
        <f t="shared" si="22"/>
        <v/>
      </c>
    </row>
    <row r="1449" spans="1:1" x14ac:dyDescent="0.2">
      <c r="A1449" s="24" t="str">
        <f t="shared" si="22"/>
        <v/>
      </c>
    </row>
    <row r="1450" spans="1:1" x14ac:dyDescent="0.2">
      <c r="A1450" s="24" t="str">
        <f t="shared" si="22"/>
        <v/>
      </c>
    </row>
    <row r="1451" spans="1:1" x14ac:dyDescent="0.2">
      <c r="A1451" s="24" t="str">
        <f t="shared" si="22"/>
        <v/>
      </c>
    </row>
    <row r="1452" spans="1:1" x14ac:dyDescent="0.2">
      <c r="A1452" s="24" t="str">
        <f t="shared" si="22"/>
        <v/>
      </c>
    </row>
    <row r="1453" spans="1:1" x14ac:dyDescent="0.2">
      <c r="A1453" s="24" t="str">
        <f t="shared" si="22"/>
        <v/>
      </c>
    </row>
    <row r="1454" spans="1:1" x14ac:dyDescent="0.2">
      <c r="A1454" s="24" t="str">
        <f t="shared" si="22"/>
        <v/>
      </c>
    </row>
    <row r="1455" spans="1:1" x14ac:dyDescent="0.2">
      <c r="A1455" s="24" t="str">
        <f t="shared" si="22"/>
        <v/>
      </c>
    </row>
    <row r="1456" spans="1:1" x14ac:dyDescent="0.2">
      <c r="A1456" s="24" t="str">
        <f t="shared" si="22"/>
        <v/>
      </c>
    </row>
    <row r="1457" spans="1:1" x14ac:dyDescent="0.2">
      <c r="A1457" s="24" t="str">
        <f t="shared" si="22"/>
        <v/>
      </c>
    </row>
    <row r="1458" spans="1:1" x14ac:dyDescent="0.2">
      <c r="A1458" s="24" t="str">
        <f t="shared" si="22"/>
        <v/>
      </c>
    </row>
    <row r="1459" spans="1:1" x14ac:dyDescent="0.2">
      <c r="A1459" s="24" t="str">
        <f t="shared" si="22"/>
        <v/>
      </c>
    </row>
    <row r="1460" spans="1:1" x14ac:dyDescent="0.2">
      <c r="A1460" s="24" t="str">
        <f t="shared" si="22"/>
        <v/>
      </c>
    </row>
    <row r="1461" spans="1:1" x14ac:dyDescent="0.2">
      <c r="A1461" s="24" t="str">
        <f t="shared" si="22"/>
        <v/>
      </c>
    </row>
    <row r="1462" spans="1:1" x14ac:dyDescent="0.2">
      <c r="A1462" s="24" t="str">
        <f t="shared" si="22"/>
        <v/>
      </c>
    </row>
    <row r="1463" spans="1:1" x14ac:dyDescent="0.2">
      <c r="A1463" s="24" t="str">
        <f t="shared" si="22"/>
        <v/>
      </c>
    </row>
    <row r="1464" spans="1:1" x14ac:dyDescent="0.2">
      <c r="A1464" s="24" t="str">
        <f t="shared" si="22"/>
        <v/>
      </c>
    </row>
    <row r="1465" spans="1:1" x14ac:dyDescent="0.2">
      <c r="A1465" s="24" t="str">
        <f t="shared" si="22"/>
        <v/>
      </c>
    </row>
    <row r="1466" spans="1:1" x14ac:dyDescent="0.2">
      <c r="A1466" s="24" t="str">
        <f t="shared" si="22"/>
        <v/>
      </c>
    </row>
    <row r="1467" spans="1:1" x14ac:dyDescent="0.2">
      <c r="A1467" s="24" t="str">
        <f t="shared" si="22"/>
        <v/>
      </c>
    </row>
    <row r="1468" spans="1:1" x14ac:dyDescent="0.2">
      <c r="A1468" s="24" t="str">
        <f t="shared" si="22"/>
        <v/>
      </c>
    </row>
    <row r="1469" spans="1:1" x14ac:dyDescent="0.2">
      <c r="A1469" s="24" t="str">
        <f t="shared" si="22"/>
        <v/>
      </c>
    </row>
    <row r="1470" spans="1:1" x14ac:dyDescent="0.2">
      <c r="A1470" s="24" t="str">
        <f t="shared" si="22"/>
        <v/>
      </c>
    </row>
    <row r="1471" spans="1:1" x14ac:dyDescent="0.2">
      <c r="A1471" s="24" t="str">
        <f t="shared" si="22"/>
        <v/>
      </c>
    </row>
    <row r="1472" spans="1:1" x14ac:dyDescent="0.2">
      <c r="A1472" s="24" t="str">
        <f t="shared" si="22"/>
        <v/>
      </c>
    </row>
    <row r="1473" spans="1:1" x14ac:dyDescent="0.2">
      <c r="A1473" s="24" t="str">
        <f t="shared" si="22"/>
        <v/>
      </c>
    </row>
    <row r="1474" spans="1:1" x14ac:dyDescent="0.2">
      <c r="A1474" s="24" t="str">
        <f t="shared" si="22"/>
        <v/>
      </c>
    </row>
    <row r="1475" spans="1:1" x14ac:dyDescent="0.2">
      <c r="A1475" s="24" t="str">
        <f t="shared" si="22"/>
        <v/>
      </c>
    </row>
    <row r="1476" spans="1:1" x14ac:dyDescent="0.2">
      <c r="A1476" s="24" t="str">
        <f t="shared" ref="A1476:A1539" si="23">IF(AND(B1475&lt;&gt;"",B1476=""),$A$2&amp;"---&gt;","")</f>
        <v/>
      </c>
    </row>
    <row r="1477" spans="1:1" x14ac:dyDescent="0.2">
      <c r="A1477" s="24" t="str">
        <f t="shared" si="23"/>
        <v/>
      </c>
    </row>
    <row r="1478" spans="1:1" x14ac:dyDescent="0.2">
      <c r="A1478" s="24" t="str">
        <f t="shared" si="23"/>
        <v/>
      </c>
    </row>
    <row r="1479" spans="1:1" x14ac:dyDescent="0.2">
      <c r="A1479" s="24" t="str">
        <f t="shared" si="23"/>
        <v/>
      </c>
    </row>
    <row r="1480" spans="1:1" x14ac:dyDescent="0.2">
      <c r="A1480" s="24" t="str">
        <f t="shared" si="23"/>
        <v/>
      </c>
    </row>
    <row r="1481" spans="1:1" x14ac:dyDescent="0.2">
      <c r="A1481" s="24" t="str">
        <f t="shared" si="23"/>
        <v/>
      </c>
    </row>
    <row r="1482" spans="1:1" x14ac:dyDescent="0.2">
      <c r="A1482" s="24" t="str">
        <f t="shared" si="23"/>
        <v/>
      </c>
    </row>
    <row r="1483" spans="1:1" x14ac:dyDescent="0.2">
      <c r="A1483" s="24" t="str">
        <f t="shared" si="23"/>
        <v/>
      </c>
    </row>
    <row r="1484" spans="1:1" x14ac:dyDescent="0.2">
      <c r="A1484" s="24" t="str">
        <f t="shared" si="23"/>
        <v/>
      </c>
    </row>
    <row r="1485" spans="1:1" x14ac:dyDescent="0.2">
      <c r="A1485" s="24" t="str">
        <f t="shared" si="23"/>
        <v/>
      </c>
    </row>
    <row r="1486" spans="1:1" x14ac:dyDescent="0.2">
      <c r="A1486" s="24" t="str">
        <f t="shared" si="23"/>
        <v/>
      </c>
    </row>
    <row r="1487" spans="1:1" x14ac:dyDescent="0.2">
      <c r="A1487" s="24" t="str">
        <f t="shared" si="23"/>
        <v/>
      </c>
    </row>
    <row r="1488" spans="1:1" x14ac:dyDescent="0.2">
      <c r="A1488" s="24" t="str">
        <f t="shared" si="23"/>
        <v/>
      </c>
    </row>
    <row r="1489" spans="1:1" x14ac:dyDescent="0.2">
      <c r="A1489" s="24" t="str">
        <f t="shared" si="23"/>
        <v/>
      </c>
    </row>
    <row r="1490" spans="1:1" x14ac:dyDescent="0.2">
      <c r="A1490" s="24" t="str">
        <f t="shared" si="23"/>
        <v/>
      </c>
    </row>
    <row r="1491" spans="1:1" x14ac:dyDescent="0.2">
      <c r="A1491" s="24" t="str">
        <f t="shared" si="23"/>
        <v/>
      </c>
    </row>
    <row r="1492" spans="1:1" x14ac:dyDescent="0.2">
      <c r="A1492" s="24" t="str">
        <f t="shared" si="23"/>
        <v/>
      </c>
    </row>
    <row r="1493" spans="1:1" x14ac:dyDescent="0.2">
      <c r="A1493" s="24" t="str">
        <f t="shared" si="23"/>
        <v/>
      </c>
    </row>
    <row r="1494" spans="1:1" x14ac:dyDescent="0.2">
      <c r="A1494" s="24" t="str">
        <f t="shared" si="23"/>
        <v/>
      </c>
    </row>
    <row r="1495" spans="1:1" x14ac:dyDescent="0.2">
      <c r="A1495" s="24" t="str">
        <f t="shared" si="23"/>
        <v/>
      </c>
    </row>
    <row r="1496" spans="1:1" x14ac:dyDescent="0.2">
      <c r="A1496" s="24" t="str">
        <f t="shared" si="23"/>
        <v/>
      </c>
    </row>
    <row r="1497" spans="1:1" x14ac:dyDescent="0.2">
      <c r="A1497" s="24" t="str">
        <f t="shared" si="23"/>
        <v/>
      </c>
    </row>
    <row r="1498" spans="1:1" x14ac:dyDescent="0.2">
      <c r="A1498" s="24" t="str">
        <f t="shared" si="23"/>
        <v/>
      </c>
    </row>
    <row r="1499" spans="1:1" x14ac:dyDescent="0.2">
      <c r="A1499" s="24" t="str">
        <f t="shared" si="23"/>
        <v/>
      </c>
    </row>
    <row r="1500" spans="1:1" x14ac:dyDescent="0.2">
      <c r="A1500" s="24" t="str">
        <f t="shared" si="23"/>
        <v/>
      </c>
    </row>
    <row r="1501" spans="1:1" x14ac:dyDescent="0.2">
      <c r="A1501" s="24" t="str">
        <f t="shared" si="23"/>
        <v/>
      </c>
    </row>
    <row r="1502" spans="1:1" x14ac:dyDescent="0.2">
      <c r="A1502" s="24" t="str">
        <f t="shared" si="23"/>
        <v/>
      </c>
    </row>
    <row r="1503" spans="1:1" x14ac:dyDescent="0.2">
      <c r="A1503" s="24" t="str">
        <f t="shared" si="23"/>
        <v/>
      </c>
    </row>
    <row r="1504" spans="1:1" x14ac:dyDescent="0.2">
      <c r="A1504" s="24" t="str">
        <f t="shared" si="23"/>
        <v/>
      </c>
    </row>
    <row r="1505" spans="1:1" x14ac:dyDescent="0.2">
      <c r="A1505" s="24" t="str">
        <f t="shared" si="23"/>
        <v/>
      </c>
    </row>
    <row r="1506" spans="1:1" x14ac:dyDescent="0.2">
      <c r="A1506" s="24" t="str">
        <f t="shared" si="23"/>
        <v/>
      </c>
    </row>
    <row r="1507" spans="1:1" x14ac:dyDescent="0.2">
      <c r="A1507" s="24" t="str">
        <f t="shared" si="23"/>
        <v/>
      </c>
    </row>
    <row r="1508" spans="1:1" x14ac:dyDescent="0.2">
      <c r="A1508" s="24" t="str">
        <f t="shared" si="23"/>
        <v/>
      </c>
    </row>
    <row r="1509" spans="1:1" x14ac:dyDescent="0.2">
      <c r="A1509" s="24" t="str">
        <f t="shared" si="23"/>
        <v/>
      </c>
    </row>
    <row r="1510" spans="1:1" x14ac:dyDescent="0.2">
      <c r="A1510" s="24" t="str">
        <f t="shared" si="23"/>
        <v/>
      </c>
    </row>
    <row r="1511" spans="1:1" x14ac:dyDescent="0.2">
      <c r="A1511" s="24" t="str">
        <f t="shared" si="23"/>
        <v/>
      </c>
    </row>
    <row r="1512" spans="1:1" x14ac:dyDescent="0.2">
      <c r="A1512" s="24" t="str">
        <f t="shared" si="23"/>
        <v/>
      </c>
    </row>
    <row r="1513" spans="1:1" x14ac:dyDescent="0.2">
      <c r="A1513" s="24" t="str">
        <f t="shared" si="23"/>
        <v/>
      </c>
    </row>
    <row r="1514" spans="1:1" x14ac:dyDescent="0.2">
      <c r="A1514" s="24" t="str">
        <f t="shared" si="23"/>
        <v/>
      </c>
    </row>
    <row r="1515" spans="1:1" x14ac:dyDescent="0.2">
      <c r="A1515" s="24" t="str">
        <f t="shared" si="23"/>
        <v/>
      </c>
    </row>
    <row r="1516" spans="1:1" x14ac:dyDescent="0.2">
      <c r="A1516" s="24" t="str">
        <f t="shared" si="23"/>
        <v/>
      </c>
    </row>
    <row r="1517" spans="1:1" x14ac:dyDescent="0.2">
      <c r="A1517" s="24" t="str">
        <f t="shared" si="23"/>
        <v/>
      </c>
    </row>
    <row r="1518" spans="1:1" x14ac:dyDescent="0.2">
      <c r="A1518" s="24" t="str">
        <f t="shared" si="23"/>
        <v/>
      </c>
    </row>
    <row r="1519" spans="1:1" x14ac:dyDescent="0.2">
      <c r="A1519" s="24" t="str">
        <f t="shared" si="23"/>
        <v/>
      </c>
    </row>
    <row r="1520" spans="1:1" x14ac:dyDescent="0.2">
      <c r="A1520" s="24" t="str">
        <f t="shared" si="23"/>
        <v/>
      </c>
    </row>
    <row r="1521" spans="1:1" x14ac:dyDescent="0.2">
      <c r="A1521" s="24" t="str">
        <f t="shared" si="23"/>
        <v/>
      </c>
    </row>
    <row r="1522" spans="1:1" x14ac:dyDescent="0.2">
      <c r="A1522" s="24" t="str">
        <f t="shared" si="23"/>
        <v/>
      </c>
    </row>
    <row r="1523" spans="1:1" x14ac:dyDescent="0.2">
      <c r="A1523" s="24" t="str">
        <f t="shared" si="23"/>
        <v/>
      </c>
    </row>
    <row r="1524" spans="1:1" x14ac:dyDescent="0.2">
      <c r="A1524" s="24" t="str">
        <f t="shared" si="23"/>
        <v/>
      </c>
    </row>
    <row r="1525" spans="1:1" x14ac:dyDescent="0.2">
      <c r="A1525" s="24" t="str">
        <f t="shared" si="23"/>
        <v/>
      </c>
    </row>
    <row r="1526" spans="1:1" x14ac:dyDescent="0.2">
      <c r="A1526" s="24" t="str">
        <f t="shared" si="23"/>
        <v/>
      </c>
    </row>
    <row r="1527" spans="1:1" x14ac:dyDescent="0.2">
      <c r="A1527" s="24" t="str">
        <f t="shared" si="23"/>
        <v/>
      </c>
    </row>
    <row r="1528" spans="1:1" x14ac:dyDescent="0.2">
      <c r="A1528" s="24" t="str">
        <f t="shared" si="23"/>
        <v/>
      </c>
    </row>
    <row r="1529" spans="1:1" x14ac:dyDescent="0.2">
      <c r="A1529" s="24" t="str">
        <f t="shared" si="23"/>
        <v/>
      </c>
    </row>
    <row r="1530" spans="1:1" x14ac:dyDescent="0.2">
      <c r="A1530" s="24" t="str">
        <f t="shared" si="23"/>
        <v/>
      </c>
    </row>
    <row r="1531" spans="1:1" x14ac:dyDescent="0.2">
      <c r="A1531" s="24" t="str">
        <f t="shared" si="23"/>
        <v/>
      </c>
    </row>
    <row r="1532" spans="1:1" x14ac:dyDescent="0.2">
      <c r="A1532" s="24" t="str">
        <f t="shared" si="23"/>
        <v/>
      </c>
    </row>
    <row r="1533" spans="1:1" x14ac:dyDescent="0.2">
      <c r="A1533" s="24" t="str">
        <f t="shared" si="23"/>
        <v/>
      </c>
    </row>
    <row r="1534" spans="1:1" x14ac:dyDescent="0.2">
      <c r="A1534" s="24" t="str">
        <f t="shared" si="23"/>
        <v/>
      </c>
    </row>
    <row r="1535" spans="1:1" x14ac:dyDescent="0.2">
      <c r="A1535" s="24" t="str">
        <f t="shared" si="23"/>
        <v/>
      </c>
    </row>
    <row r="1536" spans="1:1" x14ac:dyDescent="0.2">
      <c r="A1536" s="24" t="str">
        <f t="shared" si="23"/>
        <v/>
      </c>
    </row>
    <row r="1537" spans="1:1" x14ac:dyDescent="0.2">
      <c r="A1537" s="24" t="str">
        <f t="shared" si="23"/>
        <v/>
      </c>
    </row>
    <row r="1538" spans="1:1" x14ac:dyDescent="0.2">
      <c r="A1538" s="24" t="str">
        <f t="shared" si="23"/>
        <v/>
      </c>
    </row>
    <row r="1539" spans="1:1" x14ac:dyDescent="0.2">
      <c r="A1539" s="24" t="str">
        <f t="shared" si="23"/>
        <v/>
      </c>
    </row>
    <row r="1540" spans="1:1" x14ac:dyDescent="0.2">
      <c r="A1540" s="24" t="str">
        <f t="shared" ref="A1540:A1603" si="24">IF(AND(B1539&lt;&gt;"",B1540=""),$A$2&amp;"---&gt;","")</f>
        <v/>
      </c>
    </row>
    <row r="1541" spans="1:1" x14ac:dyDescent="0.2">
      <c r="A1541" s="24" t="str">
        <f t="shared" si="24"/>
        <v/>
      </c>
    </row>
    <row r="1542" spans="1:1" x14ac:dyDescent="0.2">
      <c r="A1542" s="24" t="str">
        <f t="shared" si="24"/>
        <v/>
      </c>
    </row>
    <row r="1543" spans="1:1" x14ac:dyDescent="0.2">
      <c r="A1543" s="24" t="str">
        <f t="shared" si="24"/>
        <v/>
      </c>
    </row>
    <row r="1544" spans="1:1" x14ac:dyDescent="0.2">
      <c r="A1544" s="24" t="str">
        <f t="shared" si="24"/>
        <v/>
      </c>
    </row>
    <row r="1545" spans="1:1" x14ac:dyDescent="0.2">
      <c r="A1545" s="24" t="str">
        <f t="shared" si="24"/>
        <v/>
      </c>
    </row>
    <row r="1546" spans="1:1" x14ac:dyDescent="0.2">
      <c r="A1546" s="24" t="str">
        <f t="shared" si="24"/>
        <v/>
      </c>
    </row>
    <row r="1547" spans="1:1" x14ac:dyDescent="0.2">
      <c r="A1547" s="24" t="str">
        <f t="shared" si="24"/>
        <v/>
      </c>
    </row>
    <row r="1548" spans="1:1" x14ac:dyDescent="0.2">
      <c r="A1548" s="24" t="str">
        <f t="shared" si="24"/>
        <v/>
      </c>
    </row>
    <row r="1549" spans="1:1" x14ac:dyDescent="0.2">
      <c r="A1549" s="24" t="str">
        <f t="shared" si="24"/>
        <v/>
      </c>
    </row>
    <row r="1550" spans="1:1" x14ac:dyDescent="0.2">
      <c r="A1550" s="24" t="str">
        <f t="shared" si="24"/>
        <v/>
      </c>
    </row>
    <row r="1551" spans="1:1" x14ac:dyDescent="0.2">
      <c r="A1551" s="24" t="str">
        <f t="shared" si="24"/>
        <v/>
      </c>
    </row>
    <row r="1552" spans="1:1" x14ac:dyDescent="0.2">
      <c r="A1552" s="24" t="str">
        <f t="shared" si="24"/>
        <v/>
      </c>
    </row>
    <row r="1553" spans="1:1" x14ac:dyDescent="0.2">
      <c r="A1553" s="24" t="str">
        <f t="shared" si="24"/>
        <v/>
      </c>
    </row>
    <row r="1554" spans="1:1" x14ac:dyDescent="0.2">
      <c r="A1554" s="24" t="str">
        <f t="shared" si="24"/>
        <v/>
      </c>
    </row>
    <row r="1555" spans="1:1" x14ac:dyDescent="0.2">
      <c r="A1555" s="24" t="str">
        <f t="shared" si="24"/>
        <v/>
      </c>
    </row>
    <row r="1556" spans="1:1" x14ac:dyDescent="0.2">
      <c r="A1556" s="24" t="str">
        <f t="shared" si="24"/>
        <v/>
      </c>
    </row>
    <row r="1557" spans="1:1" x14ac:dyDescent="0.2">
      <c r="A1557" s="24" t="str">
        <f t="shared" si="24"/>
        <v/>
      </c>
    </row>
    <row r="1558" spans="1:1" x14ac:dyDescent="0.2">
      <c r="A1558" s="24" t="str">
        <f t="shared" si="24"/>
        <v/>
      </c>
    </row>
    <row r="1559" spans="1:1" x14ac:dyDescent="0.2">
      <c r="A1559" s="24" t="str">
        <f t="shared" si="24"/>
        <v/>
      </c>
    </row>
    <row r="1560" spans="1:1" x14ac:dyDescent="0.2">
      <c r="A1560" s="24" t="str">
        <f t="shared" si="24"/>
        <v/>
      </c>
    </row>
    <row r="1561" spans="1:1" x14ac:dyDescent="0.2">
      <c r="A1561" s="24" t="str">
        <f t="shared" si="24"/>
        <v/>
      </c>
    </row>
    <row r="1562" spans="1:1" x14ac:dyDescent="0.2">
      <c r="A1562" s="24" t="str">
        <f t="shared" si="24"/>
        <v/>
      </c>
    </row>
    <row r="1563" spans="1:1" x14ac:dyDescent="0.2">
      <c r="A1563" s="24" t="str">
        <f t="shared" si="24"/>
        <v/>
      </c>
    </row>
    <row r="1564" spans="1:1" x14ac:dyDescent="0.2">
      <c r="A1564" s="24" t="str">
        <f t="shared" si="24"/>
        <v/>
      </c>
    </row>
    <row r="1565" spans="1:1" x14ac:dyDescent="0.2">
      <c r="A1565" s="24" t="str">
        <f t="shared" si="24"/>
        <v/>
      </c>
    </row>
    <row r="1566" spans="1:1" x14ac:dyDescent="0.2">
      <c r="A1566" s="24" t="str">
        <f t="shared" si="24"/>
        <v/>
      </c>
    </row>
    <row r="1567" spans="1:1" x14ac:dyDescent="0.2">
      <c r="A1567" s="24" t="str">
        <f t="shared" si="24"/>
        <v/>
      </c>
    </row>
    <row r="1568" spans="1:1" x14ac:dyDescent="0.2">
      <c r="A1568" s="24" t="str">
        <f t="shared" si="24"/>
        <v/>
      </c>
    </row>
    <row r="1569" spans="1:1" x14ac:dyDescent="0.2">
      <c r="A1569" s="24" t="str">
        <f t="shared" si="24"/>
        <v/>
      </c>
    </row>
    <row r="1570" spans="1:1" x14ac:dyDescent="0.2">
      <c r="A1570" s="24" t="str">
        <f t="shared" si="24"/>
        <v/>
      </c>
    </row>
    <row r="1571" spans="1:1" x14ac:dyDescent="0.2">
      <c r="A1571" s="24" t="str">
        <f t="shared" si="24"/>
        <v/>
      </c>
    </row>
    <row r="1572" spans="1:1" x14ac:dyDescent="0.2">
      <c r="A1572" s="24" t="str">
        <f t="shared" si="24"/>
        <v/>
      </c>
    </row>
    <row r="1573" spans="1:1" x14ac:dyDescent="0.2">
      <c r="A1573" s="24" t="str">
        <f t="shared" si="24"/>
        <v/>
      </c>
    </row>
    <row r="1574" spans="1:1" x14ac:dyDescent="0.2">
      <c r="A1574" s="24" t="str">
        <f t="shared" si="24"/>
        <v/>
      </c>
    </row>
    <row r="1575" spans="1:1" x14ac:dyDescent="0.2">
      <c r="A1575" s="24" t="str">
        <f t="shared" si="24"/>
        <v/>
      </c>
    </row>
    <row r="1576" spans="1:1" x14ac:dyDescent="0.2">
      <c r="A1576" s="24" t="str">
        <f t="shared" si="24"/>
        <v/>
      </c>
    </row>
    <row r="1577" spans="1:1" x14ac:dyDescent="0.2">
      <c r="A1577" s="24" t="str">
        <f t="shared" si="24"/>
        <v/>
      </c>
    </row>
    <row r="1578" spans="1:1" x14ac:dyDescent="0.2">
      <c r="A1578" s="24" t="str">
        <f t="shared" si="24"/>
        <v/>
      </c>
    </row>
    <row r="1579" spans="1:1" x14ac:dyDescent="0.2">
      <c r="A1579" s="24" t="str">
        <f t="shared" si="24"/>
        <v/>
      </c>
    </row>
    <row r="1580" spans="1:1" x14ac:dyDescent="0.2">
      <c r="A1580" s="24" t="str">
        <f t="shared" si="24"/>
        <v/>
      </c>
    </row>
    <row r="1581" spans="1:1" x14ac:dyDescent="0.2">
      <c r="A1581" s="24" t="str">
        <f t="shared" si="24"/>
        <v/>
      </c>
    </row>
    <row r="1582" spans="1:1" x14ac:dyDescent="0.2">
      <c r="A1582" s="24" t="str">
        <f t="shared" si="24"/>
        <v/>
      </c>
    </row>
    <row r="1583" spans="1:1" x14ac:dyDescent="0.2">
      <c r="A1583" s="24" t="str">
        <f t="shared" si="24"/>
        <v/>
      </c>
    </row>
    <row r="1584" spans="1:1" x14ac:dyDescent="0.2">
      <c r="A1584" s="24" t="str">
        <f t="shared" si="24"/>
        <v/>
      </c>
    </row>
    <row r="1585" spans="1:1" x14ac:dyDescent="0.2">
      <c r="A1585" s="24" t="str">
        <f t="shared" si="24"/>
        <v/>
      </c>
    </row>
    <row r="1586" spans="1:1" x14ac:dyDescent="0.2">
      <c r="A1586" s="24" t="str">
        <f t="shared" si="24"/>
        <v/>
      </c>
    </row>
    <row r="1587" spans="1:1" x14ac:dyDescent="0.2">
      <c r="A1587" s="24" t="str">
        <f t="shared" si="24"/>
        <v/>
      </c>
    </row>
    <row r="1588" spans="1:1" x14ac:dyDescent="0.2">
      <c r="A1588" s="24" t="str">
        <f t="shared" si="24"/>
        <v/>
      </c>
    </row>
    <row r="1589" spans="1:1" x14ac:dyDescent="0.2">
      <c r="A1589" s="24" t="str">
        <f t="shared" si="24"/>
        <v/>
      </c>
    </row>
    <row r="1590" spans="1:1" x14ac:dyDescent="0.2">
      <c r="A1590" s="24" t="str">
        <f t="shared" si="24"/>
        <v/>
      </c>
    </row>
    <row r="1591" spans="1:1" x14ac:dyDescent="0.2">
      <c r="A1591" s="24" t="str">
        <f t="shared" si="24"/>
        <v/>
      </c>
    </row>
    <row r="1592" spans="1:1" x14ac:dyDescent="0.2">
      <c r="A1592" s="24" t="str">
        <f t="shared" si="24"/>
        <v/>
      </c>
    </row>
    <row r="1593" spans="1:1" x14ac:dyDescent="0.2">
      <c r="A1593" s="24" t="str">
        <f t="shared" si="24"/>
        <v/>
      </c>
    </row>
    <row r="1594" spans="1:1" x14ac:dyDescent="0.2">
      <c r="A1594" s="24" t="str">
        <f t="shared" si="24"/>
        <v/>
      </c>
    </row>
    <row r="1595" spans="1:1" x14ac:dyDescent="0.2">
      <c r="A1595" s="24" t="str">
        <f t="shared" si="24"/>
        <v/>
      </c>
    </row>
    <row r="1596" spans="1:1" x14ac:dyDescent="0.2">
      <c r="A1596" s="24" t="str">
        <f t="shared" si="24"/>
        <v/>
      </c>
    </row>
    <row r="1597" spans="1:1" x14ac:dyDescent="0.2">
      <c r="A1597" s="24" t="str">
        <f t="shared" si="24"/>
        <v/>
      </c>
    </row>
    <row r="1598" spans="1:1" x14ac:dyDescent="0.2">
      <c r="A1598" s="24" t="str">
        <f t="shared" si="24"/>
        <v/>
      </c>
    </row>
    <row r="1599" spans="1:1" x14ac:dyDescent="0.2">
      <c r="A1599" s="24" t="str">
        <f t="shared" si="24"/>
        <v/>
      </c>
    </row>
    <row r="1600" spans="1:1" x14ac:dyDescent="0.2">
      <c r="A1600" s="24" t="str">
        <f t="shared" si="24"/>
        <v/>
      </c>
    </row>
    <row r="1601" spans="1:1" x14ac:dyDescent="0.2">
      <c r="A1601" s="24" t="str">
        <f t="shared" si="24"/>
        <v/>
      </c>
    </row>
    <row r="1602" spans="1:1" x14ac:dyDescent="0.2">
      <c r="A1602" s="24" t="str">
        <f t="shared" si="24"/>
        <v/>
      </c>
    </row>
    <row r="1603" spans="1:1" x14ac:dyDescent="0.2">
      <c r="A1603" s="24" t="str">
        <f t="shared" si="24"/>
        <v/>
      </c>
    </row>
    <row r="1604" spans="1:1" x14ac:dyDescent="0.2">
      <c r="A1604" s="24" t="str">
        <f t="shared" ref="A1604:A1667" si="25">IF(AND(B1603&lt;&gt;"",B1604=""),$A$2&amp;"---&gt;","")</f>
        <v/>
      </c>
    </row>
    <row r="1605" spans="1:1" x14ac:dyDescent="0.2">
      <c r="A1605" s="24" t="str">
        <f t="shared" si="25"/>
        <v/>
      </c>
    </row>
    <row r="1606" spans="1:1" x14ac:dyDescent="0.2">
      <c r="A1606" s="24" t="str">
        <f t="shared" si="25"/>
        <v/>
      </c>
    </row>
    <row r="1607" spans="1:1" x14ac:dyDescent="0.2">
      <c r="A1607" s="24" t="str">
        <f t="shared" si="25"/>
        <v/>
      </c>
    </row>
    <row r="1608" spans="1:1" x14ac:dyDescent="0.2">
      <c r="A1608" s="24" t="str">
        <f t="shared" si="25"/>
        <v/>
      </c>
    </row>
    <row r="1609" spans="1:1" x14ac:dyDescent="0.2">
      <c r="A1609" s="24" t="str">
        <f t="shared" si="25"/>
        <v/>
      </c>
    </row>
    <row r="1610" spans="1:1" x14ac:dyDescent="0.2">
      <c r="A1610" s="24" t="str">
        <f t="shared" si="25"/>
        <v/>
      </c>
    </row>
    <row r="1611" spans="1:1" x14ac:dyDescent="0.2">
      <c r="A1611" s="24" t="str">
        <f t="shared" si="25"/>
        <v/>
      </c>
    </row>
    <row r="1612" spans="1:1" x14ac:dyDescent="0.2">
      <c r="A1612" s="24" t="str">
        <f t="shared" si="25"/>
        <v/>
      </c>
    </row>
    <row r="1613" spans="1:1" x14ac:dyDescent="0.2">
      <c r="A1613" s="24" t="str">
        <f t="shared" si="25"/>
        <v/>
      </c>
    </row>
    <row r="1614" spans="1:1" x14ac:dyDescent="0.2">
      <c r="A1614" s="24" t="str">
        <f t="shared" si="25"/>
        <v/>
      </c>
    </row>
    <row r="1615" spans="1:1" x14ac:dyDescent="0.2">
      <c r="A1615" s="24" t="str">
        <f t="shared" si="25"/>
        <v/>
      </c>
    </row>
    <row r="1616" spans="1:1" x14ac:dyDescent="0.2">
      <c r="A1616" s="24" t="str">
        <f t="shared" si="25"/>
        <v/>
      </c>
    </row>
    <row r="1617" spans="1:1" x14ac:dyDescent="0.2">
      <c r="A1617" s="24" t="str">
        <f t="shared" si="25"/>
        <v/>
      </c>
    </row>
    <row r="1618" spans="1:1" x14ac:dyDescent="0.2">
      <c r="A1618" s="24" t="str">
        <f t="shared" si="25"/>
        <v/>
      </c>
    </row>
    <row r="1619" spans="1:1" x14ac:dyDescent="0.2">
      <c r="A1619" s="24" t="str">
        <f t="shared" si="25"/>
        <v/>
      </c>
    </row>
    <row r="1620" spans="1:1" x14ac:dyDescent="0.2">
      <c r="A1620" s="24" t="str">
        <f t="shared" si="25"/>
        <v/>
      </c>
    </row>
    <row r="1621" spans="1:1" x14ac:dyDescent="0.2">
      <c r="A1621" s="24" t="str">
        <f t="shared" si="25"/>
        <v/>
      </c>
    </row>
    <row r="1622" spans="1:1" x14ac:dyDescent="0.2">
      <c r="A1622" s="24" t="str">
        <f t="shared" si="25"/>
        <v/>
      </c>
    </row>
    <row r="1623" spans="1:1" x14ac:dyDescent="0.2">
      <c r="A1623" s="24" t="str">
        <f t="shared" si="25"/>
        <v/>
      </c>
    </row>
    <row r="1624" spans="1:1" x14ac:dyDescent="0.2">
      <c r="A1624" s="24" t="str">
        <f t="shared" si="25"/>
        <v/>
      </c>
    </row>
    <row r="1625" spans="1:1" x14ac:dyDescent="0.2">
      <c r="A1625" s="24" t="str">
        <f t="shared" si="25"/>
        <v/>
      </c>
    </row>
    <row r="1626" spans="1:1" x14ac:dyDescent="0.2">
      <c r="A1626" s="24" t="str">
        <f t="shared" si="25"/>
        <v/>
      </c>
    </row>
    <row r="1627" spans="1:1" x14ac:dyDescent="0.2">
      <c r="A1627" s="24" t="str">
        <f t="shared" si="25"/>
        <v/>
      </c>
    </row>
    <row r="1628" spans="1:1" x14ac:dyDescent="0.2">
      <c r="A1628" s="24" t="str">
        <f t="shared" si="25"/>
        <v/>
      </c>
    </row>
    <row r="1629" spans="1:1" x14ac:dyDescent="0.2">
      <c r="A1629" s="24" t="str">
        <f t="shared" si="25"/>
        <v/>
      </c>
    </row>
    <row r="1630" spans="1:1" x14ac:dyDescent="0.2">
      <c r="A1630" s="24" t="str">
        <f t="shared" si="25"/>
        <v/>
      </c>
    </row>
    <row r="1631" spans="1:1" x14ac:dyDescent="0.2">
      <c r="A1631" s="24" t="str">
        <f t="shared" si="25"/>
        <v/>
      </c>
    </row>
    <row r="1632" spans="1:1" x14ac:dyDescent="0.2">
      <c r="A1632" s="24" t="str">
        <f t="shared" si="25"/>
        <v/>
      </c>
    </row>
    <row r="1633" spans="1:1" x14ac:dyDescent="0.2">
      <c r="A1633" s="24" t="str">
        <f t="shared" si="25"/>
        <v/>
      </c>
    </row>
    <row r="1634" spans="1:1" x14ac:dyDescent="0.2">
      <c r="A1634" s="24" t="str">
        <f t="shared" si="25"/>
        <v/>
      </c>
    </row>
    <row r="1635" spans="1:1" x14ac:dyDescent="0.2">
      <c r="A1635" s="24" t="str">
        <f t="shared" si="25"/>
        <v/>
      </c>
    </row>
    <row r="1636" spans="1:1" x14ac:dyDescent="0.2">
      <c r="A1636" s="24" t="str">
        <f t="shared" si="25"/>
        <v/>
      </c>
    </row>
    <row r="1637" spans="1:1" x14ac:dyDescent="0.2">
      <c r="A1637" s="24" t="str">
        <f t="shared" si="25"/>
        <v/>
      </c>
    </row>
    <row r="1638" spans="1:1" x14ac:dyDescent="0.2">
      <c r="A1638" s="24" t="str">
        <f t="shared" si="25"/>
        <v/>
      </c>
    </row>
    <row r="1639" spans="1:1" x14ac:dyDescent="0.2">
      <c r="A1639" s="24" t="str">
        <f t="shared" si="25"/>
        <v/>
      </c>
    </row>
    <row r="1640" spans="1:1" x14ac:dyDescent="0.2">
      <c r="A1640" s="24" t="str">
        <f t="shared" si="25"/>
        <v/>
      </c>
    </row>
    <row r="1641" spans="1:1" x14ac:dyDescent="0.2">
      <c r="A1641" s="24" t="str">
        <f t="shared" si="25"/>
        <v/>
      </c>
    </row>
    <row r="1642" spans="1:1" x14ac:dyDescent="0.2">
      <c r="A1642" s="24" t="str">
        <f t="shared" si="25"/>
        <v/>
      </c>
    </row>
    <row r="1643" spans="1:1" x14ac:dyDescent="0.2">
      <c r="A1643" s="24" t="str">
        <f t="shared" si="25"/>
        <v/>
      </c>
    </row>
    <row r="1644" spans="1:1" x14ac:dyDescent="0.2">
      <c r="A1644" s="24" t="str">
        <f t="shared" si="25"/>
        <v/>
      </c>
    </row>
    <row r="1645" spans="1:1" x14ac:dyDescent="0.2">
      <c r="A1645" s="24" t="str">
        <f t="shared" si="25"/>
        <v/>
      </c>
    </row>
    <row r="1646" spans="1:1" x14ac:dyDescent="0.2">
      <c r="A1646" s="24" t="str">
        <f t="shared" si="25"/>
        <v/>
      </c>
    </row>
    <row r="1647" spans="1:1" x14ac:dyDescent="0.2">
      <c r="A1647" s="24" t="str">
        <f t="shared" si="25"/>
        <v/>
      </c>
    </row>
    <row r="1648" spans="1:1" x14ac:dyDescent="0.2">
      <c r="A1648" s="24" t="str">
        <f t="shared" si="25"/>
        <v/>
      </c>
    </row>
    <row r="1649" spans="1:1" x14ac:dyDescent="0.2">
      <c r="A1649" s="24" t="str">
        <f t="shared" si="25"/>
        <v/>
      </c>
    </row>
    <row r="1650" spans="1:1" x14ac:dyDescent="0.2">
      <c r="A1650" s="24" t="str">
        <f t="shared" si="25"/>
        <v/>
      </c>
    </row>
    <row r="1651" spans="1:1" x14ac:dyDescent="0.2">
      <c r="A1651" s="24" t="str">
        <f t="shared" si="25"/>
        <v/>
      </c>
    </row>
    <row r="1652" spans="1:1" x14ac:dyDescent="0.2">
      <c r="A1652" s="24" t="str">
        <f t="shared" si="25"/>
        <v/>
      </c>
    </row>
    <row r="1653" spans="1:1" x14ac:dyDescent="0.2">
      <c r="A1653" s="24" t="str">
        <f t="shared" si="25"/>
        <v/>
      </c>
    </row>
    <row r="1654" spans="1:1" x14ac:dyDescent="0.2">
      <c r="A1654" s="24" t="str">
        <f t="shared" si="25"/>
        <v/>
      </c>
    </row>
    <row r="1655" spans="1:1" x14ac:dyDescent="0.2">
      <c r="A1655" s="24" t="str">
        <f t="shared" si="25"/>
        <v/>
      </c>
    </row>
    <row r="1656" spans="1:1" x14ac:dyDescent="0.2">
      <c r="A1656" s="24" t="str">
        <f t="shared" si="25"/>
        <v/>
      </c>
    </row>
    <row r="1657" spans="1:1" x14ac:dyDescent="0.2">
      <c r="A1657" s="24" t="str">
        <f t="shared" si="25"/>
        <v/>
      </c>
    </row>
    <row r="1658" spans="1:1" x14ac:dyDescent="0.2">
      <c r="A1658" s="24" t="str">
        <f t="shared" si="25"/>
        <v/>
      </c>
    </row>
    <row r="1659" spans="1:1" x14ac:dyDescent="0.2">
      <c r="A1659" s="24" t="str">
        <f t="shared" si="25"/>
        <v/>
      </c>
    </row>
    <row r="1660" spans="1:1" x14ac:dyDescent="0.2">
      <c r="A1660" s="24" t="str">
        <f t="shared" si="25"/>
        <v/>
      </c>
    </row>
    <row r="1661" spans="1:1" x14ac:dyDescent="0.2">
      <c r="A1661" s="24" t="str">
        <f t="shared" si="25"/>
        <v/>
      </c>
    </row>
    <row r="1662" spans="1:1" x14ac:dyDescent="0.2">
      <c r="A1662" s="24" t="str">
        <f t="shared" si="25"/>
        <v/>
      </c>
    </row>
    <row r="1663" spans="1:1" x14ac:dyDescent="0.2">
      <c r="A1663" s="24" t="str">
        <f t="shared" si="25"/>
        <v/>
      </c>
    </row>
    <row r="1664" spans="1:1" x14ac:dyDescent="0.2">
      <c r="A1664" s="24" t="str">
        <f t="shared" si="25"/>
        <v/>
      </c>
    </row>
    <row r="1665" spans="1:1" x14ac:dyDescent="0.2">
      <c r="A1665" s="24" t="str">
        <f t="shared" si="25"/>
        <v/>
      </c>
    </row>
    <row r="1666" spans="1:1" x14ac:dyDescent="0.2">
      <c r="A1666" s="24" t="str">
        <f t="shared" si="25"/>
        <v/>
      </c>
    </row>
    <row r="1667" spans="1:1" x14ac:dyDescent="0.2">
      <c r="A1667" s="24" t="str">
        <f t="shared" si="25"/>
        <v/>
      </c>
    </row>
    <row r="1668" spans="1:1" x14ac:dyDescent="0.2">
      <c r="A1668" s="24" t="str">
        <f t="shared" ref="A1668:A1731" si="26">IF(AND(B1667&lt;&gt;"",B1668=""),$A$2&amp;"---&gt;","")</f>
        <v/>
      </c>
    </row>
    <row r="1669" spans="1:1" x14ac:dyDescent="0.2">
      <c r="A1669" s="24" t="str">
        <f t="shared" si="26"/>
        <v/>
      </c>
    </row>
    <row r="1670" spans="1:1" x14ac:dyDescent="0.2">
      <c r="A1670" s="24" t="str">
        <f t="shared" si="26"/>
        <v/>
      </c>
    </row>
    <row r="1671" spans="1:1" x14ac:dyDescent="0.2">
      <c r="A1671" s="24" t="str">
        <f t="shared" si="26"/>
        <v/>
      </c>
    </row>
    <row r="1672" spans="1:1" x14ac:dyDescent="0.2">
      <c r="A1672" s="24" t="str">
        <f t="shared" si="26"/>
        <v/>
      </c>
    </row>
    <row r="1673" spans="1:1" x14ac:dyDescent="0.2">
      <c r="A1673" s="24" t="str">
        <f t="shared" si="26"/>
        <v/>
      </c>
    </row>
    <row r="1674" spans="1:1" x14ac:dyDescent="0.2">
      <c r="A1674" s="24" t="str">
        <f t="shared" si="26"/>
        <v/>
      </c>
    </row>
    <row r="1675" spans="1:1" x14ac:dyDescent="0.2">
      <c r="A1675" s="24" t="str">
        <f t="shared" si="26"/>
        <v/>
      </c>
    </row>
    <row r="1676" spans="1:1" x14ac:dyDescent="0.2">
      <c r="A1676" s="24" t="str">
        <f t="shared" si="26"/>
        <v/>
      </c>
    </row>
    <row r="1677" spans="1:1" x14ac:dyDescent="0.2">
      <c r="A1677" s="24" t="str">
        <f t="shared" si="26"/>
        <v/>
      </c>
    </row>
    <row r="1678" spans="1:1" x14ac:dyDescent="0.2">
      <c r="A1678" s="24" t="str">
        <f t="shared" si="26"/>
        <v/>
      </c>
    </row>
    <row r="1679" spans="1:1" x14ac:dyDescent="0.2">
      <c r="A1679" s="24" t="str">
        <f t="shared" si="26"/>
        <v/>
      </c>
    </row>
    <row r="1680" spans="1:1" x14ac:dyDescent="0.2">
      <c r="A1680" s="24" t="str">
        <f t="shared" si="26"/>
        <v/>
      </c>
    </row>
    <row r="1681" spans="1:1" x14ac:dyDescent="0.2">
      <c r="A1681" s="24" t="str">
        <f t="shared" si="26"/>
        <v/>
      </c>
    </row>
    <row r="1682" spans="1:1" x14ac:dyDescent="0.2">
      <c r="A1682" s="24" t="str">
        <f t="shared" si="26"/>
        <v/>
      </c>
    </row>
    <row r="1683" spans="1:1" x14ac:dyDescent="0.2">
      <c r="A1683" s="24" t="str">
        <f t="shared" si="26"/>
        <v/>
      </c>
    </row>
    <row r="1684" spans="1:1" x14ac:dyDescent="0.2">
      <c r="A1684" s="24" t="str">
        <f t="shared" si="26"/>
        <v/>
      </c>
    </row>
    <row r="1685" spans="1:1" x14ac:dyDescent="0.2">
      <c r="A1685" s="24" t="str">
        <f t="shared" si="26"/>
        <v/>
      </c>
    </row>
    <row r="1686" spans="1:1" x14ac:dyDescent="0.2">
      <c r="A1686" s="24" t="str">
        <f t="shared" si="26"/>
        <v/>
      </c>
    </row>
    <row r="1687" spans="1:1" x14ac:dyDescent="0.2">
      <c r="A1687" s="24" t="str">
        <f t="shared" si="26"/>
        <v/>
      </c>
    </row>
    <row r="1688" spans="1:1" x14ac:dyDescent="0.2">
      <c r="A1688" s="24" t="str">
        <f t="shared" si="26"/>
        <v/>
      </c>
    </row>
    <row r="1689" spans="1:1" x14ac:dyDescent="0.2">
      <c r="A1689" s="24" t="str">
        <f t="shared" si="26"/>
        <v/>
      </c>
    </row>
    <row r="1690" spans="1:1" x14ac:dyDescent="0.2">
      <c r="A1690" s="24" t="str">
        <f t="shared" si="26"/>
        <v/>
      </c>
    </row>
    <row r="1691" spans="1:1" x14ac:dyDescent="0.2">
      <c r="A1691" s="24" t="str">
        <f t="shared" si="26"/>
        <v/>
      </c>
    </row>
    <row r="1692" spans="1:1" x14ac:dyDescent="0.2">
      <c r="A1692" s="24" t="str">
        <f t="shared" si="26"/>
        <v/>
      </c>
    </row>
    <row r="1693" spans="1:1" x14ac:dyDescent="0.2">
      <c r="A1693" s="24" t="str">
        <f t="shared" si="26"/>
        <v/>
      </c>
    </row>
    <row r="1694" spans="1:1" x14ac:dyDescent="0.2">
      <c r="A1694" s="24" t="str">
        <f t="shared" si="26"/>
        <v/>
      </c>
    </row>
    <row r="1695" spans="1:1" x14ac:dyDescent="0.2">
      <c r="A1695" s="24" t="str">
        <f t="shared" si="26"/>
        <v/>
      </c>
    </row>
    <row r="1696" spans="1:1" x14ac:dyDescent="0.2">
      <c r="A1696" s="24" t="str">
        <f t="shared" si="26"/>
        <v/>
      </c>
    </row>
    <row r="1697" spans="1:1" x14ac:dyDescent="0.2">
      <c r="A1697" s="24" t="str">
        <f t="shared" si="26"/>
        <v/>
      </c>
    </row>
    <row r="1698" spans="1:1" x14ac:dyDescent="0.2">
      <c r="A1698" s="24" t="str">
        <f t="shared" si="26"/>
        <v/>
      </c>
    </row>
    <row r="1699" spans="1:1" x14ac:dyDescent="0.2">
      <c r="A1699" s="24" t="str">
        <f t="shared" si="26"/>
        <v/>
      </c>
    </row>
    <row r="1700" spans="1:1" x14ac:dyDescent="0.2">
      <c r="A1700" s="24" t="str">
        <f t="shared" si="26"/>
        <v/>
      </c>
    </row>
    <row r="1701" spans="1:1" x14ac:dyDescent="0.2">
      <c r="A1701" s="24" t="str">
        <f t="shared" si="26"/>
        <v/>
      </c>
    </row>
    <row r="1702" spans="1:1" x14ac:dyDescent="0.2">
      <c r="A1702" s="24" t="str">
        <f t="shared" si="26"/>
        <v/>
      </c>
    </row>
    <row r="1703" spans="1:1" x14ac:dyDescent="0.2">
      <c r="A1703" s="24" t="str">
        <f t="shared" si="26"/>
        <v/>
      </c>
    </row>
    <row r="1704" spans="1:1" x14ac:dyDescent="0.2">
      <c r="A1704" s="24" t="str">
        <f t="shared" si="26"/>
        <v/>
      </c>
    </row>
    <row r="1705" spans="1:1" x14ac:dyDescent="0.2">
      <c r="A1705" s="24" t="str">
        <f t="shared" si="26"/>
        <v/>
      </c>
    </row>
    <row r="1706" spans="1:1" x14ac:dyDescent="0.2">
      <c r="A1706" s="24" t="str">
        <f t="shared" si="26"/>
        <v/>
      </c>
    </row>
    <row r="1707" spans="1:1" x14ac:dyDescent="0.2">
      <c r="A1707" s="24" t="str">
        <f t="shared" si="26"/>
        <v/>
      </c>
    </row>
    <row r="1708" spans="1:1" x14ac:dyDescent="0.2">
      <c r="A1708" s="24" t="str">
        <f t="shared" si="26"/>
        <v/>
      </c>
    </row>
    <row r="1709" spans="1:1" x14ac:dyDescent="0.2">
      <c r="A1709" s="24" t="str">
        <f t="shared" si="26"/>
        <v/>
      </c>
    </row>
    <row r="1710" spans="1:1" x14ac:dyDescent="0.2">
      <c r="A1710" s="24" t="str">
        <f t="shared" si="26"/>
        <v/>
      </c>
    </row>
    <row r="1711" spans="1:1" x14ac:dyDescent="0.2">
      <c r="A1711" s="24" t="str">
        <f t="shared" si="26"/>
        <v/>
      </c>
    </row>
    <row r="1712" spans="1:1" x14ac:dyDescent="0.2">
      <c r="A1712" s="24" t="str">
        <f t="shared" si="26"/>
        <v/>
      </c>
    </row>
    <row r="1713" spans="1:1" x14ac:dyDescent="0.2">
      <c r="A1713" s="24" t="str">
        <f t="shared" si="26"/>
        <v/>
      </c>
    </row>
    <row r="1714" spans="1:1" x14ac:dyDescent="0.2">
      <c r="A1714" s="24" t="str">
        <f t="shared" si="26"/>
        <v/>
      </c>
    </row>
    <row r="1715" spans="1:1" x14ac:dyDescent="0.2">
      <c r="A1715" s="24" t="str">
        <f t="shared" si="26"/>
        <v/>
      </c>
    </row>
    <row r="1716" spans="1:1" x14ac:dyDescent="0.2">
      <c r="A1716" s="24" t="str">
        <f t="shared" si="26"/>
        <v/>
      </c>
    </row>
    <row r="1717" spans="1:1" x14ac:dyDescent="0.2">
      <c r="A1717" s="24" t="str">
        <f t="shared" si="26"/>
        <v/>
      </c>
    </row>
    <row r="1718" spans="1:1" x14ac:dyDescent="0.2">
      <c r="A1718" s="24" t="str">
        <f t="shared" si="26"/>
        <v/>
      </c>
    </row>
    <row r="1719" spans="1:1" x14ac:dyDescent="0.2">
      <c r="A1719" s="24" t="str">
        <f t="shared" si="26"/>
        <v/>
      </c>
    </row>
    <row r="1720" spans="1:1" x14ac:dyDescent="0.2">
      <c r="A1720" s="24" t="str">
        <f t="shared" si="26"/>
        <v/>
      </c>
    </row>
    <row r="1721" spans="1:1" x14ac:dyDescent="0.2">
      <c r="A1721" s="24" t="str">
        <f t="shared" si="26"/>
        <v/>
      </c>
    </row>
    <row r="1722" spans="1:1" x14ac:dyDescent="0.2">
      <c r="A1722" s="24" t="str">
        <f t="shared" si="26"/>
        <v/>
      </c>
    </row>
    <row r="1723" spans="1:1" x14ac:dyDescent="0.2">
      <c r="A1723" s="24" t="str">
        <f t="shared" si="26"/>
        <v/>
      </c>
    </row>
    <row r="1724" spans="1:1" x14ac:dyDescent="0.2">
      <c r="A1724" s="24" t="str">
        <f t="shared" si="26"/>
        <v/>
      </c>
    </row>
    <row r="1725" spans="1:1" x14ac:dyDescent="0.2">
      <c r="A1725" s="24" t="str">
        <f t="shared" si="26"/>
        <v/>
      </c>
    </row>
    <row r="1726" spans="1:1" x14ac:dyDescent="0.2">
      <c r="A1726" s="24" t="str">
        <f t="shared" si="26"/>
        <v/>
      </c>
    </row>
    <row r="1727" spans="1:1" x14ac:dyDescent="0.2">
      <c r="A1727" s="24" t="str">
        <f t="shared" si="26"/>
        <v/>
      </c>
    </row>
    <row r="1728" spans="1:1" x14ac:dyDescent="0.2">
      <c r="A1728" s="24" t="str">
        <f t="shared" si="26"/>
        <v/>
      </c>
    </row>
    <row r="1729" spans="1:1" x14ac:dyDescent="0.2">
      <c r="A1729" s="24" t="str">
        <f t="shared" si="26"/>
        <v/>
      </c>
    </row>
    <row r="1730" spans="1:1" x14ac:dyDescent="0.2">
      <c r="A1730" s="24" t="str">
        <f t="shared" si="26"/>
        <v/>
      </c>
    </row>
    <row r="1731" spans="1:1" x14ac:dyDescent="0.2">
      <c r="A1731" s="24" t="str">
        <f t="shared" si="26"/>
        <v/>
      </c>
    </row>
    <row r="1732" spans="1:1" x14ac:dyDescent="0.2">
      <c r="A1732" s="24" t="str">
        <f t="shared" ref="A1732:A1795" si="27">IF(AND(B1731&lt;&gt;"",B1732=""),$A$2&amp;"---&gt;","")</f>
        <v/>
      </c>
    </row>
    <row r="1733" spans="1:1" x14ac:dyDescent="0.2">
      <c r="A1733" s="24" t="str">
        <f t="shared" si="27"/>
        <v/>
      </c>
    </row>
    <row r="1734" spans="1:1" x14ac:dyDescent="0.2">
      <c r="A1734" s="24" t="str">
        <f t="shared" si="27"/>
        <v/>
      </c>
    </row>
    <row r="1735" spans="1:1" x14ac:dyDescent="0.2">
      <c r="A1735" s="24" t="str">
        <f t="shared" si="27"/>
        <v/>
      </c>
    </row>
    <row r="1736" spans="1:1" x14ac:dyDescent="0.2">
      <c r="A1736" s="24" t="str">
        <f t="shared" si="27"/>
        <v/>
      </c>
    </row>
    <row r="1737" spans="1:1" x14ac:dyDescent="0.2">
      <c r="A1737" s="24" t="str">
        <f t="shared" si="27"/>
        <v/>
      </c>
    </row>
    <row r="1738" spans="1:1" x14ac:dyDescent="0.2">
      <c r="A1738" s="24" t="str">
        <f t="shared" si="27"/>
        <v/>
      </c>
    </row>
    <row r="1739" spans="1:1" x14ac:dyDescent="0.2">
      <c r="A1739" s="24" t="str">
        <f t="shared" si="27"/>
        <v/>
      </c>
    </row>
    <row r="1740" spans="1:1" x14ac:dyDescent="0.2">
      <c r="A1740" s="24" t="str">
        <f t="shared" si="27"/>
        <v/>
      </c>
    </row>
    <row r="1741" spans="1:1" x14ac:dyDescent="0.2">
      <c r="A1741" s="24" t="str">
        <f t="shared" si="27"/>
        <v/>
      </c>
    </row>
    <row r="1742" spans="1:1" x14ac:dyDescent="0.2">
      <c r="A1742" s="24" t="str">
        <f t="shared" si="27"/>
        <v/>
      </c>
    </row>
    <row r="1743" spans="1:1" x14ac:dyDescent="0.2">
      <c r="A1743" s="24" t="str">
        <f t="shared" si="27"/>
        <v/>
      </c>
    </row>
    <row r="1744" spans="1:1" x14ac:dyDescent="0.2">
      <c r="A1744" s="24" t="str">
        <f t="shared" si="27"/>
        <v/>
      </c>
    </row>
    <row r="1745" spans="1:1" x14ac:dyDescent="0.2">
      <c r="A1745" s="24" t="str">
        <f t="shared" si="27"/>
        <v/>
      </c>
    </row>
    <row r="1746" spans="1:1" x14ac:dyDescent="0.2">
      <c r="A1746" s="24" t="str">
        <f t="shared" si="27"/>
        <v/>
      </c>
    </row>
    <row r="1747" spans="1:1" x14ac:dyDescent="0.2">
      <c r="A1747" s="24" t="str">
        <f t="shared" si="27"/>
        <v/>
      </c>
    </row>
    <row r="1748" spans="1:1" x14ac:dyDescent="0.2">
      <c r="A1748" s="24" t="str">
        <f t="shared" si="27"/>
        <v/>
      </c>
    </row>
    <row r="1749" spans="1:1" x14ac:dyDescent="0.2">
      <c r="A1749" s="24" t="str">
        <f t="shared" si="27"/>
        <v/>
      </c>
    </row>
    <row r="1750" spans="1:1" x14ac:dyDescent="0.2">
      <c r="A1750" s="24" t="str">
        <f t="shared" si="27"/>
        <v/>
      </c>
    </row>
    <row r="1751" spans="1:1" x14ac:dyDescent="0.2">
      <c r="A1751" s="24" t="str">
        <f t="shared" si="27"/>
        <v/>
      </c>
    </row>
    <row r="1752" spans="1:1" x14ac:dyDescent="0.2">
      <c r="A1752" s="24" t="str">
        <f t="shared" si="27"/>
        <v/>
      </c>
    </row>
    <row r="1753" spans="1:1" x14ac:dyDescent="0.2">
      <c r="A1753" s="24" t="str">
        <f t="shared" si="27"/>
        <v/>
      </c>
    </row>
    <row r="1754" spans="1:1" x14ac:dyDescent="0.2">
      <c r="A1754" s="24" t="str">
        <f t="shared" si="27"/>
        <v/>
      </c>
    </row>
    <row r="1755" spans="1:1" x14ac:dyDescent="0.2">
      <c r="A1755" s="24" t="str">
        <f t="shared" si="27"/>
        <v/>
      </c>
    </row>
    <row r="1756" spans="1:1" x14ac:dyDescent="0.2">
      <c r="A1756" s="24" t="str">
        <f t="shared" si="27"/>
        <v/>
      </c>
    </row>
    <row r="1757" spans="1:1" x14ac:dyDescent="0.2">
      <c r="A1757" s="24" t="str">
        <f t="shared" si="27"/>
        <v/>
      </c>
    </row>
    <row r="1758" spans="1:1" x14ac:dyDescent="0.2">
      <c r="A1758" s="24" t="str">
        <f t="shared" si="27"/>
        <v/>
      </c>
    </row>
    <row r="1759" spans="1:1" x14ac:dyDescent="0.2">
      <c r="A1759" s="24" t="str">
        <f t="shared" si="27"/>
        <v/>
      </c>
    </row>
    <row r="1760" spans="1:1" x14ac:dyDescent="0.2">
      <c r="A1760" s="24" t="str">
        <f t="shared" si="27"/>
        <v/>
      </c>
    </row>
    <row r="1761" spans="1:1" x14ac:dyDescent="0.2">
      <c r="A1761" s="24" t="str">
        <f t="shared" si="27"/>
        <v/>
      </c>
    </row>
    <row r="1762" spans="1:1" x14ac:dyDescent="0.2">
      <c r="A1762" s="24" t="str">
        <f t="shared" si="27"/>
        <v/>
      </c>
    </row>
    <row r="1763" spans="1:1" x14ac:dyDescent="0.2">
      <c r="A1763" s="24" t="str">
        <f t="shared" si="27"/>
        <v/>
      </c>
    </row>
    <row r="1764" spans="1:1" x14ac:dyDescent="0.2">
      <c r="A1764" s="24" t="str">
        <f t="shared" si="27"/>
        <v/>
      </c>
    </row>
    <row r="1765" spans="1:1" x14ac:dyDescent="0.2">
      <c r="A1765" s="24" t="str">
        <f t="shared" si="27"/>
        <v/>
      </c>
    </row>
    <row r="1766" spans="1:1" x14ac:dyDescent="0.2">
      <c r="A1766" s="24" t="str">
        <f t="shared" si="27"/>
        <v/>
      </c>
    </row>
    <row r="1767" spans="1:1" x14ac:dyDescent="0.2">
      <c r="A1767" s="24" t="str">
        <f t="shared" si="27"/>
        <v/>
      </c>
    </row>
    <row r="1768" spans="1:1" x14ac:dyDescent="0.2">
      <c r="A1768" s="24" t="str">
        <f t="shared" si="27"/>
        <v/>
      </c>
    </row>
    <row r="1769" spans="1:1" x14ac:dyDescent="0.2">
      <c r="A1769" s="24" t="str">
        <f t="shared" si="27"/>
        <v/>
      </c>
    </row>
    <row r="1770" spans="1:1" x14ac:dyDescent="0.2">
      <c r="A1770" s="24" t="str">
        <f t="shared" si="27"/>
        <v/>
      </c>
    </row>
    <row r="1771" spans="1:1" x14ac:dyDescent="0.2">
      <c r="A1771" s="24" t="str">
        <f t="shared" si="27"/>
        <v/>
      </c>
    </row>
    <row r="1772" spans="1:1" x14ac:dyDescent="0.2">
      <c r="A1772" s="24" t="str">
        <f t="shared" si="27"/>
        <v/>
      </c>
    </row>
    <row r="1773" spans="1:1" x14ac:dyDescent="0.2">
      <c r="A1773" s="24" t="str">
        <f t="shared" si="27"/>
        <v/>
      </c>
    </row>
    <row r="1774" spans="1:1" x14ac:dyDescent="0.2">
      <c r="A1774" s="24" t="str">
        <f t="shared" si="27"/>
        <v/>
      </c>
    </row>
    <row r="1775" spans="1:1" x14ac:dyDescent="0.2">
      <c r="A1775" s="24" t="str">
        <f t="shared" si="27"/>
        <v/>
      </c>
    </row>
    <row r="1776" spans="1:1" x14ac:dyDescent="0.2">
      <c r="A1776" s="24" t="str">
        <f t="shared" si="27"/>
        <v/>
      </c>
    </row>
    <row r="1777" spans="1:1" x14ac:dyDescent="0.2">
      <c r="A1777" s="24" t="str">
        <f t="shared" si="27"/>
        <v/>
      </c>
    </row>
    <row r="1778" spans="1:1" x14ac:dyDescent="0.2">
      <c r="A1778" s="24" t="str">
        <f t="shared" si="27"/>
        <v/>
      </c>
    </row>
    <row r="1779" spans="1:1" x14ac:dyDescent="0.2">
      <c r="A1779" s="24" t="str">
        <f t="shared" si="27"/>
        <v/>
      </c>
    </row>
    <row r="1780" spans="1:1" x14ac:dyDescent="0.2">
      <c r="A1780" s="24" t="str">
        <f t="shared" si="27"/>
        <v/>
      </c>
    </row>
    <row r="1781" spans="1:1" x14ac:dyDescent="0.2">
      <c r="A1781" s="24" t="str">
        <f t="shared" si="27"/>
        <v/>
      </c>
    </row>
    <row r="1782" spans="1:1" x14ac:dyDescent="0.2">
      <c r="A1782" s="24" t="str">
        <f t="shared" si="27"/>
        <v/>
      </c>
    </row>
    <row r="1783" spans="1:1" x14ac:dyDescent="0.2">
      <c r="A1783" s="24" t="str">
        <f t="shared" si="27"/>
        <v/>
      </c>
    </row>
    <row r="1784" spans="1:1" x14ac:dyDescent="0.2">
      <c r="A1784" s="24" t="str">
        <f t="shared" si="27"/>
        <v/>
      </c>
    </row>
    <row r="1785" spans="1:1" x14ac:dyDescent="0.2">
      <c r="A1785" s="24" t="str">
        <f t="shared" si="27"/>
        <v/>
      </c>
    </row>
    <row r="1786" spans="1:1" x14ac:dyDescent="0.2">
      <c r="A1786" s="24" t="str">
        <f t="shared" si="27"/>
        <v/>
      </c>
    </row>
    <row r="1787" spans="1:1" x14ac:dyDescent="0.2">
      <c r="A1787" s="24" t="str">
        <f t="shared" si="27"/>
        <v/>
      </c>
    </row>
    <row r="1788" spans="1:1" x14ac:dyDescent="0.2">
      <c r="A1788" s="24" t="str">
        <f t="shared" si="27"/>
        <v/>
      </c>
    </row>
    <row r="1789" spans="1:1" x14ac:dyDescent="0.2">
      <c r="A1789" s="24" t="str">
        <f t="shared" si="27"/>
        <v/>
      </c>
    </row>
    <row r="1790" spans="1:1" x14ac:dyDescent="0.2">
      <c r="A1790" s="24" t="str">
        <f t="shared" si="27"/>
        <v/>
      </c>
    </row>
    <row r="1791" spans="1:1" x14ac:dyDescent="0.2">
      <c r="A1791" s="24" t="str">
        <f t="shared" si="27"/>
        <v/>
      </c>
    </row>
    <row r="1792" spans="1:1" x14ac:dyDescent="0.2">
      <c r="A1792" s="24" t="str">
        <f t="shared" si="27"/>
        <v/>
      </c>
    </row>
    <row r="1793" spans="1:1" x14ac:dyDescent="0.2">
      <c r="A1793" s="24" t="str">
        <f t="shared" si="27"/>
        <v/>
      </c>
    </row>
    <row r="1794" spans="1:1" x14ac:dyDescent="0.2">
      <c r="A1794" s="24" t="str">
        <f t="shared" si="27"/>
        <v/>
      </c>
    </row>
    <row r="1795" spans="1:1" x14ac:dyDescent="0.2">
      <c r="A1795" s="24" t="str">
        <f t="shared" si="27"/>
        <v/>
      </c>
    </row>
    <row r="1796" spans="1:1" x14ac:dyDescent="0.2">
      <c r="A1796" s="24" t="str">
        <f t="shared" ref="A1796:A1859" si="28">IF(AND(B1795&lt;&gt;"",B1796=""),$A$2&amp;"---&gt;","")</f>
        <v/>
      </c>
    </row>
    <row r="1797" spans="1:1" x14ac:dyDescent="0.2">
      <c r="A1797" s="24" t="str">
        <f t="shared" si="28"/>
        <v/>
      </c>
    </row>
    <row r="1798" spans="1:1" x14ac:dyDescent="0.2">
      <c r="A1798" s="24" t="str">
        <f t="shared" si="28"/>
        <v/>
      </c>
    </row>
    <row r="1799" spans="1:1" x14ac:dyDescent="0.2">
      <c r="A1799" s="24" t="str">
        <f t="shared" si="28"/>
        <v/>
      </c>
    </row>
    <row r="1800" spans="1:1" x14ac:dyDescent="0.2">
      <c r="A1800" s="24" t="str">
        <f t="shared" si="28"/>
        <v/>
      </c>
    </row>
    <row r="1801" spans="1:1" x14ac:dyDescent="0.2">
      <c r="A1801" s="24" t="str">
        <f t="shared" si="28"/>
        <v/>
      </c>
    </row>
    <row r="1802" spans="1:1" x14ac:dyDescent="0.2">
      <c r="A1802" s="24" t="str">
        <f t="shared" si="28"/>
        <v/>
      </c>
    </row>
    <row r="1803" spans="1:1" x14ac:dyDescent="0.2">
      <c r="A1803" s="24" t="str">
        <f t="shared" si="28"/>
        <v/>
      </c>
    </row>
    <row r="1804" spans="1:1" x14ac:dyDescent="0.2">
      <c r="A1804" s="24" t="str">
        <f t="shared" si="28"/>
        <v/>
      </c>
    </row>
    <row r="1805" spans="1:1" x14ac:dyDescent="0.2">
      <c r="A1805" s="24" t="str">
        <f t="shared" si="28"/>
        <v/>
      </c>
    </row>
    <row r="1806" spans="1:1" x14ac:dyDescent="0.2">
      <c r="A1806" s="24" t="str">
        <f t="shared" si="28"/>
        <v/>
      </c>
    </row>
    <row r="1807" spans="1:1" x14ac:dyDescent="0.2">
      <c r="A1807" s="24" t="str">
        <f t="shared" si="28"/>
        <v/>
      </c>
    </row>
    <row r="1808" spans="1:1" x14ac:dyDescent="0.2">
      <c r="A1808" s="24" t="str">
        <f t="shared" si="28"/>
        <v/>
      </c>
    </row>
    <row r="1809" spans="1:1" x14ac:dyDescent="0.2">
      <c r="A1809" s="24" t="str">
        <f t="shared" si="28"/>
        <v/>
      </c>
    </row>
    <row r="1810" spans="1:1" x14ac:dyDescent="0.2">
      <c r="A1810" s="24" t="str">
        <f t="shared" si="28"/>
        <v/>
      </c>
    </row>
    <row r="1811" spans="1:1" x14ac:dyDescent="0.2">
      <c r="A1811" s="24" t="str">
        <f t="shared" si="28"/>
        <v/>
      </c>
    </row>
    <row r="1812" spans="1:1" x14ac:dyDescent="0.2">
      <c r="A1812" s="24" t="str">
        <f t="shared" si="28"/>
        <v/>
      </c>
    </row>
    <row r="1813" spans="1:1" x14ac:dyDescent="0.2">
      <c r="A1813" s="24" t="str">
        <f t="shared" si="28"/>
        <v/>
      </c>
    </row>
    <row r="1814" spans="1:1" x14ac:dyDescent="0.2">
      <c r="A1814" s="24" t="str">
        <f t="shared" si="28"/>
        <v/>
      </c>
    </row>
    <row r="1815" spans="1:1" x14ac:dyDescent="0.2">
      <c r="A1815" s="24" t="str">
        <f t="shared" si="28"/>
        <v/>
      </c>
    </row>
    <row r="1816" spans="1:1" x14ac:dyDescent="0.2">
      <c r="A1816" s="24" t="str">
        <f t="shared" si="28"/>
        <v/>
      </c>
    </row>
    <row r="1817" spans="1:1" x14ac:dyDescent="0.2">
      <c r="A1817" s="24" t="str">
        <f t="shared" si="28"/>
        <v/>
      </c>
    </row>
    <row r="1818" spans="1:1" x14ac:dyDescent="0.2">
      <c r="A1818" s="24" t="str">
        <f t="shared" si="28"/>
        <v/>
      </c>
    </row>
    <row r="1819" spans="1:1" x14ac:dyDescent="0.2">
      <c r="A1819" s="24" t="str">
        <f t="shared" si="28"/>
        <v/>
      </c>
    </row>
    <row r="1820" spans="1:1" x14ac:dyDescent="0.2">
      <c r="A1820" s="24" t="str">
        <f t="shared" si="28"/>
        <v/>
      </c>
    </row>
    <row r="1821" spans="1:1" x14ac:dyDescent="0.2">
      <c r="A1821" s="24" t="str">
        <f t="shared" si="28"/>
        <v/>
      </c>
    </row>
    <row r="1822" spans="1:1" x14ac:dyDescent="0.2">
      <c r="A1822" s="24" t="str">
        <f t="shared" si="28"/>
        <v/>
      </c>
    </row>
    <row r="1823" spans="1:1" x14ac:dyDescent="0.2">
      <c r="A1823" s="24" t="str">
        <f t="shared" si="28"/>
        <v/>
      </c>
    </row>
    <row r="1824" spans="1:1" x14ac:dyDescent="0.2">
      <c r="A1824" s="24" t="str">
        <f t="shared" si="28"/>
        <v/>
      </c>
    </row>
    <row r="1825" spans="1:1" x14ac:dyDescent="0.2">
      <c r="A1825" s="24" t="str">
        <f t="shared" si="28"/>
        <v/>
      </c>
    </row>
    <row r="1826" spans="1:1" x14ac:dyDescent="0.2">
      <c r="A1826" s="24" t="str">
        <f t="shared" si="28"/>
        <v/>
      </c>
    </row>
    <row r="1827" spans="1:1" x14ac:dyDescent="0.2">
      <c r="A1827" s="24" t="str">
        <f t="shared" si="28"/>
        <v/>
      </c>
    </row>
    <row r="1828" spans="1:1" x14ac:dyDescent="0.2">
      <c r="A1828" s="24" t="str">
        <f t="shared" si="28"/>
        <v/>
      </c>
    </row>
    <row r="1829" spans="1:1" x14ac:dyDescent="0.2">
      <c r="A1829" s="24" t="str">
        <f t="shared" si="28"/>
        <v/>
      </c>
    </row>
    <row r="1830" spans="1:1" x14ac:dyDescent="0.2">
      <c r="A1830" s="24" t="str">
        <f t="shared" si="28"/>
        <v/>
      </c>
    </row>
    <row r="1831" spans="1:1" x14ac:dyDescent="0.2">
      <c r="A1831" s="24" t="str">
        <f t="shared" si="28"/>
        <v/>
      </c>
    </row>
    <row r="1832" spans="1:1" x14ac:dyDescent="0.2">
      <c r="A1832" s="24" t="str">
        <f t="shared" si="28"/>
        <v/>
      </c>
    </row>
    <row r="1833" spans="1:1" x14ac:dyDescent="0.2">
      <c r="A1833" s="24" t="str">
        <f t="shared" si="28"/>
        <v/>
      </c>
    </row>
    <row r="1834" spans="1:1" x14ac:dyDescent="0.2">
      <c r="A1834" s="24" t="str">
        <f t="shared" si="28"/>
        <v/>
      </c>
    </row>
    <row r="1835" spans="1:1" x14ac:dyDescent="0.2">
      <c r="A1835" s="24" t="str">
        <f t="shared" si="28"/>
        <v/>
      </c>
    </row>
    <row r="1836" spans="1:1" x14ac:dyDescent="0.2">
      <c r="A1836" s="24" t="str">
        <f t="shared" si="28"/>
        <v/>
      </c>
    </row>
    <row r="1837" spans="1:1" x14ac:dyDescent="0.2">
      <c r="A1837" s="24" t="str">
        <f t="shared" si="28"/>
        <v/>
      </c>
    </row>
    <row r="1838" spans="1:1" x14ac:dyDescent="0.2">
      <c r="A1838" s="24" t="str">
        <f t="shared" si="28"/>
        <v/>
      </c>
    </row>
    <row r="1839" spans="1:1" x14ac:dyDescent="0.2">
      <c r="A1839" s="24" t="str">
        <f t="shared" si="28"/>
        <v/>
      </c>
    </row>
    <row r="1840" spans="1:1" x14ac:dyDescent="0.2">
      <c r="A1840" s="24" t="str">
        <f t="shared" si="28"/>
        <v/>
      </c>
    </row>
    <row r="1841" spans="1:1" x14ac:dyDescent="0.2">
      <c r="A1841" s="24" t="str">
        <f t="shared" si="28"/>
        <v/>
      </c>
    </row>
    <row r="1842" spans="1:1" x14ac:dyDescent="0.2">
      <c r="A1842" s="24" t="str">
        <f t="shared" si="28"/>
        <v/>
      </c>
    </row>
    <row r="1843" spans="1:1" x14ac:dyDescent="0.2">
      <c r="A1843" s="24" t="str">
        <f t="shared" si="28"/>
        <v/>
      </c>
    </row>
    <row r="1844" spans="1:1" x14ac:dyDescent="0.2">
      <c r="A1844" s="24" t="str">
        <f t="shared" si="28"/>
        <v/>
      </c>
    </row>
    <row r="1845" spans="1:1" x14ac:dyDescent="0.2">
      <c r="A1845" s="24" t="str">
        <f t="shared" si="28"/>
        <v/>
      </c>
    </row>
    <row r="1846" spans="1:1" x14ac:dyDescent="0.2">
      <c r="A1846" s="24" t="str">
        <f t="shared" si="28"/>
        <v/>
      </c>
    </row>
    <row r="1847" spans="1:1" x14ac:dyDescent="0.2">
      <c r="A1847" s="24" t="str">
        <f t="shared" si="28"/>
        <v/>
      </c>
    </row>
    <row r="1848" spans="1:1" x14ac:dyDescent="0.2">
      <c r="A1848" s="24" t="str">
        <f t="shared" si="28"/>
        <v/>
      </c>
    </row>
    <row r="1849" spans="1:1" x14ac:dyDescent="0.2">
      <c r="A1849" s="24" t="str">
        <f t="shared" si="28"/>
        <v/>
      </c>
    </row>
    <row r="1850" spans="1:1" x14ac:dyDescent="0.2">
      <c r="A1850" s="24" t="str">
        <f t="shared" si="28"/>
        <v/>
      </c>
    </row>
    <row r="1851" spans="1:1" x14ac:dyDescent="0.2">
      <c r="A1851" s="24" t="str">
        <f t="shared" si="28"/>
        <v/>
      </c>
    </row>
    <row r="1852" spans="1:1" x14ac:dyDescent="0.2">
      <c r="A1852" s="24" t="str">
        <f t="shared" si="28"/>
        <v/>
      </c>
    </row>
    <row r="1853" spans="1:1" x14ac:dyDescent="0.2">
      <c r="A1853" s="24" t="str">
        <f t="shared" si="28"/>
        <v/>
      </c>
    </row>
    <row r="1854" spans="1:1" x14ac:dyDescent="0.2">
      <c r="A1854" s="24" t="str">
        <f t="shared" si="28"/>
        <v/>
      </c>
    </row>
    <row r="1855" spans="1:1" x14ac:dyDescent="0.2">
      <c r="A1855" s="24" t="str">
        <f t="shared" si="28"/>
        <v/>
      </c>
    </row>
    <row r="1856" spans="1:1" x14ac:dyDescent="0.2">
      <c r="A1856" s="24" t="str">
        <f t="shared" si="28"/>
        <v/>
      </c>
    </row>
    <row r="1857" spans="1:1" x14ac:dyDescent="0.2">
      <c r="A1857" s="24" t="str">
        <f t="shared" si="28"/>
        <v/>
      </c>
    </row>
    <row r="1858" spans="1:1" x14ac:dyDescent="0.2">
      <c r="A1858" s="24" t="str">
        <f t="shared" si="28"/>
        <v/>
      </c>
    </row>
    <row r="1859" spans="1:1" x14ac:dyDescent="0.2">
      <c r="A1859" s="24" t="str">
        <f t="shared" si="28"/>
        <v/>
      </c>
    </row>
    <row r="1860" spans="1:1" x14ac:dyDescent="0.2">
      <c r="A1860" s="24" t="str">
        <f t="shared" ref="A1860:A1923" si="29">IF(AND(B1859&lt;&gt;"",B1860=""),$A$2&amp;"---&gt;","")</f>
        <v/>
      </c>
    </row>
    <row r="1861" spans="1:1" x14ac:dyDescent="0.2">
      <c r="A1861" s="24" t="str">
        <f t="shared" si="29"/>
        <v/>
      </c>
    </row>
    <row r="1862" spans="1:1" x14ac:dyDescent="0.2">
      <c r="A1862" s="24" t="str">
        <f t="shared" si="29"/>
        <v/>
      </c>
    </row>
    <row r="1863" spans="1:1" x14ac:dyDescent="0.2">
      <c r="A1863" s="24" t="str">
        <f t="shared" si="29"/>
        <v/>
      </c>
    </row>
    <row r="1864" spans="1:1" x14ac:dyDescent="0.2">
      <c r="A1864" s="24" t="str">
        <f t="shared" si="29"/>
        <v/>
      </c>
    </row>
    <row r="1865" spans="1:1" x14ac:dyDescent="0.2">
      <c r="A1865" s="24" t="str">
        <f t="shared" si="29"/>
        <v/>
      </c>
    </row>
    <row r="1866" spans="1:1" x14ac:dyDescent="0.2">
      <c r="A1866" s="24" t="str">
        <f t="shared" si="29"/>
        <v/>
      </c>
    </row>
    <row r="1867" spans="1:1" x14ac:dyDescent="0.2">
      <c r="A1867" s="24" t="str">
        <f t="shared" si="29"/>
        <v/>
      </c>
    </row>
    <row r="1868" spans="1:1" x14ac:dyDescent="0.2">
      <c r="A1868" s="24" t="str">
        <f t="shared" si="29"/>
        <v/>
      </c>
    </row>
    <row r="1869" spans="1:1" x14ac:dyDescent="0.2">
      <c r="A1869" s="24" t="str">
        <f t="shared" si="29"/>
        <v/>
      </c>
    </row>
    <row r="1870" spans="1:1" x14ac:dyDescent="0.2">
      <c r="A1870" s="24" t="str">
        <f t="shared" si="29"/>
        <v/>
      </c>
    </row>
    <row r="1871" spans="1:1" x14ac:dyDescent="0.2">
      <c r="A1871" s="24" t="str">
        <f t="shared" si="29"/>
        <v/>
      </c>
    </row>
    <row r="1872" spans="1:1" x14ac:dyDescent="0.2">
      <c r="A1872" s="24" t="str">
        <f t="shared" si="29"/>
        <v/>
      </c>
    </row>
    <row r="1873" spans="1:1" x14ac:dyDescent="0.2">
      <c r="A1873" s="24" t="str">
        <f t="shared" si="29"/>
        <v/>
      </c>
    </row>
    <row r="1874" spans="1:1" x14ac:dyDescent="0.2">
      <c r="A1874" s="24" t="str">
        <f t="shared" si="29"/>
        <v/>
      </c>
    </row>
    <row r="1875" spans="1:1" x14ac:dyDescent="0.2">
      <c r="A1875" s="24" t="str">
        <f t="shared" si="29"/>
        <v/>
      </c>
    </row>
    <row r="1876" spans="1:1" x14ac:dyDescent="0.2">
      <c r="A1876" s="24" t="str">
        <f t="shared" si="29"/>
        <v/>
      </c>
    </row>
    <row r="1877" spans="1:1" x14ac:dyDescent="0.2">
      <c r="A1877" s="24" t="str">
        <f t="shared" si="29"/>
        <v/>
      </c>
    </row>
    <row r="1878" spans="1:1" x14ac:dyDescent="0.2">
      <c r="A1878" s="24" t="str">
        <f t="shared" si="29"/>
        <v/>
      </c>
    </row>
    <row r="1879" spans="1:1" x14ac:dyDescent="0.2">
      <c r="A1879" s="24" t="str">
        <f t="shared" si="29"/>
        <v/>
      </c>
    </row>
    <row r="1880" spans="1:1" x14ac:dyDescent="0.2">
      <c r="A1880" s="24" t="str">
        <f t="shared" si="29"/>
        <v/>
      </c>
    </row>
    <row r="1881" spans="1:1" x14ac:dyDescent="0.2">
      <c r="A1881" s="24" t="str">
        <f t="shared" si="29"/>
        <v/>
      </c>
    </row>
    <row r="1882" spans="1:1" x14ac:dyDescent="0.2">
      <c r="A1882" s="24" t="str">
        <f t="shared" si="29"/>
        <v/>
      </c>
    </row>
    <row r="1883" spans="1:1" x14ac:dyDescent="0.2">
      <c r="A1883" s="24" t="str">
        <f t="shared" si="29"/>
        <v/>
      </c>
    </row>
    <row r="1884" spans="1:1" x14ac:dyDescent="0.2">
      <c r="A1884" s="24" t="str">
        <f t="shared" si="29"/>
        <v/>
      </c>
    </row>
    <row r="1885" spans="1:1" x14ac:dyDescent="0.2">
      <c r="A1885" s="24" t="str">
        <f t="shared" si="29"/>
        <v/>
      </c>
    </row>
    <row r="1886" spans="1:1" x14ac:dyDescent="0.2">
      <c r="A1886" s="24" t="str">
        <f t="shared" si="29"/>
        <v/>
      </c>
    </row>
    <row r="1887" spans="1:1" x14ac:dyDescent="0.2">
      <c r="A1887" s="24" t="str">
        <f t="shared" si="29"/>
        <v/>
      </c>
    </row>
    <row r="1888" spans="1:1" x14ac:dyDescent="0.2">
      <c r="A1888" s="24" t="str">
        <f t="shared" si="29"/>
        <v/>
      </c>
    </row>
    <row r="1889" spans="1:1" x14ac:dyDescent="0.2">
      <c r="A1889" s="24" t="str">
        <f t="shared" si="29"/>
        <v/>
      </c>
    </row>
    <row r="1890" spans="1:1" x14ac:dyDescent="0.2">
      <c r="A1890" s="24" t="str">
        <f t="shared" si="29"/>
        <v/>
      </c>
    </row>
    <row r="1891" spans="1:1" x14ac:dyDescent="0.2">
      <c r="A1891" s="24" t="str">
        <f t="shared" si="29"/>
        <v/>
      </c>
    </row>
    <row r="1892" spans="1:1" x14ac:dyDescent="0.2">
      <c r="A1892" s="24" t="str">
        <f t="shared" si="29"/>
        <v/>
      </c>
    </row>
    <row r="1893" spans="1:1" x14ac:dyDescent="0.2">
      <c r="A1893" s="24" t="str">
        <f t="shared" si="29"/>
        <v/>
      </c>
    </row>
    <row r="1894" spans="1:1" x14ac:dyDescent="0.2">
      <c r="A1894" s="24" t="str">
        <f t="shared" si="29"/>
        <v/>
      </c>
    </row>
    <row r="1895" spans="1:1" x14ac:dyDescent="0.2">
      <c r="A1895" s="24" t="str">
        <f t="shared" si="29"/>
        <v/>
      </c>
    </row>
    <row r="1896" spans="1:1" x14ac:dyDescent="0.2">
      <c r="A1896" s="24" t="str">
        <f t="shared" si="29"/>
        <v/>
      </c>
    </row>
    <row r="1897" spans="1:1" x14ac:dyDescent="0.2">
      <c r="A1897" s="24" t="str">
        <f t="shared" si="29"/>
        <v/>
      </c>
    </row>
    <row r="1898" spans="1:1" x14ac:dyDescent="0.2">
      <c r="A1898" s="24" t="str">
        <f t="shared" si="29"/>
        <v/>
      </c>
    </row>
    <row r="1899" spans="1:1" x14ac:dyDescent="0.2">
      <c r="A1899" s="24" t="str">
        <f t="shared" si="29"/>
        <v/>
      </c>
    </row>
    <row r="1900" spans="1:1" x14ac:dyDescent="0.2">
      <c r="A1900" s="24" t="str">
        <f t="shared" si="29"/>
        <v/>
      </c>
    </row>
    <row r="1901" spans="1:1" x14ac:dyDescent="0.2">
      <c r="A1901" s="24" t="str">
        <f t="shared" si="29"/>
        <v/>
      </c>
    </row>
    <row r="1902" spans="1:1" x14ac:dyDescent="0.2">
      <c r="A1902" s="24" t="str">
        <f t="shared" si="29"/>
        <v/>
      </c>
    </row>
    <row r="1903" spans="1:1" x14ac:dyDescent="0.2">
      <c r="A1903" s="24" t="str">
        <f t="shared" si="29"/>
        <v/>
      </c>
    </row>
    <row r="1904" spans="1:1" x14ac:dyDescent="0.2">
      <c r="A1904" s="24" t="str">
        <f t="shared" si="29"/>
        <v/>
      </c>
    </row>
    <row r="1905" spans="1:1" x14ac:dyDescent="0.2">
      <c r="A1905" s="24" t="str">
        <f t="shared" si="29"/>
        <v/>
      </c>
    </row>
    <row r="1906" spans="1:1" x14ac:dyDescent="0.2">
      <c r="A1906" s="24" t="str">
        <f t="shared" si="29"/>
        <v/>
      </c>
    </row>
    <row r="1907" spans="1:1" x14ac:dyDescent="0.2">
      <c r="A1907" s="24" t="str">
        <f t="shared" si="29"/>
        <v/>
      </c>
    </row>
    <row r="1908" spans="1:1" x14ac:dyDescent="0.2">
      <c r="A1908" s="24" t="str">
        <f t="shared" si="29"/>
        <v/>
      </c>
    </row>
    <row r="1909" spans="1:1" x14ac:dyDescent="0.2">
      <c r="A1909" s="24" t="str">
        <f t="shared" si="29"/>
        <v/>
      </c>
    </row>
    <row r="1910" spans="1:1" x14ac:dyDescent="0.2">
      <c r="A1910" s="24" t="str">
        <f t="shared" si="29"/>
        <v/>
      </c>
    </row>
    <row r="1911" spans="1:1" x14ac:dyDescent="0.2">
      <c r="A1911" s="24" t="str">
        <f t="shared" si="29"/>
        <v/>
      </c>
    </row>
    <row r="1912" spans="1:1" x14ac:dyDescent="0.2">
      <c r="A1912" s="24" t="str">
        <f t="shared" si="29"/>
        <v/>
      </c>
    </row>
    <row r="1913" spans="1:1" x14ac:dyDescent="0.2">
      <c r="A1913" s="24" t="str">
        <f t="shared" si="29"/>
        <v/>
      </c>
    </row>
    <row r="1914" spans="1:1" x14ac:dyDescent="0.2">
      <c r="A1914" s="24" t="str">
        <f t="shared" si="29"/>
        <v/>
      </c>
    </row>
    <row r="1915" spans="1:1" x14ac:dyDescent="0.2">
      <c r="A1915" s="24" t="str">
        <f t="shared" si="29"/>
        <v/>
      </c>
    </row>
    <row r="1916" spans="1:1" x14ac:dyDescent="0.2">
      <c r="A1916" s="24" t="str">
        <f t="shared" si="29"/>
        <v/>
      </c>
    </row>
    <row r="1917" spans="1:1" x14ac:dyDescent="0.2">
      <c r="A1917" s="24" t="str">
        <f t="shared" si="29"/>
        <v/>
      </c>
    </row>
    <row r="1918" spans="1:1" x14ac:dyDescent="0.2">
      <c r="A1918" s="24" t="str">
        <f t="shared" si="29"/>
        <v/>
      </c>
    </row>
    <row r="1919" spans="1:1" x14ac:dyDescent="0.2">
      <c r="A1919" s="24" t="str">
        <f t="shared" si="29"/>
        <v/>
      </c>
    </row>
    <row r="1920" spans="1:1" x14ac:dyDescent="0.2">
      <c r="A1920" s="24" t="str">
        <f t="shared" si="29"/>
        <v/>
      </c>
    </row>
    <row r="1921" spans="1:1" x14ac:dyDescent="0.2">
      <c r="A1921" s="24" t="str">
        <f t="shared" si="29"/>
        <v/>
      </c>
    </row>
    <row r="1922" spans="1:1" x14ac:dyDescent="0.2">
      <c r="A1922" s="24" t="str">
        <f t="shared" si="29"/>
        <v/>
      </c>
    </row>
    <row r="1923" spans="1:1" x14ac:dyDescent="0.2">
      <c r="A1923" s="24" t="str">
        <f t="shared" si="29"/>
        <v/>
      </c>
    </row>
    <row r="1924" spans="1:1" x14ac:dyDescent="0.2">
      <c r="A1924" s="24" t="str">
        <f t="shared" ref="A1924:A1987" si="30">IF(AND(B1923&lt;&gt;"",B1924=""),$A$2&amp;"---&gt;","")</f>
        <v/>
      </c>
    </row>
    <row r="1925" spans="1:1" x14ac:dyDescent="0.2">
      <c r="A1925" s="24" t="str">
        <f t="shared" si="30"/>
        <v/>
      </c>
    </row>
    <row r="1926" spans="1:1" x14ac:dyDescent="0.2">
      <c r="A1926" s="24" t="str">
        <f t="shared" si="30"/>
        <v/>
      </c>
    </row>
    <row r="1927" spans="1:1" x14ac:dyDescent="0.2">
      <c r="A1927" s="24" t="str">
        <f t="shared" si="30"/>
        <v/>
      </c>
    </row>
    <row r="1928" spans="1:1" x14ac:dyDescent="0.2">
      <c r="A1928" s="24" t="str">
        <f t="shared" si="30"/>
        <v/>
      </c>
    </row>
    <row r="1929" spans="1:1" x14ac:dyDescent="0.2">
      <c r="A1929" s="24" t="str">
        <f t="shared" si="30"/>
        <v/>
      </c>
    </row>
    <row r="1930" spans="1:1" x14ac:dyDescent="0.2">
      <c r="A1930" s="24" t="str">
        <f t="shared" si="30"/>
        <v/>
      </c>
    </row>
    <row r="1931" spans="1:1" x14ac:dyDescent="0.2">
      <c r="A1931" s="24" t="str">
        <f t="shared" si="30"/>
        <v/>
      </c>
    </row>
    <row r="1932" spans="1:1" x14ac:dyDescent="0.2">
      <c r="A1932" s="24" t="str">
        <f t="shared" si="30"/>
        <v/>
      </c>
    </row>
    <row r="1933" spans="1:1" x14ac:dyDescent="0.2">
      <c r="A1933" s="24" t="str">
        <f t="shared" si="30"/>
        <v/>
      </c>
    </row>
    <row r="1934" spans="1:1" x14ac:dyDescent="0.2">
      <c r="A1934" s="24" t="str">
        <f t="shared" si="30"/>
        <v/>
      </c>
    </row>
    <row r="1935" spans="1:1" x14ac:dyDescent="0.2">
      <c r="A1935" s="24" t="str">
        <f t="shared" si="30"/>
        <v/>
      </c>
    </row>
    <row r="1936" spans="1:1" x14ac:dyDescent="0.2">
      <c r="A1936" s="24" t="str">
        <f t="shared" si="30"/>
        <v/>
      </c>
    </row>
    <row r="1937" spans="1:1" x14ac:dyDescent="0.2">
      <c r="A1937" s="24" t="str">
        <f t="shared" si="30"/>
        <v/>
      </c>
    </row>
    <row r="1938" spans="1:1" x14ac:dyDescent="0.2">
      <c r="A1938" s="24" t="str">
        <f t="shared" si="30"/>
        <v/>
      </c>
    </row>
    <row r="1939" spans="1:1" x14ac:dyDescent="0.2">
      <c r="A1939" s="24" t="str">
        <f t="shared" si="30"/>
        <v/>
      </c>
    </row>
    <row r="1940" spans="1:1" x14ac:dyDescent="0.2">
      <c r="A1940" s="24" t="str">
        <f t="shared" si="30"/>
        <v/>
      </c>
    </row>
    <row r="1941" spans="1:1" x14ac:dyDescent="0.2">
      <c r="A1941" s="24" t="str">
        <f t="shared" si="30"/>
        <v/>
      </c>
    </row>
    <row r="1942" spans="1:1" x14ac:dyDescent="0.2">
      <c r="A1942" s="24" t="str">
        <f t="shared" si="30"/>
        <v/>
      </c>
    </row>
    <row r="1943" spans="1:1" x14ac:dyDescent="0.2">
      <c r="A1943" s="24" t="str">
        <f t="shared" si="30"/>
        <v/>
      </c>
    </row>
    <row r="1944" spans="1:1" x14ac:dyDescent="0.2">
      <c r="A1944" s="24" t="str">
        <f t="shared" si="30"/>
        <v/>
      </c>
    </row>
    <row r="1945" spans="1:1" x14ac:dyDescent="0.2">
      <c r="A1945" s="24" t="str">
        <f t="shared" si="30"/>
        <v/>
      </c>
    </row>
    <row r="1946" spans="1:1" x14ac:dyDescent="0.2">
      <c r="A1946" s="24" t="str">
        <f t="shared" si="30"/>
        <v/>
      </c>
    </row>
    <row r="1947" spans="1:1" x14ac:dyDescent="0.2">
      <c r="A1947" s="24" t="str">
        <f t="shared" si="30"/>
        <v/>
      </c>
    </row>
    <row r="1948" spans="1:1" x14ac:dyDescent="0.2">
      <c r="A1948" s="24" t="str">
        <f t="shared" si="30"/>
        <v/>
      </c>
    </row>
    <row r="1949" spans="1:1" x14ac:dyDescent="0.2">
      <c r="A1949" s="24" t="str">
        <f t="shared" si="30"/>
        <v/>
      </c>
    </row>
    <row r="1950" spans="1:1" x14ac:dyDescent="0.2">
      <c r="A1950" s="24" t="str">
        <f t="shared" si="30"/>
        <v/>
      </c>
    </row>
    <row r="1951" spans="1:1" x14ac:dyDescent="0.2">
      <c r="A1951" s="24" t="str">
        <f t="shared" si="30"/>
        <v/>
      </c>
    </row>
    <row r="1952" spans="1:1" x14ac:dyDescent="0.2">
      <c r="A1952" s="24" t="str">
        <f t="shared" si="30"/>
        <v/>
      </c>
    </row>
    <row r="1953" spans="1:1" x14ac:dyDescent="0.2">
      <c r="A1953" s="24" t="str">
        <f t="shared" si="30"/>
        <v/>
      </c>
    </row>
    <row r="1954" spans="1:1" x14ac:dyDescent="0.2">
      <c r="A1954" s="24" t="str">
        <f t="shared" si="30"/>
        <v/>
      </c>
    </row>
    <row r="1955" spans="1:1" x14ac:dyDescent="0.2">
      <c r="A1955" s="24" t="str">
        <f t="shared" si="30"/>
        <v/>
      </c>
    </row>
    <row r="1956" spans="1:1" x14ac:dyDescent="0.2">
      <c r="A1956" s="24" t="str">
        <f t="shared" si="30"/>
        <v/>
      </c>
    </row>
    <row r="1957" spans="1:1" x14ac:dyDescent="0.2">
      <c r="A1957" s="24" t="str">
        <f t="shared" si="30"/>
        <v/>
      </c>
    </row>
    <row r="1958" spans="1:1" x14ac:dyDescent="0.2">
      <c r="A1958" s="24" t="str">
        <f t="shared" si="30"/>
        <v/>
      </c>
    </row>
    <row r="1959" spans="1:1" x14ac:dyDescent="0.2">
      <c r="A1959" s="24" t="str">
        <f t="shared" si="30"/>
        <v/>
      </c>
    </row>
    <row r="1960" spans="1:1" x14ac:dyDescent="0.2">
      <c r="A1960" s="24" t="str">
        <f t="shared" si="30"/>
        <v/>
      </c>
    </row>
    <row r="1961" spans="1:1" x14ac:dyDescent="0.2">
      <c r="A1961" s="24" t="str">
        <f t="shared" si="30"/>
        <v/>
      </c>
    </row>
    <row r="1962" spans="1:1" x14ac:dyDescent="0.2">
      <c r="A1962" s="24" t="str">
        <f t="shared" si="30"/>
        <v/>
      </c>
    </row>
    <row r="1963" spans="1:1" x14ac:dyDescent="0.2">
      <c r="A1963" s="24" t="str">
        <f t="shared" si="30"/>
        <v/>
      </c>
    </row>
    <row r="1964" spans="1:1" x14ac:dyDescent="0.2">
      <c r="A1964" s="24" t="str">
        <f t="shared" si="30"/>
        <v/>
      </c>
    </row>
    <row r="1965" spans="1:1" x14ac:dyDescent="0.2">
      <c r="A1965" s="24" t="str">
        <f t="shared" si="30"/>
        <v/>
      </c>
    </row>
    <row r="1966" spans="1:1" x14ac:dyDescent="0.2">
      <c r="A1966" s="24" t="str">
        <f t="shared" si="30"/>
        <v/>
      </c>
    </row>
    <row r="1967" spans="1:1" x14ac:dyDescent="0.2">
      <c r="A1967" s="24" t="str">
        <f t="shared" si="30"/>
        <v/>
      </c>
    </row>
    <row r="1968" spans="1:1" x14ac:dyDescent="0.2">
      <c r="A1968" s="24" t="str">
        <f t="shared" si="30"/>
        <v/>
      </c>
    </row>
    <row r="1969" spans="1:1" x14ac:dyDescent="0.2">
      <c r="A1969" s="24" t="str">
        <f t="shared" si="30"/>
        <v/>
      </c>
    </row>
    <row r="1970" spans="1:1" x14ac:dyDescent="0.2">
      <c r="A1970" s="24" t="str">
        <f t="shared" si="30"/>
        <v/>
      </c>
    </row>
    <row r="1971" spans="1:1" x14ac:dyDescent="0.2">
      <c r="A1971" s="24" t="str">
        <f t="shared" si="30"/>
        <v/>
      </c>
    </row>
    <row r="1972" spans="1:1" x14ac:dyDescent="0.2">
      <c r="A1972" s="24" t="str">
        <f t="shared" si="30"/>
        <v/>
      </c>
    </row>
    <row r="1973" spans="1:1" x14ac:dyDescent="0.2">
      <c r="A1973" s="24" t="str">
        <f t="shared" si="30"/>
        <v/>
      </c>
    </row>
    <row r="1974" spans="1:1" x14ac:dyDescent="0.2">
      <c r="A1974" s="24" t="str">
        <f t="shared" si="30"/>
        <v/>
      </c>
    </row>
    <row r="1975" spans="1:1" x14ac:dyDescent="0.2">
      <c r="A1975" s="24" t="str">
        <f t="shared" si="30"/>
        <v/>
      </c>
    </row>
    <row r="1976" spans="1:1" x14ac:dyDescent="0.2">
      <c r="A1976" s="24" t="str">
        <f t="shared" si="30"/>
        <v/>
      </c>
    </row>
    <row r="1977" spans="1:1" x14ac:dyDescent="0.2">
      <c r="A1977" s="24" t="str">
        <f t="shared" si="30"/>
        <v/>
      </c>
    </row>
    <row r="1978" spans="1:1" x14ac:dyDescent="0.2">
      <c r="A1978" s="24" t="str">
        <f t="shared" si="30"/>
        <v/>
      </c>
    </row>
    <row r="1979" spans="1:1" x14ac:dyDescent="0.2">
      <c r="A1979" s="24" t="str">
        <f t="shared" si="30"/>
        <v/>
      </c>
    </row>
    <row r="1980" spans="1:1" x14ac:dyDescent="0.2">
      <c r="A1980" s="24" t="str">
        <f t="shared" si="30"/>
        <v/>
      </c>
    </row>
    <row r="1981" spans="1:1" x14ac:dyDescent="0.2">
      <c r="A1981" s="24" t="str">
        <f t="shared" si="30"/>
        <v/>
      </c>
    </row>
    <row r="1982" spans="1:1" x14ac:dyDescent="0.2">
      <c r="A1982" s="24" t="str">
        <f t="shared" si="30"/>
        <v/>
      </c>
    </row>
    <row r="1983" spans="1:1" x14ac:dyDescent="0.2">
      <c r="A1983" s="24" t="str">
        <f t="shared" si="30"/>
        <v/>
      </c>
    </row>
    <row r="1984" spans="1:1" x14ac:dyDescent="0.2">
      <c r="A1984" s="24" t="str">
        <f t="shared" si="30"/>
        <v/>
      </c>
    </row>
    <row r="1985" spans="1:1" x14ac:dyDescent="0.2">
      <c r="A1985" s="24" t="str">
        <f t="shared" si="30"/>
        <v/>
      </c>
    </row>
    <row r="1986" spans="1:1" x14ac:dyDescent="0.2">
      <c r="A1986" s="24" t="str">
        <f t="shared" si="30"/>
        <v/>
      </c>
    </row>
    <row r="1987" spans="1:1" x14ac:dyDescent="0.2">
      <c r="A1987" s="24" t="str">
        <f t="shared" si="30"/>
        <v/>
      </c>
    </row>
    <row r="1988" spans="1:1" x14ac:dyDescent="0.2">
      <c r="A1988" s="24" t="str">
        <f t="shared" ref="A1988:A1999" si="31">IF(AND(B1987&lt;&gt;"",B1988=""),$A$2&amp;"---&gt;","")</f>
        <v/>
      </c>
    </row>
    <row r="1989" spans="1:1" x14ac:dyDescent="0.2">
      <c r="A1989" s="24" t="str">
        <f t="shared" si="31"/>
        <v/>
      </c>
    </row>
    <row r="1990" spans="1:1" x14ac:dyDescent="0.2">
      <c r="A1990" s="24" t="str">
        <f t="shared" si="31"/>
        <v/>
      </c>
    </row>
    <row r="1991" spans="1:1" x14ac:dyDescent="0.2">
      <c r="A1991" s="24" t="str">
        <f t="shared" si="31"/>
        <v/>
      </c>
    </row>
    <row r="1992" spans="1:1" x14ac:dyDescent="0.2">
      <c r="A1992" s="24" t="str">
        <f t="shared" si="31"/>
        <v/>
      </c>
    </row>
    <row r="1993" spans="1:1" x14ac:dyDescent="0.2">
      <c r="A1993" s="24" t="str">
        <f t="shared" si="31"/>
        <v/>
      </c>
    </row>
    <row r="1994" spans="1:1" x14ac:dyDescent="0.2">
      <c r="A1994" s="24" t="str">
        <f t="shared" si="31"/>
        <v/>
      </c>
    </row>
    <row r="1995" spans="1:1" x14ac:dyDescent="0.2">
      <c r="A1995" s="24" t="str">
        <f t="shared" si="31"/>
        <v/>
      </c>
    </row>
    <row r="1996" spans="1:1" x14ac:dyDescent="0.2">
      <c r="A1996" s="24" t="str">
        <f t="shared" si="31"/>
        <v/>
      </c>
    </row>
    <row r="1997" spans="1:1" x14ac:dyDescent="0.2">
      <c r="A1997" s="24" t="str">
        <f t="shared" si="31"/>
        <v/>
      </c>
    </row>
    <row r="1998" spans="1:1" x14ac:dyDescent="0.2">
      <c r="A1998" s="24" t="str">
        <f t="shared" si="31"/>
        <v/>
      </c>
    </row>
    <row r="1999" spans="1:1" x14ac:dyDescent="0.2">
      <c r="A1999" s="24" t="str">
        <f t="shared" si="31"/>
        <v/>
      </c>
    </row>
  </sheetData>
  <dataValidations count="1">
    <dataValidation type="list" allowBlank="1" showInputMessage="1" showErrorMessage="1" sqref="E3:E166" xr:uid="{9092E772-3BB5-4016-A070-38C23C0B42C8}">
      <formula1>Name</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120DD-5430-4DFA-B3AA-52AC54A2130A}">
  <sheetPr codeName="Sheet5">
    <tabColor rgb="FF8FCFAD"/>
  </sheetPr>
  <dimension ref="B1:AY17"/>
  <sheetViews>
    <sheetView showGridLines="0" showRowColHeaders="0" topLeftCell="A2" zoomScale="115" zoomScaleNormal="115" workbookViewId="0">
      <selection activeCell="I24" sqref="I24"/>
    </sheetView>
  </sheetViews>
  <sheetFormatPr defaultColWidth="0" defaultRowHeight="12.75" x14ac:dyDescent="0.2"/>
  <cols>
    <col min="1" max="1" width="2.85546875" customWidth="1"/>
    <col min="2" max="2" width="22.5703125" bestFit="1" customWidth="1"/>
    <col min="3" max="3" width="7" bestFit="1" customWidth="1"/>
    <col min="4" max="13" width="7.42578125" bestFit="1" customWidth="1"/>
    <col min="14" max="14" width="6.42578125" bestFit="1" customWidth="1"/>
    <col min="15" max="15" width="9.5703125" bestFit="1" customWidth="1"/>
    <col min="16" max="16" width="7.42578125" bestFit="1" customWidth="1"/>
    <col min="17" max="17" width="6.42578125" bestFit="1" customWidth="1"/>
    <col min="18" max="26" width="7.42578125" bestFit="1" customWidth="1"/>
    <col min="27" max="27" width="4.28515625" bestFit="1" customWidth="1"/>
    <col min="28" max="28" width="9.5703125" bestFit="1" customWidth="1"/>
    <col min="29" max="35" width="2" bestFit="1" customWidth="1"/>
    <col min="36" max="38" width="3" bestFit="1" customWidth="1"/>
    <col min="39" max="47" width="2" bestFit="1" customWidth="1"/>
    <col min="48" max="50" width="3" bestFit="1" customWidth="1"/>
    <col min="51" max="51" width="9.140625" hidden="1" customWidth="1"/>
  </cols>
  <sheetData>
    <row r="1" spans="2:50" hidden="1" x14ac:dyDescent="0.2">
      <c r="C1">
        <v>1</v>
      </c>
      <c r="D1">
        <v>2</v>
      </c>
      <c r="E1">
        <v>3</v>
      </c>
      <c r="F1">
        <v>4</v>
      </c>
      <c r="G1">
        <v>5</v>
      </c>
      <c r="H1">
        <v>6</v>
      </c>
      <c r="I1">
        <v>7</v>
      </c>
      <c r="J1">
        <v>8</v>
      </c>
      <c r="K1">
        <v>9</v>
      </c>
      <c r="L1">
        <v>10</v>
      </c>
      <c r="M1">
        <v>11</v>
      </c>
      <c r="N1">
        <v>12</v>
      </c>
      <c r="O1">
        <v>1</v>
      </c>
      <c r="P1">
        <v>2</v>
      </c>
      <c r="Q1">
        <v>3</v>
      </c>
      <c r="R1">
        <v>4</v>
      </c>
      <c r="S1">
        <v>5</v>
      </c>
      <c r="T1">
        <v>6</v>
      </c>
      <c r="U1">
        <v>7</v>
      </c>
      <c r="V1">
        <v>8</v>
      </c>
      <c r="W1">
        <v>9</v>
      </c>
      <c r="X1">
        <v>10</v>
      </c>
      <c r="Y1">
        <v>11</v>
      </c>
      <c r="Z1">
        <v>12</v>
      </c>
      <c r="AA1">
        <v>1</v>
      </c>
      <c r="AB1">
        <v>2</v>
      </c>
      <c r="AC1">
        <v>3</v>
      </c>
      <c r="AD1">
        <v>4</v>
      </c>
      <c r="AE1">
        <v>5</v>
      </c>
      <c r="AF1">
        <v>6</v>
      </c>
      <c r="AG1">
        <v>7</v>
      </c>
      <c r="AH1">
        <v>8</v>
      </c>
      <c r="AI1">
        <v>9</v>
      </c>
      <c r="AJ1">
        <v>10</v>
      </c>
      <c r="AK1">
        <v>11</v>
      </c>
      <c r="AL1">
        <v>12</v>
      </c>
      <c r="AM1">
        <v>1</v>
      </c>
      <c r="AN1">
        <v>2</v>
      </c>
      <c r="AO1">
        <v>3</v>
      </c>
      <c r="AP1">
        <v>4</v>
      </c>
      <c r="AQ1">
        <v>5</v>
      </c>
      <c r="AR1">
        <v>6</v>
      </c>
      <c r="AS1">
        <v>7</v>
      </c>
      <c r="AT1">
        <v>8</v>
      </c>
      <c r="AU1">
        <v>9</v>
      </c>
      <c r="AV1">
        <v>10</v>
      </c>
      <c r="AW1">
        <v>11</v>
      </c>
      <c r="AX1">
        <v>12</v>
      </c>
    </row>
    <row r="2" spans="2:50" x14ac:dyDescent="0.2">
      <c r="B2" s="65" t="s">
        <v>88</v>
      </c>
      <c r="C2" s="60">
        <f t="shared" ref="C2:N2" si="0">GETPIVOTDATA("Employee Name",$B$6,"Date",C1,"Years",2019)</f>
        <v>7</v>
      </c>
      <c r="D2" s="60">
        <f t="shared" si="0"/>
        <v>7</v>
      </c>
      <c r="E2" s="60">
        <f t="shared" si="0"/>
        <v>7</v>
      </c>
      <c r="F2" s="60">
        <f t="shared" si="0"/>
        <v>7</v>
      </c>
      <c r="G2" s="60">
        <f t="shared" si="0"/>
        <v>7</v>
      </c>
      <c r="H2" s="60">
        <f t="shared" si="0"/>
        <v>8</v>
      </c>
      <c r="I2" s="60">
        <f t="shared" si="0"/>
        <v>8</v>
      </c>
      <c r="J2" s="60">
        <f t="shared" si="0"/>
        <v>8</v>
      </c>
      <c r="K2" s="60">
        <f t="shared" si="0"/>
        <v>8</v>
      </c>
      <c r="L2" s="60">
        <f t="shared" si="0"/>
        <v>8</v>
      </c>
      <c r="M2" s="60">
        <f t="shared" si="0"/>
        <v>8</v>
      </c>
      <c r="N2" s="60">
        <f t="shared" si="0"/>
        <v>7</v>
      </c>
      <c r="O2" s="60">
        <f>GETPIVOTDATA("Employee Name",$B$6,"Date",O1,"Years",2020)</f>
        <v>7</v>
      </c>
      <c r="P2" s="60">
        <f t="shared" ref="P2:S2" si="1">GETPIVOTDATA("Employee Name",$B$6,"Date",P1,"Years",2020)</f>
        <v>7</v>
      </c>
      <c r="Q2" s="60">
        <f t="shared" si="1"/>
        <v>6</v>
      </c>
      <c r="R2" s="60">
        <f t="shared" si="1"/>
        <v>6</v>
      </c>
      <c r="S2" s="60">
        <f t="shared" si="1"/>
        <v>6</v>
      </c>
      <c r="T2" s="60">
        <f t="shared" ref="T2" si="2">GETPIVOTDATA("Employee Name",$B$6,"Date",T1,"Years",2020)</f>
        <v>6</v>
      </c>
      <c r="U2" s="60">
        <f t="shared" ref="U2" si="3">GETPIVOTDATA("Employee Name",$B$6,"Date",U1,"Years",2020)</f>
        <v>6</v>
      </c>
      <c r="V2" s="60">
        <f t="shared" ref="V2:W2" si="4">GETPIVOTDATA("Employee Name",$B$6,"Date",V1,"Years",2020)</f>
        <v>6</v>
      </c>
      <c r="W2" s="60">
        <f t="shared" si="4"/>
        <v>6</v>
      </c>
      <c r="X2" s="60">
        <f t="shared" ref="X2" si="5">GETPIVOTDATA("Employee Name",$B$6,"Date",X1,"Years",2020)</f>
        <v>6</v>
      </c>
      <c r="Y2" s="60">
        <f t="shared" ref="Y2" si="6">GETPIVOTDATA("Employee Name",$B$6,"Date",Y1,"Years",2020)</f>
        <v>6</v>
      </c>
      <c r="Z2" s="60">
        <f t="shared" ref="Z2" si="7">GETPIVOTDATA("Employee Name",$B$6,"Date",Z1,"Years",2020)</f>
        <v>6</v>
      </c>
      <c r="AA2" s="60" t="str">
        <f>IFERROR(GETPIVOTDATA("Employee Name",$B$6,"Date",AA1,"Years",2021),"")</f>
        <v/>
      </c>
      <c r="AB2" s="60" t="str">
        <f t="shared" ref="AB2:AL2" si="8">IFERROR(GETPIVOTDATA("Employee Name",$B$6,"Date",AB1,"Years",2021),"")</f>
        <v/>
      </c>
      <c r="AC2" s="60" t="str">
        <f t="shared" si="8"/>
        <v/>
      </c>
      <c r="AD2" s="60" t="str">
        <f t="shared" si="8"/>
        <v/>
      </c>
      <c r="AE2" s="60" t="str">
        <f t="shared" si="8"/>
        <v/>
      </c>
      <c r="AF2" s="60" t="str">
        <f t="shared" si="8"/>
        <v/>
      </c>
      <c r="AG2" s="60" t="str">
        <f t="shared" si="8"/>
        <v/>
      </c>
      <c r="AH2" s="60" t="str">
        <f t="shared" si="8"/>
        <v/>
      </c>
      <c r="AI2" s="60" t="str">
        <f t="shared" si="8"/>
        <v/>
      </c>
      <c r="AJ2" s="60" t="str">
        <f t="shared" si="8"/>
        <v/>
      </c>
      <c r="AK2" s="60" t="str">
        <f t="shared" si="8"/>
        <v/>
      </c>
      <c r="AL2" s="60" t="str">
        <f t="shared" si="8"/>
        <v/>
      </c>
      <c r="AM2" s="60" t="str">
        <f>IFERROR(GETPIVOTDATA("Employee Name",$B$6,"Date",AM1,"Years",2022),"")</f>
        <v/>
      </c>
      <c r="AN2" s="60" t="str">
        <f t="shared" ref="AN2:AX2" si="9">IFERROR(GETPIVOTDATA("Employee Name",$B$6,"Date",AN1,"Years",2022),"")</f>
        <v/>
      </c>
      <c r="AO2" s="60" t="str">
        <f t="shared" si="9"/>
        <v/>
      </c>
      <c r="AP2" s="60" t="str">
        <f t="shared" si="9"/>
        <v/>
      </c>
      <c r="AQ2" s="60" t="str">
        <f t="shared" si="9"/>
        <v/>
      </c>
      <c r="AR2" s="60" t="str">
        <f t="shared" si="9"/>
        <v/>
      </c>
      <c r="AS2" s="60" t="str">
        <f t="shared" si="9"/>
        <v/>
      </c>
      <c r="AT2" s="60" t="str">
        <f t="shared" si="9"/>
        <v/>
      </c>
      <c r="AU2" s="60" t="str">
        <f t="shared" si="9"/>
        <v/>
      </c>
      <c r="AV2" s="60" t="str">
        <f t="shared" si="9"/>
        <v/>
      </c>
      <c r="AW2" s="60" t="str">
        <f t="shared" si="9"/>
        <v/>
      </c>
      <c r="AX2" s="60" t="str">
        <f t="shared" si="9"/>
        <v/>
      </c>
    </row>
    <row r="3" spans="2:50" x14ac:dyDescent="0.2">
      <c r="B3" s="65" t="s">
        <v>89</v>
      </c>
      <c r="C3" s="60"/>
      <c r="D3" s="62">
        <f>IF(D2="","",IF(D2/C2&gt;1,1,D2/C2))</f>
        <v>1</v>
      </c>
      <c r="E3" s="62">
        <f t="shared" ref="E3:AA3" si="10">IF(E2="","",IF(E2/D2&gt;1,1,E2/D2))</f>
        <v>1</v>
      </c>
      <c r="F3" s="62">
        <f t="shared" si="10"/>
        <v>1</v>
      </c>
      <c r="G3" s="62">
        <f t="shared" si="10"/>
        <v>1</v>
      </c>
      <c r="H3" s="62">
        <f t="shared" si="10"/>
        <v>1</v>
      </c>
      <c r="I3" s="62">
        <f t="shared" si="10"/>
        <v>1</v>
      </c>
      <c r="J3" s="62">
        <f t="shared" si="10"/>
        <v>1</v>
      </c>
      <c r="K3" s="62">
        <f t="shared" si="10"/>
        <v>1</v>
      </c>
      <c r="L3" s="62">
        <f t="shared" si="10"/>
        <v>1</v>
      </c>
      <c r="M3" s="62">
        <f t="shared" si="10"/>
        <v>1</v>
      </c>
      <c r="N3" s="62">
        <f t="shared" si="10"/>
        <v>0.875</v>
      </c>
      <c r="O3" s="62">
        <f t="shared" si="10"/>
        <v>1</v>
      </c>
      <c r="P3" s="62">
        <f t="shared" si="10"/>
        <v>1</v>
      </c>
      <c r="Q3" s="62">
        <f t="shared" si="10"/>
        <v>0.8571428571428571</v>
      </c>
      <c r="R3" s="62">
        <f t="shared" si="10"/>
        <v>1</v>
      </c>
      <c r="S3" s="62">
        <f t="shared" si="10"/>
        <v>1</v>
      </c>
      <c r="T3" s="62">
        <f t="shared" si="10"/>
        <v>1</v>
      </c>
      <c r="U3" s="62">
        <f t="shared" si="10"/>
        <v>1</v>
      </c>
      <c r="V3" s="62">
        <f t="shared" si="10"/>
        <v>1</v>
      </c>
      <c r="W3" s="62">
        <f t="shared" si="10"/>
        <v>1</v>
      </c>
      <c r="X3" s="62">
        <f t="shared" si="10"/>
        <v>1</v>
      </c>
      <c r="Y3" s="62">
        <f t="shared" si="10"/>
        <v>1</v>
      </c>
      <c r="Z3" s="62">
        <f t="shared" si="10"/>
        <v>1</v>
      </c>
      <c r="AA3" s="62" t="str">
        <f t="shared" si="10"/>
        <v/>
      </c>
      <c r="AB3" s="62" t="str">
        <f t="shared" ref="AB3" si="11">IF(AB2="","",IF(AB2/AA2&gt;1,1,AB2/AA2))</f>
        <v/>
      </c>
      <c r="AC3" s="62" t="str">
        <f t="shared" ref="AC3" si="12">IF(AC2="","",IF(AC2/AB2&gt;1,1,AC2/AB2))</f>
        <v/>
      </c>
      <c r="AD3" s="62" t="str">
        <f t="shared" ref="AD3" si="13">IF(AD2="","",IF(AD2/AC2&gt;1,1,AD2/AC2))</f>
        <v/>
      </c>
      <c r="AE3" s="62" t="str">
        <f t="shared" ref="AE3" si="14">IF(AE2="","",IF(AE2/AD2&gt;1,1,AE2/AD2))</f>
        <v/>
      </c>
      <c r="AF3" s="62" t="str">
        <f t="shared" ref="AF3" si="15">IF(AF2="","",IF(AF2/AE2&gt;1,1,AF2/AE2))</f>
        <v/>
      </c>
      <c r="AG3" s="62" t="str">
        <f t="shared" ref="AG3" si="16">IF(AG2="","",IF(AG2/AF2&gt;1,1,AG2/AF2))</f>
        <v/>
      </c>
      <c r="AH3" s="62" t="str">
        <f t="shared" ref="AH3" si="17">IF(AH2="","",IF(AH2/AG2&gt;1,1,AH2/AG2))</f>
        <v/>
      </c>
      <c r="AI3" s="62" t="str">
        <f t="shared" ref="AI3" si="18">IF(AI2="","",IF(AI2/AH2&gt;1,1,AI2/AH2))</f>
        <v/>
      </c>
      <c r="AJ3" s="62" t="str">
        <f t="shared" ref="AJ3" si="19">IF(AJ2="","",IF(AJ2/AI2&gt;1,1,AJ2/AI2))</f>
        <v/>
      </c>
      <c r="AK3" s="62" t="str">
        <f t="shared" ref="AK3" si="20">IF(AK2="","",IF(AK2/AJ2&gt;1,1,AK2/AJ2))</f>
        <v/>
      </c>
      <c r="AL3" s="62" t="str">
        <f t="shared" ref="AL3:AM3" si="21">IF(AL2="","",IF(AL2/AK2&gt;1,1,AL2/AK2))</f>
        <v/>
      </c>
      <c r="AM3" s="62" t="str">
        <f t="shared" si="21"/>
        <v/>
      </c>
      <c r="AN3" s="62" t="str">
        <f t="shared" ref="AN3" si="22">IF(AN2="","",IF(AN2/AM2&gt;1,1,AN2/AM2))</f>
        <v/>
      </c>
      <c r="AO3" s="62" t="str">
        <f t="shared" ref="AO3" si="23">IF(AO2="","",IF(AO2/AN2&gt;1,1,AO2/AN2))</f>
        <v/>
      </c>
      <c r="AP3" s="62" t="str">
        <f t="shared" ref="AP3" si="24">IF(AP2="","",IF(AP2/AO2&gt;1,1,AP2/AO2))</f>
        <v/>
      </c>
      <c r="AQ3" s="62" t="str">
        <f t="shared" ref="AQ3" si="25">IF(AQ2="","",IF(AQ2/AP2&gt;1,1,AQ2/AP2))</f>
        <v/>
      </c>
      <c r="AR3" s="62" t="str">
        <f t="shared" ref="AR3" si="26">IF(AR2="","",IF(AR2/AQ2&gt;1,1,AR2/AQ2))</f>
        <v/>
      </c>
      <c r="AS3" s="62" t="str">
        <f t="shared" ref="AS3" si="27">IF(AS2="","",IF(AS2/AR2&gt;1,1,AS2/AR2))</f>
        <v/>
      </c>
      <c r="AT3" s="62" t="str">
        <f t="shared" ref="AT3" si="28">IF(AT2="","",IF(AT2/AS2&gt;1,1,AT2/AS2))</f>
        <v/>
      </c>
      <c r="AU3" s="62" t="str">
        <f t="shared" ref="AU3" si="29">IF(AU2="","",IF(AU2/AT2&gt;1,1,AU2/AT2))</f>
        <v/>
      </c>
      <c r="AV3" s="62" t="str">
        <f t="shared" ref="AV3" si="30">IF(AV2="","",IF(AV2/AU2&gt;1,1,AV2/AU2))</f>
        <v/>
      </c>
      <c r="AW3" s="62" t="str">
        <f t="shared" ref="AW3" si="31">IF(AW2="","",IF(AW2/AV2&gt;1,1,AW2/AV2))</f>
        <v/>
      </c>
      <c r="AX3" s="62" t="str">
        <f t="shared" ref="AX3" si="32">IF(AX2="","",IF(AX2/AW2&gt;1,1,AX2/AW2))</f>
        <v/>
      </c>
    </row>
    <row r="6" spans="2:50" x14ac:dyDescent="0.2">
      <c r="B6" s="56" t="s">
        <v>87</v>
      </c>
    </row>
    <row r="7" spans="2:50" x14ac:dyDescent="0.2">
      <c r="C7" t="s">
        <v>71</v>
      </c>
      <c r="O7" t="s">
        <v>72</v>
      </c>
      <c r="P7" t="s">
        <v>73</v>
      </c>
      <c r="AB7" t="s">
        <v>74</v>
      </c>
    </row>
    <row r="8" spans="2:50" x14ac:dyDescent="0.2">
      <c r="C8" s="59" t="s">
        <v>75</v>
      </c>
      <c r="D8" s="59" t="s">
        <v>76</v>
      </c>
      <c r="E8" s="59" t="s">
        <v>77</v>
      </c>
      <c r="F8" s="59" t="s">
        <v>78</v>
      </c>
      <c r="G8" s="59" t="s">
        <v>79</v>
      </c>
      <c r="H8" s="59" t="s">
        <v>80</v>
      </c>
      <c r="I8" s="59" t="s">
        <v>81</v>
      </c>
      <c r="J8" s="59" t="s">
        <v>82</v>
      </c>
      <c r="K8" s="59" t="s">
        <v>83</v>
      </c>
      <c r="L8" s="59" t="s">
        <v>84</v>
      </c>
      <c r="M8" s="59" t="s">
        <v>85</v>
      </c>
      <c r="N8" s="59" t="s">
        <v>86</v>
      </c>
      <c r="P8" s="59" t="s">
        <v>75</v>
      </c>
      <c r="Q8" s="59" t="s">
        <v>76</v>
      </c>
      <c r="R8" s="59" t="s">
        <v>77</v>
      </c>
      <c r="S8" s="59" t="s">
        <v>78</v>
      </c>
      <c r="T8" s="59" t="s">
        <v>79</v>
      </c>
      <c r="U8" s="59" t="s">
        <v>80</v>
      </c>
      <c r="V8" s="59" t="s">
        <v>81</v>
      </c>
      <c r="W8" s="59" t="s">
        <v>82</v>
      </c>
      <c r="X8" s="59" t="s">
        <v>83</v>
      </c>
      <c r="Y8" s="59" t="s">
        <v>84</v>
      </c>
      <c r="Z8" s="59" t="s">
        <v>85</v>
      </c>
      <c r="AA8" s="59" t="s">
        <v>86</v>
      </c>
    </row>
    <row r="9" spans="2:50" x14ac:dyDescent="0.2">
      <c r="B9" s="46" t="s">
        <v>25</v>
      </c>
      <c r="C9" s="57">
        <v>1</v>
      </c>
      <c r="D9" s="57">
        <v>1</v>
      </c>
      <c r="E9" s="57">
        <v>1</v>
      </c>
      <c r="F9" s="57">
        <v>1</v>
      </c>
      <c r="G9" s="57">
        <v>1</v>
      </c>
      <c r="H9" s="57">
        <v>1</v>
      </c>
      <c r="I9" s="57">
        <v>1</v>
      </c>
      <c r="J9" s="57">
        <v>1</v>
      </c>
      <c r="K9" s="57">
        <v>1</v>
      </c>
      <c r="L9" s="57">
        <v>1</v>
      </c>
      <c r="M9" s="57">
        <v>1</v>
      </c>
      <c r="N9" s="57"/>
      <c r="O9" s="57">
        <v>11</v>
      </c>
      <c r="P9" s="57"/>
      <c r="Q9" s="57"/>
      <c r="R9" s="57"/>
      <c r="S9" s="57"/>
      <c r="T9" s="57"/>
      <c r="U9" s="57"/>
      <c r="V9" s="57"/>
      <c r="W9" s="57"/>
      <c r="X9" s="57"/>
      <c r="Y9" s="57"/>
      <c r="Z9" s="57"/>
      <c r="AA9" s="57"/>
      <c r="AB9" s="57"/>
    </row>
    <row r="10" spans="2:50" x14ac:dyDescent="0.2">
      <c r="B10" s="46" t="s">
        <v>30</v>
      </c>
      <c r="C10" s="57">
        <v>1</v>
      </c>
      <c r="D10" s="57">
        <v>1</v>
      </c>
      <c r="E10" s="57">
        <v>1</v>
      </c>
      <c r="F10" s="57">
        <v>1</v>
      </c>
      <c r="G10" s="57">
        <v>1</v>
      </c>
      <c r="H10" s="57">
        <v>1</v>
      </c>
      <c r="I10" s="57">
        <v>1</v>
      </c>
      <c r="J10" s="57">
        <v>1</v>
      </c>
      <c r="K10" s="57">
        <v>1</v>
      </c>
      <c r="L10" s="57">
        <v>1</v>
      </c>
      <c r="M10" s="57">
        <v>1</v>
      </c>
      <c r="N10" s="57">
        <v>1</v>
      </c>
      <c r="O10" s="57">
        <v>12</v>
      </c>
      <c r="P10" s="57">
        <v>1</v>
      </c>
      <c r="Q10" s="57">
        <v>1</v>
      </c>
      <c r="R10" s="57"/>
      <c r="S10" s="57"/>
      <c r="T10" s="57"/>
      <c r="U10" s="57"/>
      <c r="V10" s="57"/>
      <c r="W10" s="57"/>
      <c r="X10" s="57"/>
      <c r="Y10" s="57"/>
      <c r="Z10" s="57"/>
      <c r="AA10" s="57"/>
      <c r="AB10" s="57">
        <v>2</v>
      </c>
    </row>
    <row r="11" spans="2:50" x14ac:dyDescent="0.2">
      <c r="B11" s="46" t="s">
        <v>23</v>
      </c>
      <c r="C11" s="57">
        <v>1</v>
      </c>
      <c r="D11" s="57">
        <v>1</v>
      </c>
      <c r="E11" s="57">
        <v>1</v>
      </c>
      <c r="F11" s="57">
        <v>1</v>
      </c>
      <c r="G11" s="57">
        <v>1</v>
      </c>
      <c r="H11" s="57">
        <v>1</v>
      </c>
      <c r="I11" s="57">
        <v>1</v>
      </c>
      <c r="J11" s="57">
        <v>1</v>
      </c>
      <c r="K11" s="57">
        <v>1</v>
      </c>
      <c r="L11" s="57">
        <v>1</v>
      </c>
      <c r="M11" s="57">
        <v>1</v>
      </c>
      <c r="N11" s="57">
        <v>1</v>
      </c>
      <c r="O11" s="57">
        <v>12</v>
      </c>
      <c r="P11" s="57">
        <v>1</v>
      </c>
      <c r="Q11" s="57">
        <v>1</v>
      </c>
      <c r="R11" s="57">
        <v>1</v>
      </c>
      <c r="S11" s="57">
        <v>1</v>
      </c>
      <c r="T11" s="57">
        <v>1</v>
      </c>
      <c r="U11" s="57">
        <v>1</v>
      </c>
      <c r="V11" s="57">
        <v>1</v>
      </c>
      <c r="W11" s="57">
        <v>1</v>
      </c>
      <c r="X11" s="57">
        <v>1</v>
      </c>
      <c r="Y11" s="57">
        <v>1</v>
      </c>
      <c r="Z11" s="57">
        <v>1</v>
      </c>
      <c r="AA11" s="57">
        <v>1</v>
      </c>
      <c r="AB11" s="57">
        <v>12</v>
      </c>
    </row>
    <row r="12" spans="2:50" x14ac:dyDescent="0.2">
      <c r="B12" s="46" t="s">
        <v>27</v>
      </c>
      <c r="C12" s="57">
        <v>1</v>
      </c>
      <c r="D12" s="57">
        <v>1</v>
      </c>
      <c r="E12" s="57">
        <v>1</v>
      </c>
      <c r="F12" s="57">
        <v>1</v>
      </c>
      <c r="G12" s="57">
        <v>1</v>
      </c>
      <c r="H12" s="57">
        <v>1</v>
      </c>
      <c r="I12" s="57">
        <v>1</v>
      </c>
      <c r="J12" s="57">
        <v>1</v>
      </c>
      <c r="K12" s="57">
        <v>1</v>
      </c>
      <c r="L12" s="57">
        <v>1</v>
      </c>
      <c r="M12" s="57">
        <v>1</v>
      </c>
      <c r="N12" s="57">
        <v>1</v>
      </c>
      <c r="O12" s="57">
        <v>12</v>
      </c>
      <c r="P12" s="57">
        <v>1</v>
      </c>
      <c r="Q12" s="57">
        <v>1</v>
      </c>
      <c r="R12" s="57">
        <v>1</v>
      </c>
      <c r="S12" s="57">
        <v>1</v>
      </c>
      <c r="T12" s="57">
        <v>1</v>
      </c>
      <c r="U12" s="57">
        <v>1</v>
      </c>
      <c r="V12" s="57">
        <v>1</v>
      </c>
      <c r="W12" s="57">
        <v>1</v>
      </c>
      <c r="X12" s="57">
        <v>1</v>
      </c>
      <c r="Y12" s="57">
        <v>1</v>
      </c>
      <c r="Z12" s="57">
        <v>1</v>
      </c>
      <c r="AA12" s="57">
        <v>1</v>
      </c>
      <c r="AB12" s="57">
        <v>12</v>
      </c>
    </row>
    <row r="13" spans="2:50" x14ac:dyDescent="0.2">
      <c r="B13" s="46" t="s">
        <v>26</v>
      </c>
      <c r="C13" s="57"/>
      <c r="D13" s="57"/>
      <c r="E13" s="57"/>
      <c r="F13" s="57"/>
      <c r="G13" s="57"/>
      <c r="H13" s="57">
        <v>1</v>
      </c>
      <c r="I13" s="57">
        <v>1</v>
      </c>
      <c r="J13" s="57">
        <v>1</v>
      </c>
      <c r="K13" s="57">
        <v>1</v>
      </c>
      <c r="L13" s="57">
        <v>1</v>
      </c>
      <c r="M13" s="57">
        <v>1</v>
      </c>
      <c r="N13" s="57">
        <v>1</v>
      </c>
      <c r="O13" s="57">
        <v>7</v>
      </c>
      <c r="P13" s="57">
        <v>1</v>
      </c>
      <c r="Q13" s="57">
        <v>1</v>
      </c>
      <c r="R13" s="57">
        <v>1</v>
      </c>
      <c r="S13" s="57">
        <v>1</v>
      </c>
      <c r="T13" s="57">
        <v>1</v>
      </c>
      <c r="U13" s="57">
        <v>1</v>
      </c>
      <c r="V13" s="57">
        <v>1</v>
      </c>
      <c r="W13" s="57">
        <v>1</v>
      </c>
      <c r="X13" s="57">
        <v>1</v>
      </c>
      <c r="Y13" s="57">
        <v>1</v>
      </c>
      <c r="Z13" s="57">
        <v>1</v>
      </c>
      <c r="AA13" s="57">
        <v>1</v>
      </c>
      <c r="AB13" s="57">
        <v>12</v>
      </c>
    </row>
    <row r="14" spans="2:50" x14ac:dyDescent="0.2">
      <c r="B14" s="46" t="s">
        <v>29</v>
      </c>
      <c r="C14" s="57">
        <v>1</v>
      </c>
      <c r="D14" s="57">
        <v>1</v>
      </c>
      <c r="E14" s="57">
        <v>1</v>
      </c>
      <c r="F14" s="57">
        <v>1</v>
      </c>
      <c r="G14" s="57">
        <v>1</v>
      </c>
      <c r="H14" s="57">
        <v>1</v>
      </c>
      <c r="I14" s="57">
        <v>1</v>
      </c>
      <c r="J14" s="57">
        <v>1</v>
      </c>
      <c r="K14" s="57">
        <v>1</v>
      </c>
      <c r="L14" s="57">
        <v>1</v>
      </c>
      <c r="M14" s="57">
        <v>1</v>
      </c>
      <c r="N14" s="57">
        <v>1</v>
      </c>
      <c r="O14" s="57">
        <v>12</v>
      </c>
      <c r="P14" s="57">
        <v>1</v>
      </c>
      <c r="Q14" s="57">
        <v>1</v>
      </c>
      <c r="R14" s="57">
        <v>1</v>
      </c>
      <c r="S14" s="57">
        <v>1</v>
      </c>
      <c r="T14" s="57">
        <v>1</v>
      </c>
      <c r="U14" s="57">
        <v>1</v>
      </c>
      <c r="V14" s="57">
        <v>1</v>
      </c>
      <c r="W14" s="57">
        <v>1</v>
      </c>
      <c r="X14" s="57">
        <v>1</v>
      </c>
      <c r="Y14" s="57">
        <v>1</v>
      </c>
      <c r="Z14" s="57">
        <v>1</v>
      </c>
      <c r="AA14" s="57">
        <v>1</v>
      </c>
      <c r="AB14" s="57">
        <v>12</v>
      </c>
    </row>
    <row r="15" spans="2:50" x14ac:dyDescent="0.2">
      <c r="B15" s="46" t="s">
        <v>24</v>
      </c>
      <c r="C15" s="57">
        <v>1</v>
      </c>
      <c r="D15" s="57">
        <v>1</v>
      </c>
      <c r="E15" s="57">
        <v>1</v>
      </c>
      <c r="F15" s="57">
        <v>1</v>
      </c>
      <c r="G15" s="57">
        <v>1</v>
      </c>
      <c r="H15" s="57">
        <v>1</v>
      </c>
      <c r="I15" s="57">
        <v>1</v>
      </c>
      <c r="J15" s="57">
        <v>1</v>
      </c>
      <c r="K15" s="57">
        <v>1</v>
      </c>
      <c r="L15" s="57">
        <v>1</v>
      </c>
      <c r="M15" s="57">
        <v>1</v>
      </c>
      <c r="N15" s="57">
        <v>1</v>
      </c>
      <c r="O15" s="57">
        <v>12</v>
      </c>
      <c r="P15" s="57">
        <v>1</v>
      </c>
      <c r="Q15" s="57">
        <v>1</v>
      </c>
      <c r="R15" s="57">
        <v>1</v>
      </c>
      <c r="S15" s="57">
        <v>1</v>
      </c>
      <c r="T15" s="57">
        <v>1</v>
      </c>
      <c r="U15" s="57">
        <v>1</v>
      </c>
      <c r="V15" s="57">
        <v>1</v>
      </c>
      <c r="W15" s="57">
        <v>1</v>
      </c>
      <c r="X15" s="57">
        <v>1</v>
      </c>
      <c r="Y15" s="57">
        <v>1</v>
      </c>
      <c r="Z15" s="57">
        <v>1</v>
      </c>
      <c r="AA15" s="57">
        <v>1</v>
      </c>
      <c r="AB15" s="57">
        <v>12</v>
      </c>
    </row>
    <row r="16" spans="2:50" x14ac:dyDescent="0.2">
      <c r="B16" s="46" t="s">
        <v>28</v>
      </c>
      <c r="C16" s="57">
        <v>1</v>
      </c>
      <c r="D16" s="57">
        <v>1</v>
      </c>
      <c r="E16" s="57">
        <v>1</v>
      </c>
      <c r="F16" s="57">
        <v>1</v>
      </c>
      <c r="G16" s="57">
        <v>1</v>
      </c>
      <c r="H16" s="57">
        <v>1</v>
      </c>
      <c r="I16" s="57">
        <v>1</v>
      </c>
      <c r="J16" s="57">
        <v>1</v>
      </c>
      <c r="K16" s="57">
        <v>1</v>
      </c>
      <c r="L16" s="57">
        <v>1</v>
      </c>
      <c r="M16" s="57">
        <v>1</v>
      </c>
      <c r="N16" s="57">
        <v>1</v>
      </c>
      <c r="O16" s="57">
        <v>12</v>
      </c>
      <c r="P16" s="57">
        <v>1</v>
      </c>
      <c r="Q16" s="57">
        <v>1</v>
      </c>
      <c r="R16" s="57">
        <v>1</v>
      </c>
      <c r="S16" s="57">
        <v>1</v>
      </c>
      <c r="T16" s="57">
        <v>1</v>
      </c>
      <c r="U16" s="57">
        <v>1</v>
      </c>
      <c r="V16" s="57">
        <v>1</v>
      </c>
      <c r="W16" s="57">
        <v>1</v>
      </c>
      <c r="X16" s="57">
        <v>1</v>
      </c>
      <c r="Y16" s="57">
        <v>1</v>
      </c>
      <c r="Z16" s="57">
        <v>1</v>
      </c>
      <c r="AA16" s="57">
        <v>1</v>
      </c>
      <c r="AB16" s="57">
        <v>12</v>
      </c>
    </row>
    <row r="17" spans="2:28" x14ac:dyDescent="0.2">
      <c r="B17" s="46" t="s">
        <v>66</v>
      </c>
      <c r="C17" s="57">
        <v>7</v>
      </c>
      <c r="D17" s="57">
        <v>7</v>
      </c>
      <c r="E17" s="57">
        <v>7</v>
      </c>
      <c r="F17" s="57">
        <v>7</v>
      </c>
      <c r="G17" s="57">
        <v>7</v>
      </c>
      <c r="H17" s="57">
        <v>8</v>
      </c>
      <c r="I17" s="57">
        <v>8</v>
      </c>
      <c r="J17" s="57">
        <v>8</v>
      </c>
      <c r="K17" s="57">
        <v>8</v>
      </c>
      <c r="L17" s="57">
        <v>8</v>
      </c>
      <c r="M17" s="57">
        <v>8</v>
      </c>
      <c r="N17" s="57">
        <v>7</v>
      </c>
      <c r="O17" s="57">
        <v>90</v>
      </c>
      <c r="P17" s="57">
        <v>7</v>
      </c>
      <c r="Q17" s="57">
        <v>7</v>
      </c>
      <c r="R17" s="57">
        <v>6</v>
      </c>
      <c r="S17" s="57">
        <v>6</v>
      </c>
      <c r="T17" s="57">
        <v>6</v>
      </c>
      <c r="U17" s="57">
        <v>6</v>
      </c>
      <c r="V17" s="57">
        <v>6</v>
      </c>
      <c r="W17" s="57">
        <v>6</v>
      </c>
      <c r="X17" s="57">
        <v>6</v>
      </c>
      <c r="Y17" s="57">
        <v>6</v>
      </c>
      <c r="Z17" s="57">
        <v>6</v>
      </c>
      <c r="AA17" s="57">
        <v>6</v>
      </c>
      <c r="AB17" s="57">
        <v>74</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Refresh">
                <anchor moveWithCells="1" sizeWithCells="1">
                  <from>
                    <xdr:col>0</xdr:col>
                    <xdr:colOff>180975</xdr:colOff>
                    <xdr:row>3</xdr:row>
                    <xdr:rowOff>114300</xdr:rowOff>
                  </from>
                  <to>
                    <xdr:col>1</xdr:col>
                    <xdr:colOff>723900</xdr:colOff>
                    <xdr:row>4</xdr:row>
                    <xdr:rowOff>152400</xdr:rowOff>
                  </to>
                </anchor>
              </controlPr>
            </control>
          </mc:Choice>
        </mc:AlternateContent>
        <mc:AlternateContent xmlns:mc="http://schemas.openxmlformats.org/markup-compatibility/2006">
          <mc:Choice Requires="x14">
            <control shapeId="5122" r:id="rId5" name="Button 2">
              <controlPr defaultSize="0" print="0" autoFill="0" autoPict="0" macro="[0]!Resize">
                <anchor moveWithCells="1" sizeWithCells="1">
                  <from>
                    <xdr:col>1</xdr:col>
                    <xdr:colOff>742950</xdr:colOff>
                    <xdr:row>3</xdr:row>
                    <xdr:rowOff>114300</xdr:rowOff>
                  </from>
                  <to>
                    <xdr:col>1</xdr:col>
                    <xdr:colOff>1476375</xdr:colOff>
                    <xdr:row>4</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 id="{D8C39365-28E4-4989-B4B6-E6D7A32A3289}">
            <x14:iconSet iconSet="3Triangles" custom="1">
              <x14:cfvo type="percent">
                <xm:f>0</xm:f>
              </x14:cfvo>
              <x14:cfvo type="num">
                <xm:f>1</xm:f>
              </x14:cfvo>
              <x14:cfvo type="num">
                <xm:f>5</xm:f>
              </x14:cfvo>
              <x14:cfIcon iconSet="3Triangles" iconId="0"/>
              <x14:cfIcon iconSet="NoIcons" iconId="0"/>
              <x14:cfIcon iconSet="NoIcons" iconId="0"/>
            </x14:iconSet>
          </x14:cfRule>
          <xm:sqref>D3:AX3</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35653-56F4-4484-8F99-0C8EEFF86EBF}">
  <sheetPr codeName="Sheet6">
    <tabColor rgb="FF8FCFAD"/>
  </sheetPr>
  <dimension ref="B10:AC37"/>
  <sheetViews>
    <sheetView showGridLines="0" showRowColHeaders="0" zoomScale="115" zoomScaleNormal="115" workbookViewId="0">
      <selection activeCell="C17" sqref="C17"/>
    </sheetView>
  </sheetViews>
  <sheetFormatPr defaultColWidth="9.140625" defaultRowHeight="12.75" x14ac:dyDescent="0.2"/>
  <cols>
    <col min="1" max="1" width="1.42578125" customWidth="1"/>
    <col min="2" max="2" width="17.140625" bestFit="1" customWidth="1"/>
    <col min="3" max="3" width="11.28515625" bestFit="1" customWidth="1"/>
    <col min="4" max="4" width="12.42578125" bestFit="1" customWidth="1"/>
    <col min="5" max="5" width="9.5703125" bestFit="1" customWidth="1"/>
    <col min="6" max="6" width="11.28515625" bestFit="1" customWidth="1"/>
    <col min="7" max="14" width="8.7109375" bestFit="1" customWidth="1"/>
    <col min="15" max="15" width="9.7109375" bestFit="1" customWidth="1"/>
    <col min="16" max="27" width="8.7109375" bestFit="1" customWidth="1"/>
    <col min="28" max="28" width="9.7109375" bestFit="1" customWidth="1"/>
    <col min="29" max="29" width="11.28515625" bestFit="1" customWidth="1"/>
    <col min="30" max="32" width="8.7109375" customWidth="1"/>
    <col min="33" max="33" width="9.85546875" customWidth="1"/>
    <col min="34" max="34" width="9.7109375" bestFit="1" customWidth="1"/>
    <col min="35" max="35" width="11.28515625" bestFit="1" customWidth="1"/>
    <col min="36" max="36" width="8.7109375" customWidth="1"/>
    <col min="37" max="37" width="9.85546875" customWidth="1"/>
    <col min="38" max="40" width="8.7109375" customWidth="1"/>
    <col min="41" max="41" width="9.85546875" customWidth="1"/>
    <col min="42" max="42" width="10.140625" customWidth="1"/>
    <col min="43" max="43" width="11.7109375" customWidth="1"/>
  </cols>
  <sheetData>
    <row r="10" spans="2:6" x14ac:dyDescent="0.2">
      <c r="B10" s="64"/>
    </row>
    <row r="11" spans="2:6" ht="38.25" x14ac:dyDescent="0.2">
      <c r="B11" s="63" t="s">
        <v>10</v>
      </c>
      <c r="C11" s="61" t="s">
        <v>67</v>
      </c>
      <c r="D11" s="61" t="s">
        <v>68</v>
      </c>
      <c r="E11" s="61" t="s">
        <v>69</v>
      </c>
      <c r="F11" s="61" t="s">
        <v>70</v>
      </c>
    </row>
    <row r="12" spans="2:6" x14ac:dyDescent="0.2">
      <c r="B12" s="46" t="s">
        <v>25</v>
      </c>
      <c r="C12" s="58">
        <v>68282.5</v>
      </c>
      <c r="D12" s="58">
        <v>6828.25</v>
      </c>
      <c r="E12" s="58">
        <v>0</v>
      </c>
      <c r="F12" s="58">
        <v>75110.75</v>
      </c>
    </row>
    <row r="13" spans="2:6" x14ac:dyDescent="0.2">
      <c r="B13" s="46" t="s">
        <v>30</v>
      </c>
      <c r="C13" s="58">
        <v>59220</v>
      </c>
      <c r="D13" s="58">
        <v>5922</v>
      </c>
      <c r="E13" s="58">
        <v>0</v>
      </c>
      <c r="F13" s="58">
        <v>65142</v>
      </c>
    </row>
    <row r="14" spans="2:6" x14ac:dyDescent="0.2">
      <c r="B14" s="46" t="s">
        <v>23</v>
      </c>
      <c r="C14" s="58">
        <v>147339.19999999998</v>
      </c>
      <c r="D14" s="58">
        <v>8840.3520000000008</v>
      </c>
      <c r="E14" s="58">
        <v>19453.567999999999</v>
      </c>
      <c r="F14" s="58">
        <v>175633.12</v>
      </c>
    </row>
    <row r="15" spans="2:6" x14ac:dyDescent="0.2">
      <c r="B15" s="46" t="s">
        <v>27</v>
      </c>
      <c r="C15" s="58">
        <v>99184.000000000029</v>
      </c>
      <c r="D15" s="58">
        <v>5951.04</v>
      </c>
      <c r="E15" s="58">
        <v>13875.080999999998</v>
      </c>
      <c r="F15" s="58">
        <v>119010.12099999997</v>
      </c>
    </row>
    <row r="16" spans="2:6" x14ac:dyDescent="0.2">
      <c r="B16" s="46" t="s">
        <v>26</v>
      </c>
      <c r="C16" s="58">
        <v>130303.5833333333</v>
      </c>
      <c r="D16" s="58">
        <v>7818.2149999999974</v>
      </c>
      <c r="E16" s="58">
        <v>16851.14</v>
      </c>
      <c r="F16" s="58">
        <v>154972.9383333333</v>
      </c>
    </row>
    <row r="17" spans="2:29" x14ac:dyDescent="0.2">
      <c r="B17" s="46" t="s">
        <v>29</v>
      </c>
      <c r="C17" s="58">
        <v>249330.46153846144</v>
      </c>
      <c r="D17" s="58">
        <v>29919.655384615384</v>
      </c>
      <c r="E17" s="58">
        <v>0</v>
      </c>
      <c r="F17" s="58">
        <v>279250.11692307674</v>
      </c>
    </row>
    <row r="18" spans="2:29" x14ac:dyDescent="0.2">
      <c r="B18" s="46" t="s">
        <v>24</v>
      </c>
      <c r="C18" s="58">
        <v>125590.00000000004</v>
      </c>
      <c r="D18" s="58">
        <v>7535.4000000000033</v>
      </c>
      <c r="E18" s="58">
        <v>24939.359999999993</v>
      </c>
      <c r="F18" s="58">
        <v>158064.76000000004</v>
      </c>
    </row>
    <row r="19" spans="2:29" x14ac:dyDescent="0.2">
      <c r="B19" s="46" t="s">
        <v>28</v>
      </c>
      <c r="C19" s="58">
        <v>146620.00000000003</v>
      </c>
      <c r="D19" s="58">
        <v>14661.999999999996</v>
      </c>
      <c r="E19" s="58">
        <v>0</v>
      </c>
      <c r="F19" s="58">
        <v>161282</v>
      </c>
    </row>
    <row r="20" spans="2:29" x14ac:dyDescent="0.2">
      <c r="B20" s="46" t="s">
        <v>66</v>
      </c>
      <c r="C20" s="58">
        <v>1025869.7448717947</v>
      </c>
      <c r="D20" s="58">
        <v>87476.912384615382</v>
      </c>
      <c r="E20" s="58">
        <v>75119.14899999999</v>
      </c>
      <c r="F20" s="58">
        <v>1188465.80625641</v>
      </c>
    </row>
    <row r="21" spans="2:29" x14ac:dyDescent="0.2">
      <c r="B21" s="46"/>
      <c r="C21" s="58"/>
      <c r="D21" s="58"/>
      <c r="E21" s="58"/>
      <c r="F21" s="58"/>
    </row>
    <row r="22" spans="2:29" x14ac:dyDescent="0.2">
      <c r="B22" s="46"/>
      <c r="C22" s="58"/>
      <c r="D22" s="58"/>
      <c r="E22" s="58"/>
      <c r="F22" s="58"/>
    </row>
    <row r="23" spans="2:29" x14ac:dyDescent="0.2">
      <c r="B23" s="46"/>
      <c r="C23" s="58"/>
      <c r="D23" s="58"/>
      <c r="E23" s="58"/>
      <c r="F23" s="58"/>
    </row>
    <row r="24" spans="2:29" x14ac:dyDescent="0.2">
      <c r="B24" s="46"/>
      <c r="C24" s="58"/>
      <c r="D24" s="58"/>
      <c r="E24" s="58"/>
      <c r="F24" s="58"/>
    </row>
    <row r="26" spans="2:29" x14ac:dyDescent="0.2">
      <c r="B26" s="56" t="s">
        <v>70</v>
      </c>
    </row>
    <row r="27" spans="2:29" x14ac:dyDescent="0.2">
      <c r="C27" t="s">
        <v>71</v>
      </c>
      <c r="O27" t="s">
        <v>72</v>
      </c>
      <c r="P27" t="s">
        <v>73</v>
      </c>
      <c r="AB27" t="s">
        <v>74</v>
      </c>
      <c r="AC27" t="s">
        <v>66</v>
      </c>
    </row>
    <row r="28" spans="2:29" x14ac:dyDescent="0.2">
      <c r="C28" s="59" t="s">
        <v>75</v>
      </c>
      <c r="D28" s="59" t="s">
        <v>76</v>
      </c>
      <c r="E28" s="59" t="s">
        <v>77</v>
      </c>
      <c r="F28" s="59" t="s">
        <v>78</v>
      </c>
      <c r="G28" s="59" t="s">
        <v>79</v>
      </c>
      <c r="H28" s="59" t="s">
        <v>80</v>
      </c>
      <c r="I28" s="59" t="s">
        <v>81</v>
      </c>
      <c r="J28" s="59" t="s">
        <v>82</v>
      </c>
      <c r="K28" s="59" t="s">
        <v>83</v>
      </c>
      <c r="L28" s="59" t="s">
        <v>84</v>
      </c>
      <c r="M28" s="59" t="s">
        <v>85</v>
      </c>
      <c r="N28" s="59" t="s">
        <v>86</v>
      </c>
      <c r="P28" s="59" t="s">
        <v>75</v>
      </c>
      <c r="Q28" s="59" t="s">
        <v>76</v>
      </c>
      <c r="R28" s="59" t="s">
        <v>77</v>
      </c>
      <c r="S28" s="59" t="s">
        <v>78</v>
      </c>
      <c r="T28" s="59" t="s">
        <v>79</v>
      </c>
      <c r="U28" s="59" t="s">
        <v>80</v>
      </c>
      <c r="V28" s="59" t="s">
        <v>81</v>
      </c>
      <c r="W28" s="59" t="s">
        <v>82</v>
      </c>
      <c r="X28" s="59" t="s">
        <v>83</v>
      </c>
      <c r="Y28" s="59" t="s">
        <v>84</v>
      </c>
      <c r="Z28" s="59" t="s">
        <v>85</v>
      </c>
      <c r="AA28" s="59" t="s">
        <v>86</v>
      </c>
    </row>
    <row r="29" spans="2:29" x14ac:dyDescent="0.2">
      <c r="B29" s="46" t="s">
        <v>25</v>
      </c>
      <c r="C29" s="58">
        <v>6828.25</v>
      </c>
      <c r="D29" s="58">
        <v>6828.25</v>
      </c>
      <c r="E29" s="58">
        <v>6828.25</v>
      </c>
      <c r="F29" s="58">
        <v>6828.25</v>
      </c>
      <c r="G29" s="58">
        <v>6828.25</v>
      </c>
      <c r="H29" s="58">
        <v>6828.25</v>
      </c>
      <c r="I29" s="58">
        <v>6828.25</v>
      </c>
      <c r="J29" s="58">
        <v>6828.25</v>
      </c>
      <c r="K29" s="58">
        <v>6828.25</v>
      </c>
      <c r="L29" s="58">
        <v>6828.25</v>
      </c>
      <c r="M29" s="58">
        <v>6828.25</v>
      </c>
      <c r="N29" s="58"/>
      <c r="O29" s="58">
        <v>75110.75</v>
      </c>
      <c r="P29" s="58"/>
      <c r="Q29" s="58"/>
      <c r="R29" s="58"/>
      <c r="S29" s="58"/>
      <c r="T29" s="58"/>
      <c r="U29" s="58"/>
      <c r="V29" s="58"/>
      <c r="W29" s="58"/>
      <c r="X29" s="58"/>
      <c r="Y29" s="58"/>
      <c r="Z29" s="58"/>
      <c r="AA29" s="58"/>
      <c r="AB29" s="58"/>
      <c r="AC29" s="58">
        <v>75110.75</v>
      </c>
    </row>
    <row r="30" spans="2:29" x14ac:dyDescent="0.2">
      <c r="B30" s="46" t="s">
        <v>30</v>
      </c>
      <c r="C30" s="58">
        <v>4653</v>
      </c>
      <c r="D30" s="58">
        <v>4653</v>
      </c>
      <c r="E30" s="58">
        <v>4653</v>
      </c>
      <c r="F30" s="58">
        <v>4653</v>
      </c>
      <c r="G30" s="58">
        <v>4653</v>
      </c>
      <c r="H30" s="58">
        <v>4653</v>
      </c>
      <c r="I30" s="58">
        <v>4653</v>
      </c>
      <c r="J30" s="58">
        <v>4653</v>
      </c>
      <c r="K30" s="58">
        <v>4653</v>
      </c>
      <c r="L30" s="58">
        <v>4653</v>
      </c>
      <c r="M30" s="58">
        <v>4653</v>
      </c>
      <c r="N30" s="58">
        <v>4653</v>
      </c>
      <c r="O30" s="58">
        <v>55836</v>
      </c>
      <c r="P30" s="58">
        <v>4653</v>
      </c>
      <c r="Q30" s="58">
        <v>4653</v>
      </c>
      <c r="R30" s="58"/>
      <c r="S30" s="58"/>
      <c r="T30" s="58"/>
      <c r="U30" s="58"/>
      <c r="V30" s="58"/>
      <c r="W30" s="58"/>
      <c r="X30" s="58"/>
      <c r="Y30" s="58"/>
      <c r="Z30" s="58"/>
      <c r="AA30" s="58"/>
      <c r="AB30" s="58">
        <v>9306</v>
      </c>
      <c r="AC30" s="58">
        <v>65142</v>
      </c>
    </row>
    <row r="31" spans="2:29" x14ac:dyDescent="0.2">
      <c r="B31" s="46" t="s">
        <v>23</v>
      </c>
      <c r="C31" s="58">
        <v>7317.9293333333344</v>
      </c>
      <c r="D31" s="58">
        <v>7284.3133333333344</v>
      </c>
      <c r="E31" s="58">
        <v>7443.8093333333345</v>
      </c>
      <c r="F31" s="58">
        <v>7381.5453333333344</v>
      </c>
      <c r="G31" s="58">
        <v>7243.4813333333341</v>
      </c>
      <c r="H31" s="58">
        <v>7496.3853333333336</v>
      </c>
      <c r="I31" s="58">
        <v>7179.601333333334</v>
      </c>
      <c r="J31" s="58">
        <v>7485.0253333333339</v>
      </c>
      <c r="K31" s="58">
        <v>7351.4013333333342</v>
      </c>
      <c r="L31" s="58">
        <v>7079.2893333333341</v>
      </c>
      <c r="M31" s="58">
        <v>7544.2573333333339</v>
      </c>
      <c r="N31" s="58">
        <v>7422.4493333333339</v>
      </c>
      <c r="O31" s="58">
        <v>88229.487999999998</v>
      </c>
      <c r="P31" s="58">
        <v>7158.1693333333342</v>
      </c>
      <c r="Q31" s="58">
        <v>7294.8493333333345</v>
      </c>
      <c r="R31" s="58">
        <v>7503.2653333333337</v>
      </c>
      <c r="S31" s="58">
        <v>7222.4573333333337</v>
      </c>
      <c r="T31" s="58">
        <v>7146.4653333333345</v>
      </c>
      <c r="U31" s="58">
        <v>7110.0733333333337</v>
      </c>
      <c r="V31" s="58">
        <v>7103.3853333333336</v>
      </c>
      <c r="W31" s="58">
        <v>7483.2253333333338</v>
      </c>
      <c r="X31" s="58">
        <v>7362.1693333333342</v>
      </c>
      <c r="Y31" s="58">
        <v>7329.4413333333341</v>
      </c>
      <c r="Z31" s="58">
        <v>7221.0093333333343</v>
      </c>
      <c r="AA31" s="58">
        <v>7469.1213333333344</v>
      </c>
      <c r="AB31" s="58">
        <v>87403.631999999998</v>
      </c>
      <c r="AC31" s="58">
        <v>175633.12</v>
      </c>
    </row>
    <row r="32" spans="2:29" x14ac:dyDescent="0.2">
      <c r="B32" s="46" t="s">
        <v>27</v>
      </c>
      <c r="C32" s="58">
        <v>4380.626666666667</v>
      </c>
      <c r="D32" s="58">
        <v>4380.626666666667</v>
      </c>
      <c r="E32" s="58">
        <v>4380.626666666667</v>
      </c>
      <c r="F32" s="58">
        <v>4380.626666666667</v>
      </c>
      <c r="G32" s="58">
        <v>4380.626666666667</v>
      </c>
      <c r="H32" s="58">
        <v>4380.626666666667</v>
      </c>
      <c r="I32" s="58">
        <v>4380.626666666667</v>
      </c>
      <c r="J32" s="58">
        <v>4380.626666666667</v>
      </c>
      <c r="K32" s="58">
        <v>4380.626666666667</v>
      </c>
      <c r="L32" s="58">
        <v>4380.626666666667</v>
      </c>
      <c r="M32" s="58">
        <v>4380.626666666667</v>
      </c>
      <c r="N32" s="58">
        <v>4380.626666666667</v>
      </c>
      <c r="O32" s="58">
        <v>52567.51999999999</v>
      </c>
      <c r="P32" s="58">
        <v>5552.9956666666667</v>
      </c>
      <c r="Q32" s="58">
        <v>5656.2856666666667</v>
      </c>
      <c r="R32" s="58">
        <v>5686.7446666666674</v>
      </c>
      <c r="S32" s="58">
        <v>5368.8886666666667</v>
      </c>
      <c r="T32" s="58">
        <v>5569.2096666666666</v>
      </c>
      <c r="U32" s="58">
        <v>5348.5276666666668</v>
      </c>
      <c r="V32" s="58">
        <v>5722.153666666667</v>
      </c>
      <c r="W32" s="58">
        <v>5791.0356666666667</v>
      </c>
      <c r="X32" s="58">
        <v>5499.6566666666668</v>
      </c>
      <c r="Y32" s="58">
        <v>5443.1276666666672</v>
      </c>
      <c r="Z32" s="58">
        <v>5174.8376666666672</v>
      </c>
      <c r="AA32" s="58">
        <v>5629.1376666666674</v>
      </c>
      <c r="AB32" s="58">
        <v>66442.600999999995</v>
      </c>
      <c r="AC32" s="58">
        <v>119010.12099999997</v>
      </c>
    </row>
    <row r="33" spans="2:29" x14ac:dyDescent="0.2">
      <c r="B33" s="46" t="s">
        <v>26</v>
      </c>
      <c r="C33" s="58"/>
      <c r="D33" s="58"/>
      <c r="E33" s="58"/>
      <c r="F33" s="58"/>
      <c r="G33" s="58"/>
      <c r="H33" s="58">
        <v>7269.5683333333327</v>
      </c>
      <c r="I33" s="58">
        <v>8360.2983333333323</v>
      </c>
      <c r="J33" s="58">
        <v>8203.3283333333329</v>
      </c>
      <c r="K33" s="58">
        <v>7987.4683333333323</v>
      </c>
      <c r="L33" s="58">
        <v>8311.0683333333327</v>
      </c>
      <c r="M33" s="58">
        <v>8383.1683333333331</v>
      </c>
      <c r="N33" s="58">
        <v>8063.9383333333326</v>
      </c>
      <c r="O33" s="58">
        <v>56578.838333333326</v>
      </c>
      <c r="P33" s="58">
        <v>8133.1183333333329</v>
      </c>
      <c r="Q33" s="58">
        <v>8222.4783333333326</v>
      </c>
      <c r="R33" s="58">
        <v>8088.1283333333331</v>
      </c>
      <c r="S33" s="58">
        <v>8246.4383333333335</v>
      </c>
      <c r="T33" s="58">
        <v>7975.7583333333332</v>
      </c>
      <c r="U33" s="58">
        <v>8348.5483333333323</v>
      </c>
      <c r="V33" s="58">
        <v>8361.4883333333328</v>
      </c>
      <c r="W33" s="58">
        <v>8110.5583333333325</v>
      </c>
      <c r="X33" s="58">
        <v>8439.2083333333321</v>
      </c>
      <c r="Y33" s="58">
        <v>8045.5683333333327</v>
      </c>
      <c r="Z33" s="58">
        <v>8119.5283333333327</v>
      </c>
      <c r="AA33" s="58">
        <v>8303.2783333333318</v>
      </c>
      <c r="AB33" s="58">
        <v>98394.099999999991</v>
      </c>
      <c r="AC33" s="58">
        <v>154972.9383333333</v>
      </c>
    </row>
    <row r="34" spans="2:29" x14ac:dyDescent="0.2">
      <c r="B34" s="46" t="s">
        <v>29</v>
      </c>
      <c r="C34" s="58">
        <v>11635.421538461538</v>
      </c>
      <c r="D34" s="58">
        <v>11635.421538461538</v>
      </c>
      <c r="E34" s="58">
        <v>11635.421538461538</v>
      </c>
      <c r="F34" s="58">
        <v>11635.421538461538</v>
      </c>
      <c r="G34" s="58">
        <v>11635.421538461538</v>
      </c>
      <c r="H34" s="58">
        <v>11635.421538461538</v>
      </c>
      <c r="I34" s="58">
        <v>11635.421538461538</v>
      </c>
      <c r="J34" s="58">
        <v>11635.421538461538</v>
      </c>
      <c r="K34" s="58">
        <v>11635.421538461538</v>
      </c>
      <c r="L34" s="58">
        <v>11635.421538461538</v>
      </c>
      <c r="M34" s="58">
        <v>11635.421538461538</v>
      </c>
      <c r="N34" s="58">
        <v>11635.421538461538</v>
      </c>
      <c r="O34" s="58">
        <v>139625.05846153846</v>
      </c>
      <c r="P34" s="58">
        <v>11635.421538461538</v>
      </c>
      <c r="Q34" s="58">
        <v>11635.421538461538</v>
      </c>
      <c r="R34" s="58">
        <v>11635.421538461538</v>
      </c>
      <c r="S34" s="58">
        <v>11635.421538461538</v>
      </c>
      <c r="T34" s="58">
        <v>11635.421538461538</v>
      </c>
      <c r="U34" s="58">
        <v>11635.421538461538</v>
      </c>
      <c r="V34" s="58">
        <v>11635.421538461538</v>
      </c>
      <c r="W34" s="58">
        <v>11635.421538461538</v>
      </c>
      <c r="X34" s="58">
        <v>11635.421538461538</v>
      </c>
      <c r="Y34" s="58">
        <v>11635.421538461538</v>
      </c>
      <c r="Z34" s="58">
        <v>11635.421538461538</v>
      </c>
      <c r="AA34" s="58">
        <v>11635.421538461538</v>
      </c>
      <c r="AB34" s="58">
        <v>139625.05846153846</v>
      </c>
      <c r="AC34" s="58">
        <v>279250.11692307674</v>
      </c>
    </row>
    <row r="35" spans="2:29" x14ac:dyDescent="0.2">
      <c r="B35" s="46" t="s">
        <v>24</v>
      </c>
      <c r="C35" s="58">
        <v>6795.6116666666676</v>
      </c>
      <c r="D35" s="58">
        <v>6324.4216666666671</v>
      </c>
      <c r="E35" s="58">
        <v>6782.0516666666672</v>
      </c>
      <c r="F35" s="58">
        <v>6599.4116666666669</v>
      </c>
      <c r="G35" s="58">
        <v>6311.961666666667</v>
      </c>
      <c r="H35" s="58">
        <v>6610.5216666666674</v>
      </c>
      <c r="I35" s="58">
        <v>6721.6416666666673</v>
      </c>
      <c r="J35" s="58">
        <v>6553.7416666666677</v>
      </c>
      <c r="K35" s="58">
        <v>6794.6016666666674</v>
      </c>
      <c r="L35" s="58">
        <v>6406.4416666666675</v>
      </c>
      <c r="M35" s="58">
        <v>6840.5516666666672</v>
      </c>
      <c r="N35" s="58">
        <v>6769.1316666666671</v>
      </c>
      <c r="O35" s="58">
        <v>79510.090000000011</v>
      </c>
      <c r="P35" s="58">
        <v>6625.3616666666676</v>
      </c>
      <c r="Q35" s="58">
        <v>6333.4316666666673</v>
      </c>
      <c r="R35" s="58">
        <v>6755.0416666666679</v>
      </c>
      <c r="S35" s="58">
        <v>6322.5716666666676</v>
      </c>
      <c r="T35" s="58">
        <v>6303.8716666666678</v>
      </c>
      <c r="U35" s="58">
        <v>6778.4716666666673</v>
      </c>
      <c r="V35" s="58">
        <v>6439.8216666666676</v>
      </c>
      <c r="W35" s="58">
        <v>6387.3316666666669</v>
      </c>
      <c r="X35" s="58">
        <v>6732.9816666666675</v>
      </c>
      <c r="Y35" s="58">
        <v>6802.0416666666679</v>
      </c>
      <c r="Z35" s="58">
        <v>6542.7816666666677</v>
      </c>
      <c r="AA35" s="58">
        <v>6530.961666666667</v>
      </c>
      <c r="AB35" s="58">
        <v>78554.67</v>
      </c>
      <c r="AC35" s="58">
        <v>158064.76000000004</v>
      </c>
    </row>
    <row r="36" spans="2:29" x14ac:dyDescent="0.2">
      <c r="B36" s="46" t="s">
        <v>28</v>
      </c>
      <c r="C36" s="58">
        <v>6720.0833333333339</v>
      </c>
      <c r="D36" s="58">
        <v>6720.0833333333339</v>
      </c>
      <c r="E36" s="58">
        <v>6720.0833333333339</v>
      </c>
      <c r="F36" s="58">
        <v>6720.0833333333339</v>
      </c>
      <c r="G36" s="58">
        <v>6720.0833333333339</v>
      </c>
      <c r="H36" s="58">
        <v>6720.0833333333339</v>
      </c>
      <c r="I36" s="58">
        <v>6720.0833333333339</v>
      </c>
      <c r="J36" s="58">
        <v>6720.0833333333339</v>
      </c>
      <c r="K36" s="58">
        <v>6720.0833333333339</v>
      </c>
      <c r="L36" s="58">
        <v>6720.0833333333339</v>
      </c>
      <c r="M36" s="58">
        <v>6720.0833333333339</v>
      </c>
      <c r="N36" s="58">
        <v>6720.0833333333339</v>
      </c>
      <c r="O36" s="58">
        <v>80641</v>
      </c>
      <c r="P36" s="58">
        <v>6720.0833333333339</v>
      </c>
      <c r="Q36" s="58">
        <v>6720.0833333333339</v>
      </c>
      <c r="R36" s="58">
        <v>6720.0833333333339</v>
      </c>
      <c r="S36" s="58">
        <v>6720.0833333333339</v>
      </c>
      <c r="T36" s="58">
        <v>6720.0833333333339</v>
      </c>
      <c r="U36" s="58">
        <v>6720.0833333333339</v>
      </c>
      <c r="V36" s="58">
        <v>6720.0833333333339</v>
      </c>
      <c r="W36" s="58">
        <v>6720.0833333333339</v>
      </c>
      <c r="X36" s="58">
        <v>6720.0833333333339</v>
      </c>
      <c r="Y36" s="58">
        <v>6720.0833333333339</v>
      </c>
      <c r="Z36" s="58">
        <v>6720.0833333333339</v>
      </c>
      <c r="AA36" s="58">
        <v>6720.0833333333339</v>
      </c>
      <c r="AB36" s="58">
        <v>80641</v>
      </c>
      <c r="AC36" s="58">
        <v>161282</v>
      </c>
    </row>
    <row r="37" spans="2:29" x14ac:dyDescent="0.2">
      <c r="B37" s="46" t="s">
        <v>66</v>
      </c>
      <c r="C37" s="58">
        <v>48330.922538461535</v>
      </c>
      <c r="D37" s="58">
        <v>47826.116538461545</v>
      </c>
      <c r="E37" s="58">
        <v>48443.242538461542</v>
      </c>
      <c r="F37" s="58">
        <v>48198.338538461547</v>
      </c>
      <c r="G37" s="58">
        <v>47772.824538461544</v>
      </c>
      <c r="H37" s="58">
        <v>55593.856871794873</v>
      </c>
      <c r="I37" s="58">
        <v>56478.922871794872</v>
      </c>
      <c r="J37" s="58">
        <v>56459.476871794875</v>
      </c>
      <c r="K37" s="58">
        <v>56350.852871794879</v>
      </c>
      <c r="L37" s="58">
        <v>56014.180871794873</v>
      </c>
      <c r="M37" s="58">
        <v>56985.358871794873</v>
      </c>
      <c r="N37" s="58">
        <v>49644.650871794875</v>
      </c>
      <c r="O37" s="58">
        <v>628098.74479487177</v>
      </c>
      <c r="P37" s="58">
        <v>50478.149871794878</v>
      </c>
      <c r="Q37" s="58">
        <v>50515.549871794872</v>
      </c>
      <c r="R37" s="58">
        <v>46388.684871794881</v>
      </c>
      <c r="S37" s="58">
        <v>45515.860871794881</v>
      </c>
      <c r="T37" s="58">
        <v>45350.809871794874</v>
      </c>
      <c r="U37" s="58">
        <v>45941.125871794873</v>
      </c>
      <c r="V37" s="58">
        <v>45982.353871794876</v>
      </c>
      <c r="W37" s="58">
        <v>46127.655871794872</v>
      </c>
      <c r="X37" s="58">
        <v>46389.52087179487</v>
      </c>
      <c r="Y37" s="58">
        <v>45975.683871794878</v>
      </c>
      <c r="Z37" s="58">
        <v>45413.661871794873</v>
      </c>
      <c r="AA37" s="58">
        <v>46288.003871794877</v>
      </c>
      <c r="AB37" s="58">
        <v>560367.06146153843</v>
      </c>
      <c r="AC37" s="58">
        <v>1188465.80625641</v>
      </c>
    </row>
  </sheetData>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3073" r:id="rId5" name="Button 1">
              <controlPr defaultSize="0" print="0" autoFill="0" autoPict="0" macro="[0]!Refresh">
                <anchor moveWithCells="1" sizeWithCells="1">
                  <from>
                    <xdr:col>1</xdr:col>
                    <xdr:colOff>0</xdr:colOff>
                    <xdr:row>8</xdr:row>
                    <xdr:rowOff>95250</xdr:rowOff>
                  </from>
                  <to>
                    <xdr:col>1</xdr:col>
                    <xdr:colOff>733425</xdr:colOff>
                    <xdr:row>9</xdr:row>
                    <xdr:rowOff>142875</xdr:rowOff>
                  </to>
                </anchor>
              </controlPr>
            </control>
          </mc:Choice>
        </mc:AlternateContent>
        <mc:AlternateContent xmlns:mc="http://schemas.openxmlformats.org/markup-compatibility/2006">
          <mc:Choice Requires="x14">
            <control shapeId="3074" r:id="rId6" name="Button 2">
              <controlPr defaultSize="0" print="0" autoFill="0" autoPict="0" macro="[0]!Resize">
                <anchor moveWithCells="1" sizeWithCells="1">
                  <from>
                    <xdr:col>1</xdr:col>
                    <xdr:colOff>752475</xdr:colOff>
                    <xdr:row>8</xdr:row>
                    <xdr:rowOff>95250</xdr:rowOff>
                  </from>
                  <to>
                    <xdr:col>2</xdr:col>
                    <xdr:colOff>342900</xdr:colOff>
                    <xdr:row>9</xdr:row>
                    <xdr:rowOff>142875</xdr:rowOff>
                  </to>
                </anchor>
              </controlPr>
            </control>
          </mc:Choice>
        </mc:AlternateContent>
      </controls>
    </mc:Choice>
  </mc:AlternateContent>
  <extLst>
    <ext xmlns:x15="http://schemas.microsoft.com/office/spreadsheetml/2010/11/main" uri="{7E03D99C-DC04-49d9-9315-930204A7B6E9}">
      <x15:timelineRefs>
        <x15:timelineRef r:id="rId7"/>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903BD6CED16784C9848793BCB8A8B5C" ma:contentTypeVersion="13" ma:contentTypeDescription="Create a new document." ma:contentTypeScope="" ma:versionID="847bee06aa7b2a33407fac2f45700239">
  <xsd:schema xmlns:xsd="http://www.w3.org/2001/XMLSchema" xmlns:xs="http://www.w3.org/2001/XMLSchema" xmlns:p="http://schemas.microsoft.com/office/2006/metadata/properties" xmlns:ns3="dda6fff3-f3be-4414-8fe7-bdde5e113c2e" xmlns:ns4="cafdd227-729a-45e1-a1b3-6b82500adb76" targetNamespace="http://schemas.microsoft.com/office/2006/metadata/properties" ma:root="true" ma:fieldsID="b32395141e4195432d6adc35cd352e5e" ns3:_="" ns4:_="">
    <xsd:import namespace="dda6fff3-f3be-4414-8fe7-bdde5e113c2e"/>
    <xsd:import namespace="cafdd227-729a-45e1-a1b3-6b82500adb76"/>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DateTaken" minOccurs="0"/>
                <xsd:element ref="ns3:MediaServiceAutoKeyPoints" minOccurs="0"/>
                <xsd:element ref="ns3:MediaServiceKeyPoint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6fff3-f3be-4414-8fe7-bdde5e113c2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afdd227-729a-45e1-a1b3-6b82500adb7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F4E3719-A95F-4216-8AC5-A76BBA28C1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6fff3-f3be-4414-8fe7-bdde5e113c2e"/>
    <ds:schemaRef ds:uri="cafdd227-729a-45e1-a1b3-6b82500adb7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56F8956-EF26-41EB-B1FF-C7AB00322EBB}">
  <ds:schemaRefs>
    <ds:schemaRef ds:uri="http://schemas.microsoft.com/sharepoint/v3/contenttype/forms"/>
  </ds:schemaRefs>
</ds:datastoreItem>
</file>

<file path=customXml/itemProps3.xml><?xml version="1.0" encoding="utf-8"?>
<ds:datastoreItem xmlns:ds="http://schemas.openxmlformats.org/officeDocument/2006/customXml" ds:itemID="{9C5F4268-68C8-44DC-95E5-FC029D660991}">
  <ds:schemaRefs>
    <ds:schemaRef ds:uri="dda6fff3-f3be-4414-8fe7-bdde5e113c2e"/>
    <ds:schemaRef ds:uri="cafdd227-729a-45e1-a1b3-6b82500adb76"/>
    <ds:schemaRef ds:uri="http://schemas.microsoft.com/office/2006/documentManagement/types"/>
    <ds:schemaRef ds:uri="http://schemas.microsoft.com/office/infopath/2007/PartnerControls"/>
    <ds:schemaRef ds:uri="http://www.w3.org/XML/1998/namespace"/>
    <ds:schemaRef ds:uri="http://schemas.microsoft.com/office/2006/metadata/properties"/>
    <ds:schemaRef ds:uri="http://purl.org/dc/dcmitype/"/>
    <ds:schemaRef ds:uri="http://purl.org/dc/terms/"/>
    <ds:schemaRef ds:uri="http://schemas.openxmlformats.org/package/2006/metadata/core-properties"/>
    <ds:schemaRef ds:uri="http://purl.org/dc/elements/1.1/"/>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Dashboard</vt:lpstr>
      <vt:lpstr>Sheet1</vt:lpstr>
      <vt:lpstr>Employee Database</vt:lpstr>
      <vt:lpstr>Raw Data</vt:lpstr>
      <vt:lpstr>Headcount Overview</vt:lpstr>
      <vt:lpstr>Payroll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Stockkamp, Felix</dc:creator>
  <cp:lastModifiedBy>kareem mostafa</cp:lastModifiedBy>
  <dcterms:created xsi:type="dcterms:W3CDTF">2020-08-23T16:46:06Z</dcterms:created>
  <dcterms:modified xsi:type="dcterms:W3CDTF">2021-04-03T18:04:40Z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0x0101002903BD6CED16784C9848793BCB8A8B5C</vt:lpwstr>
  </property>
</Properties>
</file>