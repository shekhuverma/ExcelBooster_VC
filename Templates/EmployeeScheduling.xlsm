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F:\kareem\Guide business\Onedrive\Templates\"/>
    </mc:Choice>
  </mc:AlternateContent>
  <xr:revisionPtr revIDLastSave="0" documentId="13_ncr:1_{760BAF0D-1F4D-424E-B632-FA6B90BA2155}" xr6:coauthVersionLast="45" xr6:coauthVersionMax="46" xr10:uidLastSave="{00000000-0000-0000-0000-000000000000}"/>
  <bookViews>
    <workbookView xWindow="20370" yWindow="-120" windowWidth="29040" windowHeight="15990" tabRatio="757" xr2:uid="{D8EEB248-1817-4336-A79C-DEC6ED0AE5BE}"/>
  </bookViews>
  <sheets>
    <sheet name="Introduction" sheetId="1" r:id="rId1"/>
    <sheet name="Schedule" sheetId="2" r:id="rId2"/>
    <sheet name="Dashboard" sheetId="12" r:id="rId3"/>
    <sheet name="Lists" sheetId="7" r:id="rId4"/>
    <sheet name="Settings" sheetId="11" r:id="rId5"/>
  </sheets>
  <definedNames>
    <definedName name="InvoiceNum">OFFSET(#REF!,0,0,COUNTA(#REF!),1)</definedName>
    <definedName name="rng4Dates" localSheetId="2">Dashboard!#REF!</definedName>
    <definedName name="rng4Dates">Schedule!#REF!</definedName>
    <definedName name="rngEmployees" localSheetId="2">OFFSET(Employees[Employee Names],0,0,COUNTA(Employees[Employee Names]),1)</definedName>
    <definedName name="rngEmployees">OFFSET(Employees[Employee Names],0,0,COUNTA(Employees[Employee Names]),1)</definedName>
    <definedName name="rngEmpNum">Table2[Total '# of Employees]</definedName>
    <definedName name="rngER" localSheetId="2">Employees[Employee Role]</definedName>
    <definedName name="rngER">Employees[Employee Role]</definedName>
    <definedName name="rngERT" localSheetId="2">tblERT[Employee Role Types]</definedName>
    <definedName name="rngERT">tblERT[Employee Role Types]</definedName>
    <definedName name="rngET" localSheetId="2">Employees[Employment Type]</definedName>
    <definedName name="rngET">Employees[Employment Type]</definedName>
    <definedName name="rngWeekNum">Lists!$F$4:$H$4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22" i="2" l="1"/>
  <c r="AS222" i="2"/>
  <c r="AR222" i="2"/>
  <c r="AQ222" i="2"/>
  <c r="AP222" i="2"/>
  <c r="AO222" i="2"/>
  <c r="AN222" i="2"/>
  <c r="AM222" i="2"/>
  <c r="AL222" i="2"/>
  <c r="AK222" i="2"/>
  <c r="AJ222" i="2"/>
  <c r="AI222" i="2"/>
  <c r="AH222" i="2"/>
  <c r="AG222" i="2"/>
  <c r="AF222" i="2"/>
  <c r="AE222" i="2"/>
  <c r="AD222" i="2"/>
  <c r="AC222" i="2"/>
  <c r="AB222" i="2"/>
  <c r="AA222" i="2"/>
  <c r="Z222" i="2"/>
  <c r="Y222" i="2"/>
  <c r="X222" i="2"/>
  <c r="W222" i="2"/>
  <c r="V222" i="2"/>
  <c r="U222" i="2"/>
  <c r="T222" i="2"/>
  <c r="S222" i="2"/>
  <c r="R222" i="2"/>
  <c r="Q222" i="2"/>
  <c r="P222" i="2"/>
  <c r="O222" i="2"/>
  <c r="N222" i="2"/>
  <c r="M222" i="2"/>
  <c r="L222" i="2"/>
  <c r="K222" i="2"/>
  <c r="J222" i="2"/>
  <c r="I222" i="2"/>
  <c r="H222" i="2"/>
  <c r="G222" i="2"/>
  <c r="F222" i="2"/>
  <c r="E222" i="2"/>
  <c r="AT114" i="2"/>
  <c r="AS114" i="2"/>
  <c r="AR114" i="2"/>
  <c r="AQ114" i="2"/>
  <c r="AP114" i="2"/>
  <c r="AO114" i="2"/>
  <c r="AN114" i="2"/>
  <c r="AM114" i="2"/>
  <c r="AL114" i="2"/>
  <c r="AK114" i="2"/>
  <c r="AJ114" i="2"/>
  <c r="AI114" i="2"/>
  <c r="AH114" i="2"/>
  <c r="AG114" i="2"/>
  <c r="AF114" i="2"/>
  <c r="AE114" i="2"/>
  <c r="AD114" i="2"/>
  <c r="AC114" i="2"/>
  <c r="AB114" i="2"/>
  <c r="AA114" i="2"/>
  <c r="Z114" i="2"/>
  <c r="Y114" i="2"/>
  <c r="X114" i="2"/>
  <c r="W114" i="2"/>
  <c r="V114" i="2"/>
  <c r="U114" i="2"/>
  <c r="T114" i="2"/>
  <c r="S114" i="2"/>
  <c r="R114" i="2"/>
  <c r="Q114" i="2"/>
  <c r="P114" i="2"/>
  <c r="O114" i="2"/>
  <c r="N114" i="2"/>
  <c r="M114" i="2"/>
  <c r="L114" i="2"/>
  <c r="K114" i="2"/>
  <c r="J114" i="2"/>
  <c r="I114" i="2"/>
  <c r="H114" i="2"/>
  <c r="G114" i="2"/>
  <c r="F114" i="2"/>
  <c r="E114" i="2"/>
  <c r="AT6" i="2"/>
  <c r="BA9" i="12" s="1"/>
  <c r="AG6" i="2"/>
  <c r="AN9" i="12" s="1"/>
  <c r="AH6" i="2"/>
  <c r="AO9" i="12" s="1"/>
  <c r="AI6" i="2"/>
  <c r="AP9" i="12" s="1"/>
  <c r="AJ6" i="2"/>
  <c r="AQ9" i="12" s="1"/>
  <c r="AK6" i="2"/>
  <c r="AR9" i="12" s="1"/>
  <c r="AL6" i="2"/>
  <c r="AS9" i="12" s="1"/>
  <c r="AM6" i="2"/>
  <c r="AT9" i="12" s="1"/>
  <c r="AN6" i="2"/>
  <c r="AU9" i="12" s="1"/>
  <c r="AO6" i="2"/>
  <c r="AV9" i="12" s="1"/>
  <c r="AP6" i="2"/>
  <c r="AW9" i="12" s="1"/>
  <c r="AQ6" i="2"/>
  <c r="AX9" i="12" s="1"/>
  <c r="AR6" i="2"/>
  <c r="AY9" i="12" s="1"/>
  <c r="AS6" i="2"/>
  <c r="AZ9" i="12" s="1"/>
  <c r="AN3" i="12" l="1"/>
  <c r="AP3" i="12"/>
  <c r="AR3" i="12"/>
  <c r="AT3" i="12"/>
  <c r="AV3" i="12"/>
  <c r="AX3" i="12"/>
  <c r="AZ3" i="12"/>
  <c r="AO3" i="12"/>
  <c r="AQ3" i="12"/>
  <c r="AS3" i="12"/>
  <c r="AU3" i="12"/>
  <c r="AW3" i="12"/>
  <c r="AY3" i="12"/>
  <c r="BA3" i="12"/>
  <c r="G6" i="2"/>
  <c r="H6" i="2"/>
  <c r="I6" i="2"/>
  <c r="J6" i="2"/>
  <c r="K6" i="2"/>
  <c r="L6" i="2"/>
  <c r="M6" i="2"/>
  <c r="N6" i="2"/>
  <c r="O6" i="2"/>
  <c r="P6" i="2"/>
  <c r="Q6" i="2"/>
  <c r="R6" i="2"/>
  <c r="S6" i="2"/>
  <c r="T6" i="2"/>
  <c r="U6" i="2"/>
  <c r="V6" i="2"/>
  <c r="W6" i="2"/>
  <c r="X6" i="2"/>
  <c r="Y6" i="2"/>
  <c r="Z6" i="2"/>
  <c r="AA6" i="2"/>
  <c r="AB6" i="2"/>
  <c r="AC6" i="2"/>
  <c r="AD6" i="2"/>
  <c r="AE6" i="2"/>
  <c r="AF6" i="2"/>
  <c r="F6" i="2"/>
  <c r="E6" i="2"/>
  <c r="L9" i="12" l="1"/>
  <c r="L3" i="12"/>
  <c r="AM9" i="12"/>
  <c r="AM3" i="12"/>
  <c r="AK9" i="12"/>
  <c r="AK3" i="12"/>
  <c r="AI9" i="12"/>
  <c r="AI3" i="12"/>
  <c r="AG9" i="12"/>
  <c r="AG3" i="12"/>
  <c r="AE9" i="12"/>
  <c r="AE3" i="12"/>
  <c r="AC9" i="12"/>
  <c r="AC3" i="12"/>
  <c r="AA9" i="12"/>
  <c r="AA3" i="12"/>
  <c r="Y9" i="12"/>
  <c r="Y3" i="12"/>
  <c r="W9" i="12"/>
  <c r="W3" i="12"/>
  <c r="U9" i="12"/>
  <c r="U3" i="12"/>
  <c r="S9" i="12"/>
  <c r="S3" i="12"/>
  <c r="Q9" i="12"/>
  <c r="Q3" i="12"/>
  <c r="O9" i="12"/>
  <c r="O3" i="12"/>
  <c r="M9" i="12"/>
  <c r="M3" i="12"/>
  <c r="AL3" i="12"/>
  <c r="AL9" i="12"/>
  <c r="AJ3" i="12"/>
  <c r="AJ9" i="12"/>
  <c r="AH3" i="12"/>
  <c r="AH9" i="12"/>
  <c r="AF3" i="12"/>
  <c r="AF9" i="12"/>
  <c r="AD3" i="12"/>
  <c r="AD9" i="12"/>
  <c r="AB3" i="12"/>
  <c r="AB9" i="12"/>
  <c r="Z3" i="12"/>
  <c r="Z9" i="12"/>
  <c r="X3" i="12"/>
  <c r="X9" i="12"/>
  <c r="V3" i="12"/>
  <c r="V9" i="12"/>
  <c r="T3" i="12"/>
  <c r="T9" i="12"/>
  <c r="R3" i="12"/>
  <c r="R9" i="12"/>
  <c r="P3" i="12"/>
  <c r="P9" i="12"/>
  <c r="N9" i="12"/>
  <c r="N3" i="12"/>
  <c r="B228" i="2" a="1"/>
  <c r="B228" i="2" s="1"/>
  <c r="C228" i="2"/>
  <c r="B229" i="2" a="1"/>
  <c r="B229" i="2" s="1"/>
  <c r="C229" i="2"/>
  <c r="B230" i="2" a="1"/>
  <c r="B230" i="2" s="1"/>
  <c r="C230" i="2"/>
  <c r="B231" i="2" a="1"/>
  <c r="B231" i="2" s="1"/>
  <c r="C231" i="2"/>
  <c r="B232" i="2" a="1"/>
  <c r="B232" i="2" s="1"/>
  <c r="C232" i="2"/>
  <c r="B233" i="2" a="1"/>
  <c r="B233" i="2" s="1"/>
  <c r="C233" i="2"/>
  <c r="B234" i="2" a="1"/>
  <c r="B234" i="2" s="1"/>
  <c r="C234" i="2"/>
  <c r="B235" i="2" a="1"/>
  <c r="B235" i="2" s="1"/>
  <c r="C235" i="2"/>
  <c r="B236" i="2" a="1"/>
  <c r="B236" i="2" s="1"/>
  <c r="C236" i="2"/>
  <c r="B237" i="2" a="1"/>
  <c r="B237" i="2" s="1"/>
  <c r="C237" i="2"/>
  <c r="B238" i="2" a="1"/>
  <c r="B238" i="2" s="1"/>
  <c r="C238" i="2"/>
  <c r="B239" i="2" a="1"/>
  <c r="B239" i="2" s="1"/>
  <c r="C239" i="2"/>
  <c r="B240" i="2" a="1"/>
  <c r="B240" i="2" s="1"/>
  <c r="C240" i="2"/>
  <c r="B241" i="2" a="1"/>
  <c r="B241" i="2" s="1"/>
  <c r="C241" i="2"/>
  <c r="B242" i="2" a="1"/>
  <c r="B242" i="2" s="1"/>
  <c r="C242" i="2"/>
  <c r="B243" i="2" a="1"/>
  <c r="B243" i="2" s="1"/>
  <c r="C243" i="2"/>
  <c r="B244" i="2" a="1"/>
  <c r="B244" i="2" s="1"/>
  <c r="C244" i="2"/>
  <c r="B245" i="2" a="1"/>
  <c r="B245" i="2" s="1"/>
  <c r="C245" i="2"/>
  <c r="B246" i="2" a="1"/>
  <c r="B246" i="2" s="1"/>
  <c r="C246" i="2"/>
  <c r="B247" i="2" a="1"/>
  <c r="B247" i="2" s="1"/>
  <c r="C247" i="2"/>
  <c r="B248" i="2" a="1"/>
  <c r="B248" i="2" s="1"/>
  <c r="C248" i="2"/>
  <c r="B249" i="2" a="1"/>
  <c r="B249" i="2" s="1"/>
  <c r="C249" i="2"/>
  <c r="B250" i="2" a="1"/>
  <c r="B250" i="2" s="1"/>
  <c r="C250" i="2"/>
  <c r="B251" i="2" a="1"/>
  <c r="B251" i="2" s="1"/>
  <c r="C251" i="2"/>
  <c r="B252" i="2" a="1"/>
  <c r="B252" i="2" s="1"/>
  <c r="C252" i="2"/>
  <c r="B253" i="2" a="1"/>
  <c r="B253" i="2" s="1"/>
  <c r="C253" i="2"/>
  <c r="B254" i="2" a="1"/>
  <c r="B254" i="2" s="1"/>
  <c r="C254" i="2"/>
  <c r="B255" i="2" a="1"/>
  <c r="B255" i="2" s="1"/>
  <c r="C255" i="2"/>
  <c r="B256" i="2" a="1"/>
  <c r="B256" i="2" s="1"/>
  <c r="C256" i="2"/>
  <c r="B257" i="2" a="1"/>
  <c r="B257" i="2" s="1"/>
  <c r="C257" i="2"/>
  <c r="B258" i="2" a="1"/>
  <c r="B258" i="2" s="1"/>
  <c r="C258" i="2"/>
  <c r="B259" i="2" a="1"/>
  <c r="B259" i="2" s="1"/>
  <c r="C259" i="2"/>
  <c r="B260" i="2" a="1"/>
  <c r="B260" i="2" s="1"/>
  <c r="C260" i="2"/>
  <c r="B261" i="2" a="1"/>
  <c r="B261" i="2" s="1"/>
  <c r="C261" i="2"/>
  <c r="B262" i="2" a="1"/>
  <c r="B262" i="2" s="1"/>
  <c r="C262" i="2"/>
  <c r="B263" i="2" a="1"/>
  <c r="B263" i="2" s="1"/>
  <c r="C263" i="2"/>
  <c r="B264" i="2" a="1"/>
  <c r="B264" i="2" s="1"/>
  <c r="C264" i="2"/>
  <c r="B265" i="2" a="1"/>
  <c r="B265" i="2" s="1"/>
  <c r="C265" i="2"/>
  <c r="B266" i="2" a="1"/>
  <c r="B266" i="2" s="1"/>
  <c r="C266" i="2"/>
  <c r="B267" i="2" a="1"/>
  <c r="B267" i="2" s="1"/>
  <c r="C267" i="2"/>
  <c r="B268" i="2" a="1"/>
  <c r="B268" i="2" s="1"/>
  <c r="C268" i="2"/>
  <c r="B269" i="2" a="1"/>
  <c r="B269" i="2" s="1"/>
  <c r="C269" i="2"/>
  <c r="B270" i="2" a="1"/>
  <c r="B270" i="2" s="1"/>
  <c r="C270" i="2"/>
  <c r="B271" i="2" a="1"/>
  <c r="B271" i="2" s="1"/>
  <c r="C271" i="2"/>
  <c r="B272" i="2" a="1"/>
  <c r="B272" i="2" s="1"/>
  <c r="C272" i="2"/>
  <c r="B273" i="2" a="1"/>
  <c r="B273" i="2" s="1"/>
  <c r="C273" i="2"/>
  <c r="B274" i="2" a="1"/>
  <c r="B274" i="2" s="1"/>
  <c r="C274" i="2"/>
  <c r="B275" i="2" a="1"/>
  <c r="B275" i="2" s="1"/>
  <c r="C275" i="2"/>
  <c r="B276" i="2" a="1"/>
  <c r="B276" i="2" s="1"/>
  <c r="C276" i="2"/>
  <c r="B277" i="2" a="1"/>
  <c r="B277" i="2" s="1"/>
  <c r="C277" i="2"/>
  <c r="B278" i="2" a="1"/>
  <c r="B278" i="2" s="1"/>
  <c r="C278" i="2"/>
  <c r="B279" i="2" a="1"/>
  <c r="B279" i="2" s="1"/>
  <c r="C279" i="2"/>
  <c r="B280" i="2" a="1"/>
  <c r="B280" i="2" s="1"/>
  <c r="C280" i="2"/>
  <c r="B281" i="2" a="1"/>
  <c r="B281" i="2" s="1"/>
  <c r="C281" i="2"/>
  <c r="B282" i="2" a="1"/>
  <c r="B282" i="2" s="1"/>
  <c r="C282" i="2"/>
  <c r="B283" i="2" a="1"/>
  <c r="B283" i="2" s="1"/>
  <c r="C283" i="2"/>
  <c r="B284" i="2" a="1"/>
  <c r="B284" i="2" s="1"/>
  <c r="C284" i="2"/>
  <c r="B285" i="2" a="1"/>
  <c r="B285" i="2" s="1"/>
  <c r="C285" i="2"/>
  <c r="B286" i="2" a="1"/>
  <c r="B286" i="2" s="1"/>
  <c r="C286" i="2"/>
  <c r="B287" i="2" a="1"/>
  <c r="B287" i="2" s="1"/>
  <c r="C287" i="2"/>
  <c r="B288" i="2" a="1"/>
  <c r="B288" i="2" s="1"/>
  <c r="C288" i="2"/>
  <c r="B289" i="2" a="1"/>
  <c r="B289" i="2" s="1"/>
  <c r="C289" i="2"/>
  <c r="B290" i="2" a="1"/>
  <c r="B290" i="2" s="1"/>
  <c r="C290" i="2"/>
  <c r="B291" i="2" a="1"/>
  <c r="B291" i="2" s="1"/>
  <c r="C291" i="2"/>
  <c r="B292" i="2" a="1"/>
  <c r="B292" i="2" s="1"/>
  <c r="C292" i="2"/>
  <c r="B293" i="2" a="1"/>
  <c r="B293" i="2" s="1"/>
  <c r="C293" i="2"/>
  <c r="B294" i="2" a="1"/>
  <c r="B294" i="2" s="1"/>
  <c r="C294" i="2"/>
  <c r="B295" i="2" a="1"/>
  <c r="B295" i="2" s="1"/>
  <c r="C295" i="2"/>
  <c r="B296" i="2" a="1"/>
  <c r="B296" i="2" s="1"/>
  <c r="C296" i="2"/>
  <c r="B297" i="2" a="1"/>
  <c r="B297" i="2" s="1"/>
  <c r="C297" i="2"/>
  <c r="B298" i="2" a="1"/>
  <c r="B298" i="2" s="1"/>
  <c r="C298" i="2"/>
  <c r="B299" i="2" a="1"/>
  <c r="B299" i="2" s="1"/>
  <c r="C299" i="2"/>
  <c r="B300" i="2" a="1"/>
  <c r="B300" i="2" s="1"/>
  <c r="C300" i="2"/>
  <c r="B301" i="2" a="1"/>
  <c r="B301" i="2" s="1"/>
  <c r="C301" i="2"/>
  <c r="B302" i="2" a="1"/>
  <c r="B302" i="2" s="1"/>
  <c r="C302" i="2"/>
  <c r="B303" i="2" a="1"/>
  <c r="B303" i="2" s="1"/>
  <c r="C303" i="2"/>
  <c r="B304" i="2" a="1"/>
  <c r="B304" i="2" s="1"/>
  <c r="C304" i="2"/>
  <c r="B305" i="2" a="1"/>
  <c r="B305" i="2" s="1"/>
  <c r="C305" i="2"/>
  <c r="B306" i="2" a="1"/>
  <c r="B306" i="2" s="1"/>
  <c r="C306" i="2"/>
  <c r="B307" i="2" a="1"/>
  <c r="B307" i="2" s="1"/>
  <c r="C307" i="2"/>
  <c r="B308" i="2" a="1"/>
  <c r="B308" i="2" s="1"/>
  <c r="C308" i="2"/>
  <c r="B309" i="2" a="1"/>
  <c r="B309" i="2" s="1"/>
  <c r="C309" i="2"/>
  <c r="B310" i="2" a="1"/>
  <c r="B310" i="2" s="1"/>
  <c r="C310" i="2"/>
  <c r="B311" i="2" a="1"/>
  <c r="B311" i="2" s="1"/>
  <c r="C311" i="2"/>
  <c r="B312" i="2" a="1"/>
  <c r="B312" i="2" s="1"/>
  <c r="C312" i="2"/>
  <c r="B313" i="2" a="1"/>
  <c r="B313" i="2" s="1"/>
  <c r="C313" i="2"/>
  <c r="B314" i="2" a="1"/>
  <c r="B314" i="2" s="1"/>
  <c r="C314" i="2"/>
  <c r="B315" i="2" a="1"/>
  <c r="B315" i="2" s="1"/>
  <c r="C315" i="2"/>
  <c r="B316" i="2" a="1"/>
  <c r="B316" i="2" s="1"/>
  <c r="C316" i="2"/>
  <c r="B317" i="2" a="1"/>
  <c r="B317" i="2" s="1"/>
  <c r="C317" i="2"/>
  <c r="B318" i="2" a="1"/>
  <c r="B318" i="2" s="1"/>
  <c r="C318" i="2"/>
  <c r="B319" i="2" a="1"/>
  <c r="B319" i="2" s="1"/>
  <c r="C319" i="2"/>
  <c r="B320" i="2" a="1"/>
  <c r="B320" i="2" s="1"/>
  <c r="C320" i="2"/>
  <c r="B321" i="2" a="1"/>
  <c r="B321" i="2" s="1"/>
  <c r="C321" i="2"/>
  <c r="B322" i="2" a="1"/>
  <c r="B322" i="2" s="1"/>
  <c r="C322" i="2"/>
  <c r="B323" i="2" a="1"/>
  <c r="B323" i="2" s="1"/>
  <c r="C323" i="2"/>
  <c r="B130" i="2" a="1"/>
  <c r="B130" i="2" s="1"/>
  <c r="C130" i="2"/>
  <c r="B131" i="2" a="1"/>
  <c r="B131" i="2" s="1"/>
  <c r="C131" i="2"/>
  <c r="B132" i="2" a="1"/>
  <c r="B132" i="2" s="1"/>
  <c r="C132" i="2"/>
  <c r="B133" i="2" a="1"/>
  <c r="B133" i="2" s="1"/>
  <c r="C133" i="2"/>
  <c r="B134" i="2" a="1"/>
  <c r="B134" i="2" s="1"/>
  <c r="C134" i="2"/>
  <c r="B135" i="2" a="1"/>
  <c r="B135" i="2" s="1"/>
  <c r="C135" i="2"/>
  <c r="B136" i="2" a="1"/>
  <c r="B136" i="2" s="1"/>
  <c r="C136" i="2"/>
  <c r="B137" i="2" a="1"/>
  <c r="B137" i="2" s="1"/>
  <c r="C137" i="2"/>
  <c r="B138" i="2" a="1"/>
  <c r="B138" i="2" s="1"/>
  <c r="C138" i="2"/>
  <c r="B139" i="2" a="1"/>
  <c r="B139" i="2" s="1"/>
  <c r="C139" i="2"/>
  <c r="B140" i="2" a="1"/>
  <c r="B140" i="2" s="1"/>
  <c r="C140" i="2"/>
  <c r="B141" i="2" a="1"/>
  <c r="B141" i="2" s="1"/>
  <c r="C141" i="2"/>
  <c r="B142" i="2" a="1"/>
  <c r="B142" i="2" s="1"/>
  <c r="C142" i="2"/>
  <c r="B143" i="2" a="1"/>
  <c r="B143" i="2" s="1"/>
  <c r="C143" i="2"/>
  <c r="B144" i="2" a="1"/>
  <c r="B144" i="2" s="1"/>
  <c r="C144" i="2"/>
  <c r="B145" i="2" a="1"/>
  <c r="B145" i="2" s="1"/>
  <c r="C145" i="2"/>
  <c r="B146" i="2" a="1"/>
  <c r="B146" i="2" s="1"/>
  <c r="C146" i="2"/>
  <c r="B147" i="2" a="1"/>
  <c r="B147" i="2" s="1"/>
  <c r="C147" i="2"/>
  <c r="B148" i="2" a="1"/>
  <c r="B148" i="2" s="1"/>
  <c r="C148" i="2"/>
  <c r="B149" i="2" a="1"/>
  <c r="B149" i="2" s="1"/>
  <c r="C149" i="2"/>
  <c r="B150" i="2" a="1"/>
  <c r="B150" i="2" s="1"/>
  <c r="C150" i="2"/>
  <c r="B151" i="2" a="1"/>
  <c r="B151" i="2" s="1"/>
  <c r="C151" i="2"/>
  <c r="B152" i="2" a="1"/>
  <c r="B152" i="2" s="1"/>
  <c r="C152" i="2"/>
  <c r="B153" i="2" a="1"/>
  <c r="B153" i="2" s="1"/>
  <c r="C153" i="2"/>
  <c r="B154" i="2" a="1"/>
  <c r="B154" i="2" s="1"/>
  <c r="C154" i="2"/>
  <c r="B155" i="2" a="1"/>
  <c r="B155" i="2" s="1"/>
  <c r="C155" i="2"/>
  <c r="B156" i="2" a="1"/>
  <c r="B156" i="2" s="1"/>
  <c r="C156" i="2"/>
  <c r="B157" i="2" a="1"/>
  <c r="B157" i="2" s="1"/>
  <c r="C157" i="2"/>
  <c r="B158" i="2" a="1"/>
  <c r="B158" i="2" s="1"/>
  <c r="C158" i="2"/>
  <c r="B159" i="2" a="1"/>
  <c r="B159" i="2" s="1"/>
  <c r="C159" i="2"/>
  <c r="B160" i="2" a="1"/>
  <c r="B160" i="2" s="1"/>
  <c r="C160" i="2"/>
  <c r="B161" i="2" a="1"/>
  <c r="B161" i="2" s="1"/>
  <c r="C161" i="2"/>
  <c r="B162" i="2" a="1"/>
  <c r="B162" i="2" s="1"/>
  <c r="C162" i="2"/>
  <c r="B163" i="2" a="1"/>
  <c r="B163" i="2" s="1"/>
  <c r="C163" i="2"/>
  <c r="B164" i="2" a="1"/>
  <c r="B164" i="2" s="1"/>
  <c r="C164" i="2"/>
  <c r="B165" i="2" a="1"/>
  <c r="B165" i="2" s="1"/>
  <c r="C165" i="2"/>
  <c r="B166" i="2" a="1"/>
  <c r="B166" i="2" s="1"/>
  <c r="C166" i="2"/>
  <c r="B167" i="2" a="1"/>
  <c r="B167" i="2" s="1"/>
  <c r="C167" i="2"/>
  <c r="B168" i="2" a="1"/>
  <c r="B168" i="2" s="1"/>
  <c r="C168" i="2"/>
  <c r="B169" i="2" a="1"/>
  <c r="B169" i="2" s="1"/>
  <c r="C169" i="2"/>
  <c r="B170" i="2" a="1"/>
  <c r="B170" i="2" s="1"/>
  <c r="C170" i="2"/>
  <c r="B171" i="2" a="1"/>
  <c r="B171" i="2" s="1"/>
  <c r="C171" i="2"/>
  <c r="B172" i="2" a="1"/>
  <c r="B172" i="2" s="1"/>
  <c r="C172" i="2"/>
  <c r="B173" i="2" a="1"/>
  <c r="B173" i="2" s="1"/>
  <c r="C173" i="2"/>
  <c r="B174" i="2" a="1"/>
  <c r="B174" i="2" s="1"/>
  <c r="C174" i="2"/>
  <c r="B175" i="2" a="1"/>
  <c r="B175" i="2" s="1"/>
  <c r="C175" i="2"/>
  <c r="B176" i="2" a="1"/>
  <c r="B176" i="2" s="1"/>
  <c r="C176" i="2"/>
  <c r="B177" i="2" a="1"/>
  <c r="B177" i="2" s="1"/>
  <c r="C177" i="2"/>
  <c r="B178" i="2" a="1"/>
  <c r="B178" i="2" s="1"/>
  <c r="C178" i="2"/>
  <c r="B179" i="2" a="1"/>
  <c r="B179" i="2" s="1"/>
  <c r="C179" i="2"/>
  <c r="B180" i="2" a="1"/>
  <c r="B180" i="2" s="1"/>
  <c r="C180" i="2"/>
  <c r="B181" i="2" a="1"/>
  <c r="B181" i="2" s="1"/>
  <c r="C181" i="2"/>
  <c r="B182" i="2" a="1"/>
  <c r="B182" i="2" s="1"/>
  <c r="C182" i="2"/>
  <c r="B183" i="2" a="1"/>
  <c r="B183" i="2" s="1"/>
  <c r="C183" i="2"/>
  <c r="B184" i="2" a="1"/>
  <c r="B184" i="2" s="1"/>
  <c r="C184" i="2"/>
  <c r="B185" i="2" a="1"/>
  <c r="B185" i="2" s="1"/>
  <c r="C185" i="2"/>
  <c r="B186" i="2" a="1"/>
  <c r="B186" i="2" s="1"/>
  <c r="C186" i="2"/>
  <c r="B187" i="2" a="1"/>
  <c r="B187" i="2" s="1"/>
  <c r="C187" i="2"/>
  <c r="B188" i="2" a="1"/>
  <c r="B188" i="2" s="1"/>
  <c r="C188" i="2"/>
  <c r="B189" i="2" a="1"/>
  <c r="B189" i="2" s="1"/>
  <c r="C189" i="2"/>
  <c r="B190" i="2" a="1"/>
  <c r="B190" i="2" s="1"/>
  <c r="C190" i="2"/>
  <c r="B191" i="2" a="1"/>
  <c r="B191" i="2" s="1"/>
  <c r="C191" i="2"/>
  <c r="B192" i="2" a="1"/>
  <c r="B192" i="2" s="1"/>
  <c r="C192" i="2"/>
  <c r="B193" i="2" a="1"/>
  <c r="B193" i="2" s="1"/>
  <c r="C193" i="2"/>
  <c r="B194" i="2" a="1"/>
  <c r="B194" i="2" s="1"/>
  <c r="C194" i="2"/>
  <c r="B195" i="2" a="1"/>
  <c r="B195" i="2" s="1"/>
  <c r="C195" i="2"/>
  <c r="B196" i="2" a="1"/>
  <c r="B196" i="2" s="1"/>
  <c r="C196" i="2"/>
  <c r="B197" i="2" a="1"/>
  <c r="B197" i="2" s="1"/>
  <c r="C197" i="2"/>
  <c r="B198" i="2" a="1"/>
  <c r="B198" i="2" s="1"/>
  <c r="C198" i="2"/>
  <c r="B199" i="2" a="1"/>
  <c r="B199" i="2" s="1"/>
  <c r="C199" i="2"/>
  <c r="B200" i="2" a="1"/>
  <c r="B200" i="2" s="1"/>
  <c r="C200" i="2"/>
  <c r="B201" i="2" a="1"/>
  <c r="B201" i="2" s="1"/>
  <c r="C201" i="2"/>
  <c r="B202" i="2" a="1"/>
  <c r="B202" i="2" s="1"/>
  <c r="C202" i="2"/>
  <c r="B203" i="2" a="1"/>
  <c r="B203" i="2" s="1"/>
  <c r="C203" i="2"/>
  <c r="B204" i="2" a="1"/>
  <c r="B204" i="2" s="1"/>
  <c r="C204" i="2"/>
  <c r="B205" i="2" a="1"/>
  <c r="B205" i="2" s="1"/>
  <c r="C205" i="2"/>
  <c r="B206" i="2" a="1"/>
  <c r="B206" i="2" s="1"/>
  <c r="C206" i="2"/>
  <c r="B207" i="2" a="1"/>
  <c r="B207" i="2" s="1"/>
  <c r="C207" i="2"/>
  <c r="B208" i="2" a="1"/>
  <c r="B208" i="2" s="1"/>
  <c r="C208" i="2"/>
  <c r="B209" i="2" a="1"/>
  <c r="B209" i="2" s="1"/>
  <c r="C209" i="2"/>
  <c r="B210" i="2" a="1"/>
  <c r="B210" i="2" s="1"/>
  <c r="C210" i="2"/>
  <c r="B211" i="2" a="1"/>
  <c r="B211" i="2" s="1"/>
  <c r="C211" i="2"/>
  <c r="B212" i="2" a="1"/>
  <c r="B212" i="2" s="1"/>
  <c r="C212" i="2"/>
  <c r="B213" i="2" a="1"/>
  <c r="B213" i="2" s="1"/>
  <c r="C213" i="2"/>
  <c r="B214" i="2" a="1"/>
  <c r="B214" i="2" s="1"/>
  <c r="C214" i="2"/>
  <c r="B215" i="2" a="1"/>
  <c r="B215" i="2" s="1"/>
  <c r="C215" i="2"/>
  <c r="B12" i="2" a="1"/>
  <c r="B12" i="2" s="1"/>
  <c r="C12" i="2"/>
  <c r="B13" i="2" a="1"/>
  <c r="B13" i="2" s="1"/>
  <c r="C13" i="2"/>
  <c r="B14" i="2" a="1"/>
  <c r="B14" i="2" s="1"/>
  <c r="C14" i="2"/>
  <c r="B15" i="2" a="1"/>
  <c r="B15" i="2" s="1"/>
  <c r="C15" i="2"/>
  <c r="B16" i="2" a="1"/>
  <c r="B16" i="2" s="1"/>
  <c r="C16" i="2"/>
  <c r="B17" i="2" a="1"/>
  <c r="B17" i="2" s="1"/>
  <c r="C17" i="2"/>
  <c r="B18" i="2" a="1"/>
  <c r="B18" i="2" s="1"/>
  <c r="C18" i="2"/>
  <c r="B19" i="2" a="1"/>
  <c r="B19" i="2" s="1"/>
  <c r="C19" i="2"/>
  <c r="B20" i="2" a="1"/>
  <c r="B20" i="2" s="1"/>
  <c r="C20" i="2"/>
  <c r="B21" i="2" a="1"/>
  <c r="B21" i="2" s="1"/>
  <c r="C21" i="2"/>
  <c r="B22" i="2" a="1"/>
  <c r="B22" i="2" s="1"/>
  <c r="C22" i="2"/>
  <c r="B23" i="2" a="1"/>
  <c r="B23" i="2" s="1"/>
  <c r="C23" i="2"/>
  <c r="B24" i="2" a="1"/>
  <c r="B24" i="2" s="1"/>
  <c r="C24" i="2"/>
  <c r="B25" i="2" a="1"/>
  <c r="B25" i="2" s="1"/>
  <c r="C25" i="2"/>
  <c r="B26" i="2" a="1"/>
  <c r="B26" i="2" s="1"/>
  <c r="C26" i="2"/>
  <c r="B27" i="2" a="1"/>
  <c r="B27" i="2" s="1"/>
  <c r="C27" i="2"/>
  <c r="B28" i="2" a="1"/>
  <c r="B28" i="2" s="1"/>
  <c r="C28" i="2"/>
  <c r="B29" i="2" a="1"/>
  <c r="B29" i="2" s="1"/>
  <c r="C29" i="2"/>
  <c r="B30" i="2" a="1"/>
  <c r="B30" i="2" s="1"/>
  <c r="C30" i="2"/>
  <c r="B31" i="2" a="1"/>
  <c r="B31" i="2" s="1"/>
  <c r="C31" i="2"/>
  <c r="B32" i="2" a="1"/>
  <c r="B32" i="2" s="1"/>
  <c r="C32" i="2"/>
  <c r="B33" i="2" a="1"/>
  <c r="B33" i="2" s="1"/>
  <c r="C33" i="2"/>
  <c r="B34" i="2" a="1"/>
  <c r="B34" i="2" s="1"/>
  <c r="C34" i="2"/>
  <c r="B35" i="2" a="1"/>
  <c r="B35" i="2" s="1"/>
  <c r="C35" i="2"/>
  <c r="B36" i="2" a="1"/>
  <c r="B36" i="2" s="1"/>
  <c r="C36" i="2"/>
  <c r="B37" i="2" a="1"/>
  <c r="B37" i="2" s="1"/>
  <c r="C37" i="2"/>
  <c r="B38" i="2" a="1"/>
  <c r="B38" i="2" s="1"/>
  <c r="C38" i="2"/>
  <c r="B39" i="2" a="1"/>
  <c r="B39" i="2" s="1"/>
  <c r="C39" i="2"/>
  <c r="B40" i="2" a="1"/>
  <c r="B40" i="2" s="1"/>
  <c r="C40" i="2"/>
  <c r="B41" i="2" a="1"/>
  <c r="B41" i="2" s="1"/>
  <c r="C41" i="2"/>
  <c r="B42" i="2" a="1"/>
  <c r="B42" i="2" s="1"/>
  <c r="C42" i="2"/>
  <c r="B43" i="2" a="1"/>
  <c r="B43" i="2" s="1"/>
  <c r="C43" i="2"/>
  <c r="B44" i="2" a="1"/>
  <c r="B44" i="2" s="1"/>
  <c r="C44" i="2"/>
  <c r="B45" i="2" a="1"/>
  <c r="B45" i="2" s="1"/>
  <c r="C45" i="2"/>
  <c r="B46" i="2" a="1"/>
  <c r="B46" i="2" s="1"/>
  <c r="C46" i="2"/>
  <c r="B47" i="2" a="1"/>
  <c r="B47" i="2" s="1"/>
  <c r="C47" i="2"/>
  <c r="B48" i="2" a="1"/>
  <c r="B48" i="2" s="1"/>
  <c r="C48" i="2"/>
  <c r="B49" i="2" a="1"/>
  <c r="B49" i="2" s="1"/>
  <c r="C49" i="2"/>
  <c r="B50" i="2" a="1"/>
  <c r="B50" i="2" s="1"/>
  <c r="C50" i="2"/>
  <c r="B51" i="2" a="1"/>
  <c r="B51" i="2" s="1"/>
  <c r="C51" i="2"/>
  <c r="B52" i="2" a="1"/>
  <c r="B52" i="2" s="1"/>
  <c r="C52" i="2"/>
  <c r="B53" i="2" a="1"/>
  <c r="B53" i="2" s="1"/>
  <c r="C53" i="2"/>
  <c r="B54" i="2" a="1"/>
  <c r="B54" i="2" s="1"/>
  <c r="C54" i="2"/>
  <c r="B55" i="2" a="1"/>
  <c r="B55" i="2" s="1"/>
  <c r="C55" i="2"/>
  <c r="B56" i="2" a="1"/>
  <c r="B56" i="2" s="1"/>
  <c r="C56" i="2"/>
  <c r="B57" i="2" a="1"/>
  <c r="B57" i="2" s="1"/>
  <c r="C57" i="2"/>
  <c r="B58" i="2" a="1"/>
  <c r="B58" i="2" s="1"/>
  <c r="C58" i="2"/>
  <c r="B59" i="2" a="1"/>
  <c r="B59" i="2" s="1"/>
  <c r="C59" i="2"/>
  <c r="B60" i="2" a="1"/>
  <c r="B60" i="2" s="1"/>
  <c r="C60" i="2"/>
  <c r="B61" i="2" a="1"/>
  <c r="B61" i="2" s="1"/>
  <c r="C61" i="2"/>
  <c r="B62" i="2" a="1"/>
  <c r="B62" i="2" s="1"/>
  <c r="C62" i="2"/>
  <c r="B63" i="2" a="1"/>
  <c r="B63" i="2" s="1"/>
  <c r="C63" i="2"/>
  <c r="B64" i="2" a="1"/>
  <c r="B64" i="2" s="1"/>
  <c r="C64" i="2"/>
  <c r="B65" i="2" a="1"/>
  <c r="B65" i="2" s="1"/>
  <c r="C65" i="2"/>
  <c r="B66" i="2" a="1"/>
  <c r="B66" i="2" s="1"/>
  <c r="C66" i="2"/>
  <c r="B67" i="2" a="1"/>
  <c r="B67" i="2" s="1"/>
  <c r="C67" i="2"/>
  <c r="B68" i="2" a="1"/>
  <c r="B68" i="2" s="1"/>
  <c r="C68" i="2"/>
  <c r="B69" i="2" a="1"/>
  <c r="B69" i="2" s="1"/>
  <c r="C69" i="2"/>
  <c r="B70" i="2" a="1"/>
  <c r="B70" i="2" s="1"/>
  <c r="C70" i="2"/>
  <c r="B71" i="2" a="1"/>
  <c r="B71" i="2" s="1"/>
  <c r="C71" i="2"/>
  <c r="B72" i="2" a="1"/>
  <c r="B72" i="2" s="1"/>
  <c r="C72" i="2"/>
  <c r="B73" i="2" a="1"/>
  <c r="B73" i="2" s="1"/>
  <c r="C73" i="2"/>
  <c r="B74" i="2" a="1"/>
  <c r="B74" i="2" s="1"/>
  <c r="C74" i="2"/>
  <c r="B75" i="2" a="1"/>
  <c r="B75" i="2" s="1"/>
  <c r="C75" i="2"/>
  <c r="B76" i="2" a="1"/>
  <c r="B76" i="2" s="1"/>
  <c r="C76" i="2"/>
  <c r="B77" i="2" a="1"/>
  <c r="B77" i="2" s="1"/>
  <c r="C77" i="2"/>
  <c r="B78" i="2" a="1"/>
  <c r="B78" i="2" s="1"/>
  <c r="C78" i="2"/>
  <c r="B79" i="2" a="1"/>
  <c r="B79" i="2" s="1"/>
  <c r="C79" i="2"/>
  <c r="B80" i="2" a="1"/>
  <c r="B80" i="2" s="1"/>
  <c r="C80" i="2"/>
  <c r="B81" i="2" a="1"/>
  <c r="B81" i="2" s="1"/>
  <c r="C81" i="2"/>
  <c r="B82" i="2" a="1"/>
  <c r="B82" i="2" s="1"/>
  <c r="C82" i="2"/>
  <c r="B83" i="2" a="1"/>
  <c r="B83" i="2" s="1"/>
  <c r="C83" i="2"/>
  <c r="B84" i="2" a="1"/>
  <c r="B84" i="2" s="1"/>
  <c r="C84" i="2"/>
  <c r="B85" i="2" a="1"/>
  <c r="B85" i="2" s="1"/>
  <c r="C85" i="2"/>
  <c r="B86" i="2" a="1"/>
  <c r="B86" i="2" s="1"/>
  <c r="C86" i="2"/>
  <c r="B87" i="2" a="1"/>
  <c r="B87" i="2" s="1"/>
  <c r="C87" i="2"/>
  <c r="B88" i="2" a="1"/>
  <c r="B88" i="2" s="1"/>
  <c r="C88" i="2"/>
  <c r="B89" i="2" a="1"/>
  <c r="B89" i="2" s="1"/>
  <c r="C89" i="2"/>
  <c r="B90" i="2" a="1"/>
  <c r="B90" i="2" s="1"/>
  <c r="C90" i="2"/>
  <c r="B91" i="2" a="1"/>
  <c r="B91" i="2" s="1"/>
  <c r="C91" i="2"/>
  <c r="B92" i="2" a="1"/>
  <c r="B92" i="2" s="1"/>
  <c r="C92" i="2"/>
  <c r="B93" i="2" a="1"/>
  <c r="B93" i="2" s="1"/>
  <c r="C93" i="2"/>
  <c r="B94" i="2" a="1"/>
  <c r="B94" i="2" s="1"/>
  <c r="C94" i="2"/>
  <c r="B95" i="2" a="1"/>
  <c r="B95" i="2" s="1"/>
  <c r="C95" i="2"/>
  <c r="B96" i="2" a="1"/>
  <c r="B96" i="2" s="1"/>
  <c r="C96" i="2"/>
  <c r="B97" i="2" a="1"/>
  <c r="B97" i="2" s="1"/>
  <c r="C97" i="2"/>
  <c r="B98" i="2" a="1"/>
  <c r="B98" i="2" s="1"/>
  <c r="C98" i="2"/>
  <c r="B99" i="2" a="1"/>
  <c r="B99" i="2" s="1"/>
  <c r="C99" i="2"/>
  <c r="B100" i="2" a="1"/>
  <c r="B100" i="2" s="1"/>
  <c r="C100" i="2"/>
  <c r="B101" i="2" a="1"/>
  <c r="B101" i="2" s="1"/>
  <c r="C101" i="2"/>
  <c r="B102" i="2" a="1"/>
  <c r="B102" i="2" s="1"/>
  <c r="C102" i="2"/>
  <c r="B103" i="2" a="1"/>
  <c r="B103" i="2" s="1"/>
  <c r="C103" i="2"/>
  <c r="B104" i="2" a="1"/>
  <c r="B104" i="2" s="1"/>
  <c r="C104" i="2"/>
  <c r="B105" i="2" a="1"/>
  <c r="B105" i="2" s="1"/>
  <c r="C105" i="2"/>
  <c r="B106" i="2" a="1"/>
  <c r="B106" i="2" s="1"/>
  <c r="C106" i="2"/>
  <c r="B107" i="2" a="1"/>
  <c r="B107" i="2" s="1"/>
  <c r="C107"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118" i="2"/>
  <c r="D119" i="2"/>
  <c r="D117" i="2"/>
  <c r="D116"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8" i="2"/>
  <c r="AT7" i="2" l="1"/>
  <c r="AS7" i="2"/>
  <c r="AR7" i="2"/>
  <c r="AQ7" i="2"/>
  <c r="AP7" i="2"/>
  <c r="AO7" i="2"/>
  <c r="AN7" i="2"/>
  <c r="AM7" i="2"/>
  <c r="AL7" i="2"/>
  <c r="AK7" i="2"/>
  <c r="AJ7" i="2"/>
  <c r="AI7" i="2"/>
  <c r="AH7" i="2"/>
  <c r="AG7" i="2"/>
  <c r="BA10" i="12"/>
  <c r="AZ10" i="12"/>
  <c r="AY10" i="12"/>
  <c r="AX10" i="12"/>
  <c r="AW10" i="12"/>
  <c r="AV10" i="12"/>
  <c r="AU10" i="12"/>
  <c r="AT10" i="12"/>
  <c r="AS10" i="12"/>
  <c r="AR10" i="12"/>
  <c r="AQ10" i="12"/>
  <c r="AP10" i="12"/>
  <c r="AO10" i="12"/>
  <c r="AN10" i="12"/>
  <c r="BA4" i="12"/>
  <c r="AZ4" i="12"/>
  <c r="AY4" i="12"/>
  <c r="AX4" i="12"/>
  <c r="AW4" i="12"/>
  <c r="AV4" i="12"/>
  <c r="AU4" i="12"/>
  <c r="AT4" i="12"/>
  <c r="AS4" i="12"/>
  <c r="AR4" i="12"/>
  <c r="AQ4" i="12"/>
  <c r="AP4" i="12"/>
  <c r="AO4" i="12"/>
  <c r="AN4" i="12"/>
  <c r="W14" i="12" l="1"/>
  <c r="AK16" i="12"/>
  <c r="K24" i="12"/>
  <c r="K25" i="12"/>
  <c r="K26" i="12"/>
  <c r="M26" i="12" s="1"/>
  <c r="K27" i="12"/>
  <c r="T27" i="12" s="1"/>
  <c r="K28" i="12"/>
  <c r="S28" i="12" s="1"/>
  <c r="K23" i="12"/>
  <c r="K18" i="12"/>
  <c r="K19" i="12"/>
  <c r="K20" i="12"/>
  <c r="O20" i="12" s="1"/>
  <c r="K21" i="12"/>
  <c r="N21" i="12" s="1"/>
  <c r="K22" i="12"/>
  <c r="M22" i="12" s="1"/>
  <c r="K17" i="12"/>
  <c r="K12" i="12"/>
  <c r="K13" i="12"/>
  <c r="K14" i="12"/>
  <c r="Q14" i="12" s="1"/>
  <c r="K15" i="12"/>
  <c r="P15" i="12" s="1"/>
  <c r="K16" i="12"/>
  <c r="O16" i="12" s="1"/>
  <c r="K11" i="12"/>
  <c r="L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M7" i="12"/>
  <c r="N7" i="12"/>
  <c r="O7" i="12"/>
  <c r="P7" i="12"/>
  <c r="Q7" i="12"/>
  <c r="R7" i="12"/>
  <c r="S7" i="12"/>
  <c r="T7" i="12"/>
  <c r="U7" i="12"/>
  <c r="V7" i="12"/>
  <c r="W7" i="12"/>
  <c r="X7" i="12"/>
  <c r="Y7" i="12"/>
  <c r="Z7" i="12"/>
  <c r="AA7" i="12"/>
  <c r="AB7" i="12"/>
  <c r="AC7" i="12"/>
  <c r="AD7" i="12"/>
  <c r="AE7" i="12"/>
  <c r="AF7" i="12"/>
  <c r="AG7" i="12"/>
  <c r="AH7" i="12"/>
  <c r="AI7" i="12"/>
  <c r="AJ7" i="12"/>
  <c r="AK7" i="12"/>
  <c r="AL7" i="12"/>
  <c r="AM7" i="12"/>
  <c r="AN7" i="12"/>
  <c r="AO7" i="12"/>
  <c r="AP7" i="12"/>
  <c r="AQ7" i="12"/>
  <c r="AR7" i="12"/>
  <c r="AS7" i="12"/>
  <c r="AT7" i="12"/>
  <c r="AU7" i="12"/>
  <c r="AV7" i="12"/>
  <c r="AW7" i="12"/>
  <c r="AX7" i="12"/>
  <c r="AY7" i="12"/>
  <c r="AZ7" i="12"/>
  <c r="BA7" i="12"/>
  <c r="L7" i="12"/>
  <c r="M6" i="12"/>
  <c r="N6" i="12"/>
  <c r="O6" i="12"/>
  <c r="P6" i="12"/>
  <c r="Q6" i="12"/>
  <c r="R6" i="12"/>
  <c r="S6" i="12"/>
  <c r="T6" i="12"/>
  <c r="U6" i="12"/>
  <c r="V6" i="12"/>
  <c r="W6" i="12"/>
  <c r="X6" i="12"/>
  <c r="Y6" i="12"/>
  <c r="Z6" i="12"/>
  <c r="AA6" i="12"/>
  <c r="AB6" i="12"/>
  <c r="AC6" i="12"/>
  <c r="AD6" i="12"/>
  <c r="AE6" i="12"/>
  <c r="AF6" i="12"/>
  <c r="AG6" i="12"/>
  <c r="AH6" i="12"/>
  <c r="AI6" i="12"/>
  <c r="AJ6" i="12"/>
  <c r="AK6" i="12"/>
  <c r="AL6" i="12"/>
  <c r="AM6" i="12"/>
  <c r="AN6" i="12"/>
  <c r="AO6" i="12"/>
  <c r="AP6" i="12"/>
  <c r="AQ6" i="12"/>
  <c r="AR6" i="12"/>
  <c r="AS6" i="12"/>
  <c r="AT6" i="12"/>
  <c r="AU6" i="12"/>
  <c r="AV6" i="12"/>
  <c r="AW6" i="12"/>
  <c r="AX6" i="12"/>
  <c r="AY6" i="12"/>
  <c r="AZ6" i="12"/>
  <c r="BA6" i="12"/>
  <c r="L6" i="12"/>
  <c r="M5" i="12"/>
  <c r="N5" i="12"/>
  <c r="O5" i="12"/>
  <c r="P5" i="12"/>
  <c r="Q5" i="12"/>
  <c r="R5" i="12"/>
  <c r="S5" i="12"/>
  <c r="T5" i="12"/>
  <c r="U5" i="12"/>
  <c r="V5" i="12"/>
  <c r="W5" i="12"/>
  <c r="X5" i="12"/>
  <c r="Y5" i="12"/>
  <c r="Z5" i="12"/>
  <c r="AA5" i="12"/>
  <c r="AB5" i="12"/>
  <c r="AC5" i="12"/>
  <c r="AD5" i="12"/>
  <c r="AE5" i="12"/>
  <c r="AF5" i="12"/>
  <c r="AG5" i="12"/>
  <c r="AH5" i="12"/>
  <c r="AI5" i="12"/>
  <c r="AJ5" i="12"/>
  <c r="AK5" i="12"/>
  <c r="AL5" i="12"/>
  <c r="AM5" i="12"/>
  <c r="AN5" i="12"/>
  <c r="AO5" i="12"/>
  <c r="AP5" i="12"/>
  <c r="AQ5" i="12"/>
  <c r="AR5" i="12"/>
  <c r="AS5" i="12"/>
  <c r="AT5" i="12"/>
  <c r="AU5" i="12"/>
  <c r="AV5" i="12"/>
  <c r="AW5" i="12"/>
  <c r="AX5" i="12"/>
  <c r="AY5" i="12"/>
  <c r="AZ5" i="12"/>
  <c r="BA5" i="12"/>
  <c r="L5" i="12"/>
  <c r="AU8" i="2"/>
  <c r="AT15" i="12" l="1"/>
  <c r="N15" i="12"/>
  <c r="AI16" i="12"/>
  <c r="AR15" i="12"/>
  <c r="BA14" i="12"/>
  <c r="U14" i="12"/>
  <c r="AQ16" i="12"/>
  <c r="AZ15" i="12"/>
  <c r="T15" i="12"/>
  <c r="AC14" i="12"/>
  <c r="AC16" i="12"/>
  <c r="AL15" i="12"/>
  <c r="AU14" i="12"/>
  <c r="O14" i="12"/>
  <c r="AA16" i="12"/>
  <c r="AJ15" i="12"/>
  <c r="AS14" i="12"/>
  <c r="M14" i="12"/>
  <c r="BA16" i="12"/>
  <c r="U16" i="12"/>
  <c r="AD15" i="12"/>
  <c r="AM14" i="12"/>
  <c r="AZ21" i="12"/>
  <c r="AY16" i="12"/>
  <c r="S16" i="12"/>
  <c r="AB15" i="12"/>
  <c r="AK14" i="12"/>
  <c r="AX21" i="12"/>
  <c r="AS16" i="12"/>
  <c r="M16" i="12"/>
  <c r="V15" i="12"/>
  <c r="AE14" i="12"/>
  <c r="AP21" i="12"/>
  <c r="L14" i="12"/>
  <c r="AT16" i="12"/>
  <c r="AL16" i="12"/>
  <c r="AD16" i="12"/>
  <c r="V16" i="12"/>
  <c r="N16" i="12"/>
  <c r="AU15" i="12"/>
  <c r="AM15" i="12"/>
  <c r="AE15" i="12"/>
  <c r="W15" i="12"/>
  <c r="O15" i="12"/>
  <c r="AV14" i="12"/>
  <c r="AN14" i="12"/>
  <c r="AF14" i="12"/>
  <c r="X14" i="12"/>
  <c r="P14" i="12"/>
  <c r="AZ22" i="12"/>
  <c r="AR22" i="12"/>
  <c r="AJ22" i="12"/>
  <c r="AB22" i="12"/>
  <c r="T22" i="12"/>
  <c r="BA21" i="12"/>
  <c r="AS21" i="12"/>
  <c r="AK21" i="12"/>
  <c r="AC21" i="12"/>
  <c r="U21" i="12"/>
  <c r="M21" i="12"/>
  <c r="AT20" i="12"/>
  <c r="AL20" i="12"/>
  <c r="AD20" i="12"/>
  <c r="V20" i="12"/>
  <c r="N20" i="12"/>
  <c r="AX28" i="12"/>
  <c r="AP28" i="12"/>
  <c r="AH28" i="12"/>
  <c r="Z28" i="12"/>
  <c r="R28" i="12"/>
  <c r="AY27" i="12"/>
  <c r="AQ27" i="12"/>
  <c r="AI27" i="12"/>
  <c r="AA27" i="12"/>
  <c r="S27" i="12"/>
  <c r="AZ26" i="12"/>
  <c r="AR26" i="12"/>
  <c r="AJ26" i="12"/>
  <c r="AB26" i="12"/>
  <c r="T26" i="12"/>
  <c r="AY22" i="12"/>
  <c r="AQ22" i="12"/>
  <c r="AI22" i="12"/>
  <c r="AA22" i="12"/>
  <c r="S22" i="12"/>
  <c r="AR21" i="12"/>
  <c r="AJ21" i="12"/>
  <c r="AB21" i="12"/>
  <c r="T21" i="12"/>
  <c r="BA20" i="12"/>
  <c r="AS20" i="12"/>
  <c r="AK20" i="12"/>
  <c r="AC20" i="12"/>
  <c r="U20" i="12"/>
  <c r="M20" i="12"/>
  <c r="AW28" i="12"/>
  <c r="AO28" i="12"/>
  <c r="AG28" i="12"/>
  <c r="Y28" i="12"/>
  <c r="Q28" i="12"/>
  <c r="AX27" i="12"/>
  <c r="AP27" i="12"/>
  <c r="AH27" i="12"/>
  <c r="Z27" i="12"/>
  <c r="R27" i="12"/>
  <c r="AY26" i="12"/>
  <c r="AQ26" i="12"/>
  <c r="AI26" i="12"/>
  <c r="AA26" i="12"/>
  <c r="S26" i="12"/>
  <c r="AZ16" i="12"/>
  <c r="AR16" i="12"/>
  <c r="AJ16" i="12"/>
  <c r="AB16" i="12"/>
  <c r="T16" i="12"/>
  <c r="BA15" i="12"/>
  <c r="AS15" i="12"/>
  <c r="AK15" i="12"/>
  <c r="AC15" i="12"/>
  <c r="U15" i="12"/>
  <c r="M15" i="12"/>
  <c r="AT14" i="12"/>
  <c r="AL14" i="12"/>
  <c r="AD14" i="12"/>
  <c r="V14" i="12"/>
  <c r="N14" i="12"/>
  <c r="AX22" i="12"/>
  <c r="AP22" i="12"/>
  <c r="AH22" i="12"/>
  <c r="Z22" i="12"/>
  <c r="R22" i="12"/>
  <c r="AY21" i="12"/>
  <c r="AQ21" i="12"/>
  <c r="AI21" i="12"/>
  <c r="AA21" i="12"/>
  <c r="S21" i="12"/>
  <c r="AZ20" i="12"/>
  <c r="AR20" i="12"/>
  <c r="AJ20" i="12"/>
  <c r="AB20" i="12"/>
  <c r="T20" i="12"/>
  <c r="L28" i="12"/>
  <c r="AV28" i="12"/>
  <c r="AN28" i="12"/>
  <c r="AF28" i="12"/>
  <c r="X28" i="12"/>
  <c r="P28" i="12"/>
  <c r="AW27" i="12"/>
  <c r="AO27" i="12"/>
  <c r="AG27" i="12"/>
  <c r="Y27" i="12"/>
  <c r="Q27" i="12"/>
  <c r="AX26" i="12"/>
  <c r="AP26" i="12"/>
  <c r="AH26" i="12"/>
  <c r="Z26" i="12"/>
  <c r="R26" i="12"/>
  <c r="AW22" i="12"/>
  <c r="AO22" i="12"/>
  <c r="AG22" i="12"/>
  <c r="Y22" i="12"/>
  <c r="Q22" i="12"/>
  <c r="AH21" i="12"/>
  <c r="Z21" i="12"/>
  <c r="R21" i="12"/>
  <c r="AY20" i="12"/>
  <c r="AQ20" i="12"/>
  <c r="AI20" i="12"/>
  <c r="AA20" i="12"/>
  <c r="S20" i="12"/>
  <c r="L27" i="12"/>
  <c r="AU28" i="12"/>
  <c r="AM28" i="12"/>
  <c r="AE28" i="12"/>
  <c r="W28" i="12"/>
  <c r="O28" i="12"/>
  <c r="AV27" i="12"/>
  <c r="AN27" i="12"/>
  <c r="AF27" i="12"/>
  <c r="X27" i="12"/>
  <c r="P27" i="12"/>
  <c r="AW26" i="12"/>
  <c r="AO26" i="12"/>
  <c r="AG26" i="12"/>
  <c r="Y26" i="12"/>
  <c r="Q26" i="12"/>
  <c r="AX16" i="12"/>
  <c r="AP16" i="12"/>
  <c r="AH16" i="12"/>
  <c r="Z16" i="12"/>
  <c r="R16" i="12"/>
  <c r="AY15" i="12"/>
  <c r="AQ15" i="12"/>
  <c r="AI15" i="12"/>
  <c r="AA15" i="12"/>
  <c r="S15" i="12"/>
  <c r="AZ14" i="12"/>
  <c r="AR14" i="12"/>
  <c r="AJ14" i="12"/>
  <c r="AB14" i="12"/>
  <c r="T14" i="12"/>
  <c r="L22" i="12"/>
  <c r="AV22" i="12"/>
  <c r="AN22" i="12"/>
  <c r="AF22" i="12"/>
  <c r="X22" i="12"/>
  <c r="P22" i="12"/>
  <c r="AW21" i="12"/>
  <c r="AO21" i="12"/>
  <c r="AG21" i="12"/>
  <c r="Y21" i="12"/>
  <c r="Q21" i="12"/>
  <c r="AX20" i="12"/>
  <c r="AP20" i="12"/>
  <c r="AH20" i="12"/>
  <c r="Z20" i="12"/>
  <c r="R20" i="12"/>
  <c r="L26" i="12"/>
  <c r="AT28" i="12"/>
  <c r="AL28" i="12"/>
  <c r="AD28" i="12"/>
  <c r="V28" i="12"/>
  <c r="N28" i="12"/>
  <c r="AU27" i="12"/>
  <c r="AM27" i="12"/>
  <c r="AE27" i="12"/>
  <c r="W27" i="12"/>
  <c r="O27" i="12"/>
  <c r="AV26" i="12"/>
  <c r="AN26" i="12"/>
  <c r="AF26" i="12"/>
  <c r="X26" i="12"/>
  <c r="P26" i="12"/>
  <c r="AW16" i="12"/>
  <c r="AO16" i="12"/>
  <c r="AG16" i="12"/>
  <c r="Y16" i="12"/>
  <c r="Q16" i="12"/>
  <c r="AX15" i="12"/>
  <c r="AP15" i="12"/>
  <c r="AH15" i="12"/>
  <c r="Z15" i="12"/>
  <c r="R15" i="12"/>
  <c r="AY14" i="12"/>
  <c r="AQ14" i="12"/>
  <c r="AI14" i="12"/>
  <c r="AA14" i="12"/>
  <c r="S14" i="12"/>
  <c r="L21" i="12"/>
  <c r="AU22" i="12"/>
  <c r="AM22" i="12"/>
  <c r="AE22" i="12"/>
  <c r="W22" i="12"/>
  <c r="O22" i="12"/>
  <c r="AV21" i="12"/>
  <c r="AN21" i="12"/>
  <c r="AF21" i="12"/>
  <c r="X21" i="12"/>
  <c r="P21" i="12"/>
  <c r="AW20" i="12"/>
  <c r="AO20" i="12"/>
  <c r="AG20" i="12"/>
  <c r="Y20" i="12"/>
  <c r="Q20" i="12"/>
  <c r="BA28" i="12"/>
  <c r="AS28" i="12"/>
  <c r="AK28" i="12"/>
  <c r="AC28" i="12"/>
  <c r="U28" i="12"/>
  <c r="M28" i="12"/>
  <c r="AT27" i="12"/>
  <c r="AL27" i="12"/>
  <c r="AD27" i="12"/>
  <c r="V27" i="12"/>
  <c r="N27" i="12"/>
  <c r="AU26" i="12"/>
  <c r="AM26" i="12"/>
  <c r="AE26" i="12"/>
  <c r="W26" i="12"/>
  <c r="O26" i="12"/>
  <c r="L16" i="12"/>
  <c r="AV16" i="12"/>
  <c r="AN16" i="12"/>
  <c r="AF16" i="12"/>
  <c r="X16" i="12"/>
  <c r="P16" i="12"/>
  <c r="AW15" i="12"/>
  <c r="AO15" i="12"/>
  <c r="AG15" i="12"/>
  <c r="Y15" i="12"/>
  <c r="Q15" i="12"/>
  <c r="AX14" i="12"/>
  <c r="AP14" i="12"/>
  <c r="AH14" i="12"/>
  <c r="Z14" i="12"/>
  <c r="R14" i="12"/>
  <c r="L20" i="12"/>
  <c r="AT22" i="12"/>
  <c r="AL22" i="12"/>
  <c r="AD22" i="12"/>
  <c r="V22" i="12"/>
  <c r="N22" i="12"/>
  <c r="AU21" i="12"/>
  <c r="AM21" i="12"/>
  <c r="AE21" i="12"/>
  <c r="W21" i="12"/>
  <c r="O21" i="12"/>
  <c r="AV20" i="12"/>
  <c r="AN20" i="12"/>
  <c r="AF20" i="12"/>
  <c r="X20" i="12"/>
  <c r="P20" i="12"/>
  <c r="AZ28" i="12"/>
  <c r="AR28" i="12"/>
  <c r="AJ28" i="12"/>
  <c r="AB28" i="12"/>
  <c r="T28" i="12"/>
  <c r="BA27" i="12"/>
  <c r="AS27" i="12"/>
  <c r="AK27" i="12"/>
  <c r="AC27" i="12"/>
  <c r="U27" i="12"/>
  <c r="M27" i="12"/>
  <c r="AT26" i="12"/>
  <c r="AL26" i="12"/>
  <c r="AD26" i="12"/>
  <c r="V26" i="12"/>
  <c r="N26" i="12"/>
  <c r="L15" i="12"/>
  <c r="AU16" i="12"/>
  <c r="AM16" i="12"/>
  <c r="AE16" i="12"/>
  <c r="W16" i="12"/>
  <c r="AV15" i="12"/>
  <c r="AN15" i="12"/>
  <c r="AF15" i="12"/>
  <c r="X15" i="12"/>
  <c r="AW14" i="12"/>
  <c r="AO14" i="12"/>
  <c r="AG14" i="12"/>
  <c r="Y14" i="12"/>
  <c r="BA22" i="12"/>
  <c r="AS22" i="12"/>
  <c r="AK22" i="12"/>
  <c r="AC22" i="12"/>
  <c r="U22" i="12"/>
  <c r="AT21" i="12"/>
  <c r="AL21" i="12"/>
  <c r="AD21" i="12"/>
  <c r="V21" i="12"/>
  <c r="AU20" i="12"/>
  <c r="AM20" i="12"/>
  <c r="AE20" i="12"/>
  <c r="W20" i="12"/>
  <c r="AY28" i="12"/>
  <c r="AQ28" i="12"/>
  <c r="AI28" i="12"/>
  <c r="AA28" i="12"/>
  <c r="AZ27" i="12"/>
  <c r="AR27" i="12"/>
  <c r="AJ27" i="12"/>
  <c r="AB27" i="12"/>
  <c r="BA26" i="12"/>
  <c r="AS26" i="12"/>
  <c r="AK26" i="12"/>
  <c r="AC26" i="12"/>
  <c r="U26" i="12"/>
  <c r="AZ323" i="2"/>
  <c r="AY323" i="2"/>
  <c r="AX323" i="2"/>
  <c r="AW323" i="2"/>
  <c r="AV323" i="2"/>
  <c r="AU323" i="2"/>
  <c r="AZ322" i="2"/>
  <c r="AY322" i="2"/>
  <c r="AX322" i="2"/>
  <c r="AW322" i="2"/>
  <c r="AV322" i="2"/>
  <c r="AU322" i="2"/>
  <c r="AZ321" i="2"/>
  <c r="AY321" i="2"/>
  <c r="AX321" i="2"/>
  <c r="AW321" i="2"/>
  <c r="AV321" i="2"/>
  <c r="AU321" i="2"/>
  <c r="AZ320" i="2"/>
  <c r="AY320" i="2"/>
  <c r="AX320" i="2"/>
  <c r="AW320" i="2"/>
  <c r="AV320" i="2"/>
  <c r="AU320" i="2"/>
  <c r="AZ319" i="2"/>
  <c r="AY319" i="2"/>
  <c r="AX319" i="2"/>
  <c r="AW319" i="2"/>
  <c r="AV319" i="2"/>
  <c r="AU319" i="2"/>
  <c r="AZ318" i="2"/>
  <c r="AY318" i="2"/>
  <c r="AX318" i="2"/>
  <c r="AW318" i="2"/>
  <c r="AV318" i="2"/>
  <c r="AU318" i="2"/>
  <c r="AZ317" i="2"/>
  <c r="AY317" i="2"/>
  <c r="AX317" i="2"/>
  <c r="AW317" i="2"/>
  <c r="AV317" i="2"/>
  <c r="AU317" i="2"/>
  <c r="AZ316" i="2"/>
  <c r="AY316" i="2"/>
  <c r="AX316" i="2"/>
  <c r="AW316" i="2"/>
  <c r="AV316" i="2"/>
  <c r="AU316" i="2"/>
  <c r="AZ315" i="2"/>
  <c r="AY315" i="2"/>
  <c r="AX315" i="2"/>
  <c r="AW315" i="2"/>
  <c r="AV315" i="2"/>
  <c r="AU315" i="2"/>
  <c r="AZ314" i="2"/>
  <c r="AY314" i="2"/>
  <c r="AX314" i="2"/>
  <c r="AW314" i="2"/>
  <c r="AV314" i="2"/>
  <c r="AU314" i="2"/>
  <c r="AZ313" i="2"/>
  <c r="AY313" i="2"/>
  <c r="AX313" i="2"/>
  <c r="AW313" i="2"/>
  <c r="AV313" i="2"/>
  <c r="AU313" i="2"/>
  <c r="AZ312" i="2"/>
  <c r="AY312" i="2"/>
  <c r="AX312" i="2"/>
  <c r="AW312" i="2"/>
  <c r="AV312" i="2"/>
  <c r="AU312" i="2"/>
  <c r="AZ311" i="2"/>
  <c r="AY311" i="2"/>
  <c r="AX311" i="2"/>
  <c r="AW311" i="2"/>
  <c r="AV311" i="2"/>
  <c r="AU311" i="2"/>
  <c r="AZ310" i="2"/>
  <c r="AY310" i="2"/>
  <c r="AX310" i="2"/>
  <c r="AW310" i="2"/>
  <c r="AV310" i="2"/>
  <c r="AU310" i="2"/>
  <c r="AZ309" i="2"/>
  <c r="AY309" i="2"/>
  <c r="AX309" i="2"/>
  <c r="AW309" i="2"/>
  <c r="AV309" i="2"/>
  <c r="AU309" i="2"/>
  <c r="AZ308" i="2"/>
  <c r="AY308" i="2"/>
  <c r="AX308" i="2"/>
  <c r="AW308" i="2"/>
  <c r="AV308" i="2"/>
  <c r="AU308" i="2"/>
  <c r="AZ307" i="2"/>
  <c r="AY307" i="2"/>
  <c r="AX307" i="2"/>
  <c r="AW307" i="2"/>
  <c r="AV307" i="2"/>
  <c r="AU307" i="2"/>
  <c r="AZ306" i="2"/>
  <c r="AY306" i="2"/>
  <c r="AX306" i="2"/>
  <c r="AW306" i="2"/>
  <c r="AV306" i="2"/>
  <c r="AU306" i="2"/>
  <c r="AZ305" i="2"/>
  <c r="AY305" i="2"/>
  <c r="AX305" i="2"/>
  <c r="AW305" i="2"/>
  <c r="AV305" i="2"/>
  <c r="AU305" i="2"/>
  <c r="AZ304" i="2"/>
  <c r="AY304" i="2"/>
  <c r="AX304" i="2"/>
  <c r="AW304" i="2"/>
  <c r="AV304" i="2"/>
  <c r="AU304" i="2"/>
  <c r="AZ303" i="2"/>
  <c r="AY303" i="2"/>
  <c r="AX303" i="2"/>
  <c r="AW303" i="2"/>
  <c r="AV303" i="2"/>
  <c r="AU303" i="2"/>
  <c r="AZ302" i="2"/>
  <c r="AY302" i="2"/>
  <c r="AX302" i="2"/>
  <c r="AW302" i="2"/>
  <c r="AV302" i="2"/>
  <c r="AU302" i="2"/>
  <c r="AZ301" i="2"/>
  <c r="AY301" i="2"/>
  <c r="AX301" i="2"/>
  <c r="AW301" i="2"/>
  <c r="AV301" i="2"/>
  <c r="AU301" i="2"/>
  <c r="AZ300" i="2"/>
  <c r="AY300" i="2"/>
  <c r="AX300" i="2"/>
  <c r="AW300" i="2"/>
  <c r="AV300" i="2"/>
  <c r="AU300" i="2"/>
  <c r="AZ299" i="2"/>
  <c r="AY299" i="2"/>
  <c r="AX299" i="2"/>
  <c r="AW299" i="2"/>
  <c r="AV299" i="2"/>
  <c r="AU299" i="2"/>
  <c r="AZ298" i="2"/>
  <c r="AY298" i="2"/>
  <c r="AX298" i="2"/>
  <c r="AW298" i="2"/>
  <c r="AV298" i="2"/>
  <c r="AU298" i="2"/>
  <c r="AZ297" i="2"/>
  <c r="AY297" i="2"/>
  <c r="AX297" i="2"/>
  <c r="AW297" i="2"/>
  <c r="AV297" i="2"/>
  <c r="AU297" i="2"/>
  <c r="AZ296" i="2"/>
  <c r="AY296" i="2"/>
  <c r="AX296" i="2"/>
  <c r="AW296" i="2"/>
  <c r="AV296" i="2"/>
  <c r="AU296" i="2"/>
  <c r="AZ295" i="2"/>
  <c r="AY295" i="2"/>
  <c r="AX295" i="2"/>
  <c r="AW295" i="2"/>
  <c r="AV295" i="2"/>
  <c r="AU295" i="2"/>
  <c r="AZ294" i="2"/>
  <c r="AY294" i="2"/>
  <c r="AX294" i="2"/>
  <c r="AW294" i="2"/>
  <c r="AV294" i="2"/>
  <c r="AU294" i="2"/>
  <c r="AZ293" i="2"/>
  <c r="AY293" i="2"/>
  <c r="AX293" i="2"/>
  <c r="AW293" i="2"/>
  <c r="AV293" i="2"/>
  <c r="AU293" i="2"/>
  <c r="AZ292" i="2"/>
  <c r="AY292" i="2"/>
  <c r="AX292" i="2"/>
  <c r="AW292" i="2"/>
  <c r="AV292" i="2"/>
  <c r="AU292" i="2"/>
  <c r="AZ291" i="2"/>
  <c r="AY291" i="2"/>
  <c r="AX291" i="2"/>
  <c r="AW291" i="2"/>
  <c r="AV291" i="2"/>
  <c r="AU291" i="2"/>
  <c r="AZ290" i="2"/>
  <c r="AY290" i="2"/>
  <c r="AX290" i="2"/>
  <c r="AW290" i="2"/>
  <c r="AV290" i="2"/>
  <c r="AU290" i="2"/>
  <c r="AZ289" i="2"/>
  <c r="AY289" i="2"/>
  <c r="AX289" i="2"/>
  <c r="AW289" i="2"/>
  <c r="AV289" i="2"/>
  <c r="AU289" i="2"/>
  <c r="AZ288" i="2"/>
  <c r="AY288" i="2"/>
  <c r="AX288" i="2"/>
  <c r="AW288" i="2"/>
  <c r="AV288" i="2"/>
  <c r="AU288" i="2"/>
  <c r="AZ287" i="2"/>
  <c r="AY287" i="2"/>
  <c r="AX287" i="2"/>
  <c r="AW287" i="2"/>
  <c r="AV287" i="2"/>
  <c r="AU287" i="2"/>
  <c r="AZ286" i="2"/>
  <c r="AY286" i="2"/>
  <c r="AX286" i="2"/>
  <c r="AW286" i="2"/>
  <c r="AV286" i="2"/>
  <c r="AU286" i="2"/>
  <c r="AZ285" i="2"/>
  <c r="AY285" i="2"/>
  <c r="AX285" i="2"/>
  <c r="AW285" i="2"/>
  <c r="AV285" i="2"/>
  <c r="AU285" i="2"/>
  <c r="AZ284" i="2"/>
  <c r="AY284" i="2"/>
  <c r="AX284" i="2"/>
  <c r="AW284" i="2"/>
  <c r="AV284" i="2"/>
  <c r="AU284" i="2"/>
  <c r="AZ283" i="2"/>
  <c r="AY283" i="2"/>
  <c r="AX283" i="2"/>
  <c r="AW283" i="2"/>
  <c r="AV283" i="2"/>
  <c r="AU283" i="2"/>
  <c r="AZ282" i="2"/>
  <c r="AY282" i="2"/>
  <c r="AX282" i="2"/>
  <c r="AW282" i="2"/>
  <c r="AV282" i="2"/>
  <c r="AU282" i="2"/>
  <c r="AZ281" i="2"/>
  <c r="AY281" i="2"/>
  <c r="AX281" i="2"/>
  <c r="AW281" i="2"/>
  <c r="AV281" i="2"/>
  <c r="AU281" i="2"/>
  <c r="AZ280" i="2"/>
  <c r="AY280" i="2"/>
  <c r="AX280" i="2"/>
  <c r="AW280" i="2"/>
  <c r="AV280" i="2"/>
  <c r="AU280" i="2"/>
  <c r="AZ279" i="2"/>
  <c r="AY279" i="2"/>
  <c r="AX279" i="2"/>
  <c r="AW279" i="2"/>
  <c r="AV279" i="2"/>
  <c r="AU279" i="2"/>
  <c r="AZ278" i="2"/>
  <c r="AY278" i="2"/>
  <c r="AX278" i="2"/>
  <c r="AW278" i="2"/>
  <c r="AV278" i="2"/>
  <c r="AU278" i="2"/>
  <c r="AZ277" i="2"/>
  <c r="AY277" i="2"/>
  <c r="AX277" i="2"/>
  <c r="AW277" i="2"/>
  <c r="AV277" i="2"/>
  <c r="AU277" i="2"/>
  <c r="AZ276" i="2"/>
  <c r="AY276" i="2"/>
  <c r="AX276" i="2"/>
  <c r="AW276" i="2"/>
  <c r="AV276" i="2"/>
  <c r="AU276" i="2"/>
  <c r="AZ275" i="2"/>
  <c r="AY275" i="2"/>
  <c r="AX275" i="2"/>
  <c r="AW275" i="2"/>
  <c r="AV275" i="2"/>
  <c r="AU275" i="2"/>
  <c r="AZ274" i="2"/>
  <c r="AY274" i="2"/>
  <c r="AX274" i="2"/>
  <c r="AW274" i="2"/>
  <c r="AV274" i="2"/>
  <c r="AU274" i="2"/>
  <c r="AZ273" i="2"/>
  <c r="AY273" i="2"/>
  <c r="AX273" i="2"/>
  <c r="AW273" i="2"/>
  <c r="AV273" i="2"/>
  <c r="AU273" i="2"/>
  <c r="AZ272" i="2"/>
  <c r="AY272" i="2"/>
  <c r="AX272" i="2"/>
  <c r="AW272" i="2"/>
  <c r="AV272" i="2"/>
  <c r="AU272" i="2"/>
  <c r="AZ271" i="2"/>
  <c r="AY271" i="2"/>
  <c r="AX271" i="2"/>
  <c r="AW271" i="2"/>
  <c r="AV271" i="2"/>
  <c r="AU271" i="2"/>
  <c r="AZ270" i="2"/>
  <c r="AY270" i="2"/>
  <c r="AX270" i="2"/>
  <c r="AW270" i="2"/>
  <c r="AV270" i="2"/>
  <c r="AU270" i="2"/>
  <c r="AZ269" i="2"/>
  <c r="AY269" i="2"/>
  <c r="AX269" i="2"/>
  <c r="AW269" i="2"/>
  <c r="AV269" i="2"/>
  <c r="AU269" i="2"/>
  <c r="AZ268" i="2"/>
  <c r="AY268" i="2"/>
  <c r="AX268" i="2"/>
  <c r="AW268" i="2"/>
  <c r="AV268" i="2"/>
  <c r="AU268" i="2"/>
  <c r="AZ267" i="2"/>
  <c r="AY267" i="2"/>
  <c r="AX267" i="2"/>
  <c r="AW267" i="2"/>
  <c r="AV267" i="2"/>
  <c r="AU267" i="2"/>
  <c r="AZ266" i="2"/>
  <c r="AY266" i="2"/>
  <c r="AX266" i="2"/>
  <c r="AW266" i="2"/>
  <c r="AV266" i="2"/>
  <c r="AU266" i="2"/>
  <c r="AZ265" i="2"/>
  <c r="AY265" i="2"/>
  <c r="AX265" i="2"/>
  <c r="AW265" i="2"/>
  <c r="AV265" i="2"/>
  <c r="AU265" i="2"/>
  <c r="AZ264" i="2"/>
  <c r="AY264" i="2"/>
  <c r="AX264" i="2"/>
  <c r="AW264" i="2"/>
  <c r="AV264" i="2"/>
  <c r="AU264" i="2"/>
  <c r="AZ263" i="2"/>
  <c r="AY263" i="2"/>
  <c r="AX263" i="2"/>
  <c r="AW263" i="2"/>
  <c r="AV263" i="2"/>
  <c r="AU263" i="2"/>
  <c r="AZ262" i="2"/>
  <c r="AY262" i="2"/>
  <c r="AX262" i="2"/>
  <c r="AW262" i="2"/>
  <c r="AV262" i="2"/>
  <c r="AU262" i="2"/>
  <c r="AZ261" i="2"/>
  <c r="AY261" i="2"/>
  <c r="AX261" i="2"/>
  <c r="AW261" i="2"/>
  <c r="AV261" i="2"/>
  <c r="AU261" i="2"/>
  <c r="AZ260" i="2"/>
  <c r="AY260" i="2"/>
  <c r="AX260" i="2"/>
  <c r="AW260" i="2"/>
  <c r="AV260" i="2"/>
  <c r="AU260" i="2"/>
  <c r="AZ259" i="2"/>
  <c r="AY259" i="2"/>
  <c r="AX259" i="2"/>
  <c r="AW259" i="2"/>
  <c r="AV259" i="2"/>
  <c r="AU259" i="2"/>
  <c r="AZ258" i="2"/>
  <c r="AY258" i="2"/>
  <c r="AX258" i="2"/>
  <c r="AW258" i="2"/>
  <c r="AV258" i="2"/>
  <c r="AU258" i="2"/>
  <c r="AZ257" i="2"/>
  <c r="AY257" i="2"/>
  <c r="AX257" i="2"/>
  <c r="AW257" i="2"/>
  <c r="AV257" i="2"/>
  <c r="AU257" i="2"/>
  <c r="AZ256" i="2"/>
  <c r="AY256" i="2"/>
  <c r="AX256" i="2"/>
  <c r="AW256" i="2"/>
  <c r="AV256" i="2"/>
  <c r="AU256" i="2"/>
  <c r="AZ255" i="2"/>
  <c r="AY255" i="2"/>
  <c r="AX255" i="2"/>
  <c r="AW255" i="2"/>
  <c r="AV255" i="2"/>
  <c r="AU255" i="2"/>
  <c r="AZ254" i="2"/>
  <c r="AY254" i="2"/>
  <c r="AX254" i="2"/>
  <c r="AW254" i="2"/>
  <c r="AV254" i="2"/>
  <c r="AU254" i="2"/>
  <c r="AZ253" i="2"/>
  <c r="AY253" i="2"/>
  <c r="AX253" i="2"/>
  <c r="AW253" i="2"/>
  <c r="AV253" i="2"/>
  <c r="AU253" i="2"/>
  <c r="AZ252" i="2"/>
  <c r="AY252" i="2"/>
  <c r="AX252" i="2"/>
  <c r="AW252" i="2"/>
  <c r="AV252" i="2"/>
  <c r="AU252" i="2"/>
  <c r="AZ251" i="2"/>
  <c r="AY251" i="2"/>
  <c r="AX251" i="2"/>
  <c r="AW251" i="2"/>
  <c r="AV251" i="2"/>
  <c r="AU251" i="2"/>
  <c r="AZ250" i="2"/>
  <c r="AY250" i="2"/>
  <c r="AX250" i="2"/>
  <c r="AW250" i="2"/>
  <c r="AV250" i="2"/>
  <c r="AU250" i="2"/>
  <c r="AZ249" i="2"/>
  <c r="AY249" i="2"/>
  <c r="AX249" i="2"/>
  <c r="AW249" i="2"/>
  <c r="AV249" i="2"/>
  <c r="AU249" i="2"/>
  <c r="AZ248" i="2"/>
  <c r="AY248" i="2"/>
  <c r="AX248" i="2"/>
  <c r="AW248" i="2"/>
  <c r="AV248" i="2"/>
  <c r="AU248" i="2"/>
  <c r="AZ247" i="2"/>
  <c r="AY247" i="2"/>
  <c r="AX247" i="2"/>
  <c r="AW247" i="2"/>
  <c r="AV247" i="2"/>
  <c r="AU247" i="2"/>
  <c r="AZ246" i="2"/>
  <c r="AY246" i="2"/>
  <c r="AX246" i="2"/>
  <c r="AW246" i="2"/>
  <c r="AV246" i="2"/>
  <c r="AU246" i="2"/>
  <c r="AZ245" i="2"/>
  <c r="AY245" i="2"/>
  <c r="AX245" i="2"/>
  <c r="AW245" i="2"/>
  <c r="AV245" i="2"/>
  <c r="AU245" i="2"/>
  <c r="AZ244" i="2"/>
  <c r="AY244" i="2"/>
  <c r="AX244" i="2"/>
  <c r="AW244" i="2"/>
  <c r="AV244" i="2"/>
  <c r="AU244" i="2"/>
  <c r="AZ243" i="2"/>
  <c r="AY243" i="2"/>
  <c r="AX243" i="2"/>
  <c r="AW243" i="2"/>
  <c r="AV243" i="2"/>
  <c r="AU243" i="2"/>
  <c r="AZ242" i="2"/>
  <c r="AY242" i="2"/>
  <c r="AX242" i="2"/>
  <c r="AW242" i="2"/>
  <c r="AV242" i="2"/>
  <c r="AU242" i="2"/>
  <c r="AZ241" i="2"/>
  <c r="AY241" i="2"/>
  <c r="AX241" i="2"/>
  <c r="AW241" i="2"/>
  <c r="AV241" i="2"/>
  <c r="AU241" i="2"/>
  <c r="AZ240" i="2"/>
  <c r="AY240" i="2"/>
  <c r="AX240" i="2"/>
  <c r="AW240" i="2"/>
  <c r="AV240" i="2"/>
  <c r="AU240" i="2"/>
  <c r="AZ239" i="2"/>
  <c r="AY239" i="2"/>
  <c r="AX239" i="2"/>
  <c r="AW239" i="2"/>
  <c r="AV239" i="2"/>
  <c r="AU239" i="2"/>
  <c r="AZ238" i="2"/>
  <c r="AY238" i="2"/>
  <c r="AX238" i="2"/>
  <c r="AW238" i="2"/>
  <c r="AV238" i="2"/>
  <c r="AU238" i="2"/>
  <c r="AZ237" i="2"/>
  <c r="AY237" i="2"/>
  <c r="AX237" i="2"/>
  <c r="AW237" i="2"/>
  <c r="AV237" i="2"/>
  <c r="AU237" i="2"/>
  <c r="AZ236" i="2"/>
  <c r="AY236" i="2"/>
  <c r="AX236" i="2"/>
  <c r="AW236" i="2"/>
  <c r="AV236" i="2"/>
  <c r="AU236" i="2"/>
  <c r="AZ235" i="2"/>
  <c r="AY235" i="2"/>
  <c r="AX235" i="2"/>
  <c r="AW235" i="2"/>
  <c r="AV235" i="2"/>
  <c r="AU235" i="2"/>
  <c r="AZ234" i="2"/>
  <c r="AY234" i="2"/>
  <c r="AX234" i="2"/>
  <c r="AW234" i="2"/>
  <c r="AV234" i="2"/>
  <c r="AU234" i="2"/>
  <c r="AZ233" i="2"/>
  <c r="AY233" i="2"/>
  <c r="AX233" i="2"/>
  <c r="AW233" i="2"/>
  <c r="AV233" i="2"/>
  <c r="AU233" i="2"/>
  <c r="AZ232" i="2"/>
  <c r="AY232" i="2"/>
  <c r="AX232" i="2"/>
  <c r="AW232" i="2"/>
  <c r="AV232" i="2"/>
  <c r="AU232" i="2"/>
  <c r="AZ231" i="2"/>
  <c r="AY231" i="2"/>
  <c r="AX231" i="2"/>
  <c r="AW231" i="2"/>
  <c r="AV231" i="2"/>
  <c r="AU231" i="2"/>
  <c r="AZ230" i="2"/>
  <c r="AY230" i="2"/>
  <c r="AX230" i="2"/>
  <c r="AW230" i="2"/>
  <c r="AV230" i="2"/>
  <c r="AU230" i="2"/>
  <c r="AZ229" i="2"/>
  <c r="AY229" i="2"/>
  <c r="AX229" i="2"/>
  <c r="AW229" i="2"/>
  <c r="AV229" i="2"/>
  <c r="AU229" i="2"/>
  <c r="AZ228" i="2"/>
  <c r="AY228" i="2"/>
  <c r="AX228" i="2"/>
  <c r="AW228" i="2"/>
  <c r="AV228" i="2"/>
  <c r="AU228" i="2"/>
  <c r="AZ227" i="2"/>
  <c r="AY227" i="2"/>
  <c r="AX227" i="2"/>
  <c r="AW227" i="2"/>
  <c r="AV227" i="2"/>
  <c r="AU227" i="2"/>
  <c r="AZ226" i="2"/>
  <c r="AY226" i="2"/>
  <c r="AX226" i="2"/>
  <c r="AW226" i="2"/>
  <c r="AV226" i="2"/>
  <c r="AU226" i="2"/>
  <c r="AZ225" i="2"/>
  <c r="AY225" i="2"/>
  <c r="AX225" i="2"/>
  <c r="AW225" i="2"/>
  <c r="AV225" i="2"/>
  <c r="AU225" i="2"/>
  <c r="AZ224" i="2"/>
  <c r="AY224" i="2"/>
  <c r="AX224" i="2"/>
  <c r="AW224" i="2"/>
  <c r="AV224" i="2"/>
  <c r="AU224" i="2"/>
  <c r="E221" i="2"/>
  <c r="AU221" i="2" s="1"/>
  <c r="E113" i="2"/>
  <c r="AU113" i="2" s="1"/>
  <c r="AZ215" i="2"/>
  <c r="AY215" i="2"/>
  <c r="AX215" i="2"/>
  <c r="AW215" i="2"/>
  <c r="AV215" i="2"/>
  <c r="AU215" i="2"/>
  <c r="AZ214" i="2"/>
  <c r="AY214" i="2"/>
  <c r="AX214" i="2"/>
  <c r="AW214" i="2"/>
  <c r="AV214" i="2"/>
  <c r="AU214" i="2"/>
  <c r="AZ213" i="2"/>
  <c r="AY213" i="2"/>
  <c r="AX213" i="2"/>
  <c r="AW213" i="2"/>
  <c r="AV213" i="2"/>
  <c r="AU213" i="2"/>
  <c r="AZ212" i="2"/>
  <c r="AY212" i="2"/>
  <c r="AX212" i="2"/>
  <c r="AW212" i="2"/>
  <c r="AV212" i="2"/>
  <c r="AU212" i="2"/>
  <c r="AZ211" i="2"/>
  <c r="AY211" i="2"/>
  <c r="AX211" i="2"/>
  <c r="AW211" i="2"/>
  <c r="AV211" i="2"/>
  <c r="AU211" i="2"/>
  <c r="AZ210" i="2"/>
  <c r="AY210" i="2"/>
  <c r="AX210" i="2"/>
  <c r="AW210" i="2"/>
  <c r="AV210" i="2"/>
  <c r="AU210" i="2"/>
  <c r="AZ209" i="2"/>
  <c r="AY209" i="2"/>
  <c r="AX209" i="2"/>
  <c r="AW209" i="2"/>
  <c r="AV209" i="2"/>
  <c r="AU209" i="2"/>
  <c r="AZ208" i="2"/>
  <c r="AY208" i="2"/>
  <c r="AX208" i="2"/>
  <c r="AW208" i="2"/>
  <c r="AV208" i="2"/>
  <c r="AU208" i="2"/>
  <c r="AZ207" i="2"/>
  <c r="AY207" i="2"/>
  <c r="AX207" i="2"/>
  <c r="AW207" i="2"/>
  <c r="AV207" i="2"/>
  <c r="AU207" i="2"/>
  <c r="AZ206" i="2"/>
  <c r="AY206" i="2"/>
  <c r="AX206" i="2"/>
  <c r="AW206" i="2"/>
  <c r="AV206" i="2"/>
  <c r="AU206" i="2"/>
  <c r="AZ205" i="2"/>
  <c r="AY205" i="2"/>
  <c r="AX205" i="2"/>
  <c r="AW205" i="2"/>
  <c r="AV205" i="2"/>
  <c r="AU205" i="2"/>
  <c r="AZ204" i="2"/>
  <c r="AY204" i="2"/>
  <c r="AX204" i="2"/>
  <c r="AW204" i="2"/>
  <c r="AV204" i="2"/>
  <c r="AU204" i="2"/>
  <c r="AZ203" i="2"/>
  <c r="AY203" i="2"/>
  <c r="AX203" i="2"/>
  <c r="AW203" i="2"/>
  <c r="AV203" i="2"/>
  <c r="AU203" i="2"/>
  <c r="AZ202" i="2"/>
  <c r="AY202" i="2"/>
  <c r="AX202" i="2"/>
  <c r="AW202" i="2"/>
  <c r="AV202" i="2"/>
  <c r="AU202" i="2"/>
  <c r="AZ201" i="2"/>
  <c r="AY201" i="2"/>
  <c r="AX201" i="2"/>
  <c r="AW201" i="2"/>
  <c r="AV201" i="2"/>
  <c r="AU201" i="2"/>
  <c r="AZ200" i="2"/>
  <c r="AY200" i="2"/>
  <c r="AX200" i="2"/>
  <c r="AW200" i="2"/>
  <c r="AV200" i="2"/>
  <c r="AU200" i="2"/>
  <c r="AZ199" i="2"/>
  <c r="AY199" i="2"/>
  <c r="AX199" i="2"/>
  <c r="AW199" i="2"/>
  <c r="AV199" i="2"/>
  <c r="AU199" i="2"/>
  <c r="AZ198" i="2"/>
  <c r="AY198" i="2"/>
  <c r="AX198" i="2"/>
  <c r="AW198" i="2"/>
  <c r="AV198" i="2"/>
  <c r="AU198" i="2"/>
  <c r="AZ197" i="2"/>
  <c r="AY197" i="2"/>
  <c r="AX197" i="2"/>
  <c r="AW197" i="2"/>
  <c r="AV197" i="2"/>
  <c r="AU197" i="2"/>
  <c r="AZ196" i="2"/>
  <c r="AY196" i="2"/>
  <c r="AX196" i="2"/>
  <c r="AW196" i="2"/>
  <c r="AV196" i="2"/>
  <c r="AU196" i="2"/>
  <c r="AZ195" i="2"/>
  <c r="AY195" i="2"/>
  <c r="AX195" i="2"/>
  <c r="AW195" i="2"/>
  <c r="AV195" i="2"/>
  <c r="AU195" i="2"/>
  <c r="AZ194" i="2"/>
  <c r="AY194" i="2"/>
  <c r="AX194" i="2"/>
  <c r="AW194" i="2"/>
  <c r="AV194" i="2"/>
  <c r="AU194" i="2"/>
  <c r="AZ193" i="2"/>
  <c r="AY193" i="2"/>
  <c r="AX193" i="2"/>
  <c r="AW193" i="2"/>
  <c r="AV193" i="2"/>
  <c r="AU193" i="2"/>
  <c r="AZ192" i="2"/>
  <c r="AY192" i="2"/>
  <c r="AX192" i="2"/>
  <c r="AW192" i="2"/>
  <c r="AV192" i="2"/>
  <c r="AU192" i="2"/>
  <c r="AZ191" i="2"/>
  <c r="AY191" i="2"/>
  <c r="AX191" i="2"/>
  <c r="AW191" i="2"/>
  <c r="AV191" i="2"/>
  <c r="AU191" i="2"/>
  <c r="AZ190" i="2"/>
  <c r="AY190" i="2"/>
  <c r="AX190" i="2"/>
  <c r="AW190" i="2"/>
  <c r="AV190" i="2"/>
  <c r="AU190" i="2"/>
  <c r="AZ189" i="2"/>
  <c r="AY189" i="2"/>
  <c r="AX189" i="2"/>
  <c r="AW189" i="2"/>
  <c r="AV189" i="2"/>
  <c r="AU189" i="2"/>
  <c r="AZ188" i="2"/>
  <c r="AY188" i="2"/>
  <c r="AX188" i="2"/>
  <c r="AW188" i="2"/>
  <c r="AV188" i="2"/>
  <c r="AU188" i="2"/>
  <c r="AZ187" i="2"/>
  <c r="AY187" i="2"/>
  <c r="AX187" i="2"/>
  <c r="AW187" i="2"/>
  <c r="AV187" i="2"/>
  <c r="AU187" i="2"/>
  <c r="AZ186" i="2"/>
  <c r="AY186" i="2"/>
  <c r="AX186" i="2"/>
  <c r="AW186" i="2"/>
  <c r="AV186" i="2"/>
  <c r="AU186" i="2"/>
  <c r="AZ185" i="2"/>
  <c r="AY185" i="2"/>
  <c r="AX185" i="2"/>
  <c r="AW185" i="2"/>
  <c r="AV185" i="2"/>
  <c r="AU185" i="2"/>
  <c r="AZ184" i="2"/>
  <c r="AY184" i="2"/>
  <c r="AX184" i="2"/>
  <c r="AW184" i="2"/>
  <c r="AV184" i="2"/>
  <c r="AU184" i="2"/>
  <c r="AZ183" i="2"/>
  <c r="AY183" i="2"/>
  <c r="AX183" i="2"/>
  <c r="AW183" i="2"/>
  <c r="AV183" i="2"/>
  <c r="AU183" i="2"/>
  <c r="AZ182" i="2"/>
  <c r="AY182" i="2"/>
  <c r="AX182" i="2"/>
  <c r="AW182" i="2"/>
  <c r="AV182" i="2"/>
  <c r="AU182" i="2"/>
  <c r="AZ181" i="2"/>
  <c r="AY181" i="2"/>
  <c r="AX181" i="2"/>
  <c r="AW181" i="2"/>
  <c r="AV181" i="2"/>
  <c r="AU181" i="2"/>
  <c r="AZ180" i="2"/>
  <c r="AY180" i="2"/>
  <c r="AX180" i="2"/>
  <c r="AW180" i="2"/>
  <c r="AV180" i="2"/>
  <c r="AU180" i="2"/>
  <c r="AZ179" i="2"/>
  <c r="AY179" i="2"/>
  <c r="AX179" i="2"/>
  <c r="AW179" i="2"/>
  <c r="AV179" i="2"/>
  <c r="AU179" i="2"/>
  <c r="AZ178" i="2"/>
  <c r="AY178" i="2"/>
  <c r="AX178" i="2"/>
  <c r="AW178" i="2"/>
  <c r="AV178" i="2"/>
  <c r="AU178" i="2"/>
  <c r="AZ177" i="2"/>
  <c r="AY177" i="2"/>
  <c r="AX177" i="2"/>
  <c r="AW177" i="2"/>
  <c r="AV177" i="2"/>
  <c r="AU177" i="2"/>
  <c r="AZ176" i="2"/>
  <c r="AY176" i="2"/>
  <c r="AX176" i="2"/>
  <c r="AW176" i="2"/>
  <c r="AV176" i="2"/>
  <c r="AU176" i="2"/>
  <c r="AZ175" i="2"/>
  <c r="AY175" i="2"/>
  <c r="AX175" i="2"/>
  <c r="AW175" i="2"/>
  <c r="AV175" i="2"/>
  <c r="AU175" i="2"/>
  <c r="AZ174" i="2"/>
  <c r="AY174" i="2"/>
  <c r="AX174" i="2"/>
  <c r="AW174" i="2"/>
  <c r="AV174" i="2"/>
  <c r="AU174" i="2"/>
  <c r="AZ173" i="2"/>
  <c r="AY173" i="2"/>
  <c r="AX173" i="2"/>
  <c r="AW173" i="2"/>
  <c r="AV173" i="2"/>
  <c r="AU173" i="2"/>
  <c r="AZ172" i="2"/>
  <c r="AY172" i="2"/>
  <c r="AX172" i="2"/>
  <c r="AW172" i="2"/>
  <c r="AV172" i="2"/>
  <c r="AU172" i="2"/>
  <c r="AZ171" i="2"/>
  <c r="AY171" i="2"/>
  <c r="AX171" i="2"/>
  <c r="AW171" i="2"/>
  <c r="AV171" i="2"/>
  <c r="AU171" i="2"/>
  <c r="AZ170" i="2"/>
  <c r="AY170" i="2"/>
  <c r="AX170" i="2"/>
  <c r="AW170" i="2"/>
  <c r="AV170" i="2"/>
  <c r="AU170" i="2"/>
  <c r="AZ169" i="2"/>
  <c r="AY169" i="2"/>
  <c r="AX169" i="2"/>
  <c r="AW169" i="2"/>
  <c r="AV169" i="2"/>
  <c r="AU169" i="2"/>
  <c r="AZ168" i="2"/>
  <c r="AY168" i="2"/>
  <c r="AX168" i="2"/>
  <c r="AW168" i="2"/>
  <c r="AV168" i="2"/>
  <c r="AU168" i="2"/>
  <c r="AZ167" i="2"/>
  <c r="AY167" i="2"/>
  <c r="AX167" i="2"/>
  <c r="AW167" i="2"/>
  <c r="AV167" i="2"/>
  <c r="AU167" i="2"/>
  <c r="AZ166" i="2"/>
  <c r="AY166" i="2"/>
  <c r="AX166" i="2"/>
  <c r="AW166" i="2"/>
  <c r="AV166" i="2"/>
  <c r="AU166" i="2"/>
  <c r="AZ165" i="2"/>
  <c r="AY165" i="2"/>
  <c r="AX165" i="2"/>
  <c r="AW165" i="2"/>
  <c r="AV165" i="2"/>
  <c r="AU165" i="2"/>
  <c r="AZ164" i="2"/>
  <c r="AY164" i="2"/>
  <c r="AX164" i="2"/>
  <c r="AW164" i="2"/>
  <c r="AV164" i="2"/>
  <c r="AU164" i="2"/>
  <c r="AZ163" i="2"/>
  <c r="AY163" i="2"/>
  <c r="AX163" i="2"/>
  <c r="AW163" i="2"/>
  <c r="AV163" i="2"/>
  <c r="AU163" i="2"/>
  <c r="AZ162" i="2"/>
  <c r="AY162" i="2"/>
  <c r="AX162" i="2"/>
  <c r="AW162" i="2"/>
  <c r="AV162" i="2"/>
  <c r="AU162" i="2"/>
  <c r="AZ161" i="2"/>
  <c r="AY161" i="2"/>
  <c r="AX161" i="2"/>
  <c r="AW161" i="2"/>
  <c r="AV161" i="2"/>
  <c r="AU161" i="2"/>
  <c r="AZ160" i="2"/>
  <c r="AY160" i="2"/>
  <c r="AX160" i="2"/>
  <c r="AW160" i="2"/>
  <c r="AV160" i="2"/>
  <c r="AU160" i="2"/>
  <c r="AZ159" i="2"/>
  <c r="AY159" i="2"/>
  <c r="AX159" i="2"/>
  <c r="AW159" i="2"/>
  <c r="AV159" i="2"/>
  <c r="AU159" i="2"/>
  <c r="AZ158" i="2"/>
  <c r="AY158" i="2"/>
  <c r="AX158" i="2"/>
  <c r="AW158" i="2"/>
  <c r="AV158" i="2"/>
  <c r="AU158" i="2"/>
  <c r="AZ157" i="2"/>
  <c r="AY157" i="2"/>
  <c r="AX157" i="2"/>
  <c r="AW157" i="2"/>
  <c r="AV157" i="2"/>
  <c r="AU157" i="2"/>
  <c r="AZ156" i="2"/>
  <c r="AY156" i="2"/>
  <c r="AX156" i="2"/>
  <c r="AW156" i="2"/>
  <c r="AV156" i="2"/>
  <c r="AU156" i="2"/>
  <c r="AZ155" i="2"/>
  <c r="AY155" i="2"/>
  <c r="AX155" i="2"/>
  <c r="AW155" i="2"/>
  <c r="AV155" i="2"/>
  <c r="AU155" i="2"/>
  <c r="AZ154" i="2"/>
  <c r="AY154" i="2"/>
  <c r="AX154" i="2"/>
  <c r="AW154" i="2"/>
  <c r="AV154" i="2"/>
  <c r="AU154" i="2"/>
  <c r="AZ153" i="2"/>
  <c r="AY153" i="2"/>
  <c r="AX153" i="2"/>
  <c r="AW153" i="2"/>
  <c r="AV153" i="2"/>
  <c r="AU153" i="2"/>
  <c r="AZ152" i="2"/>
  <c r="AY152" i="2"/>
  <c r="AX152" i="2"/>
  <c r="AW152" i="2"/>
  <c r="AV152" i="2"/>
  <c r="AU152" i="2"/>
  <c r="AZ151" i="2"/>
  <c r="AY151" i="2"/>
  <c r="AX151" i="2"/>
  <c r="AW151" i="2"/>
  <c r="AV151" i="2"/>
  <c r="AU151" i="2"/>
  <c r="AZ150" i="2"/>
  <c r="AY150" i="2"/>
  <c r="AX150" i="2"/>
  <c r="AW150" i="2"/>
  <c r="AV150" i="2"/>
  <c r="AU150" i="2"/>
  <c r="AZ149" i="2"/>
  <c r="AY149" i="2"/>
  <c r="AX149" i="2"/>
  <c r="AW149" i="2"/>
  <c r="AV149" i="2"/>
  <c r="AU149" i="2"/>
  <c r="AZ148" i="2"/>
  <c r="AY148" i="2"/>
  <c r="AX148" i="2"/>
  <c r="AW148" i="2"/>
  <c r="AV148" i="2"/>
  <c r="AU148" i="2"/>
  <c r="AZ147" i="2"/>
  <c r="AY147" i="2"/>
  <c r="AX147" i="2"/>
  <c r="AW147" i="2"/>
  <c r="AV147" i="2"/>
  <c r="AU147" i="2"/>
  <c r="AZ146" i="2"/>
  <c r="AY146" i="2"/>
  <c r="AX146" i="2"/>
  <c r="AW146" i="2"/>
  <c r="AV146" i="2"/>
  <c r="AU146" i="2"/>
  <c r="AZ145" i="2"/>
  <c r="AY145" i="2"/>
  <c r="AX145" i="2"/>
  <c r="AW145" i="2"/>
  <c r="AV145" i="2"/>
  <c r="AU145" i="2"/>
  <c r="AZ144" i="2"/>
  <c r="AY144" i="2"/>
  <c r="AX144" i="2"/>
  <c r="AW144" i="2"/>
  <c r="AV144" i="2"/>
  <c r="AU144" i="2"/>
  <c r="AZ143" i="2"/>
  <c r="AY143" i="2"/>
  <c r="AX143" i="2"/>
  <c r="AW143" i="2"/>
  <c r="AV143" i="2"/>
  <c r="AU143" i="2"/>
  <c r="AZ142" i="2"/>
  <c r="AY142" i="2"/>
  <c r="AX142" i="2"/>
  <c r="AW142" i="2"/>
  <c r="AV142" i="2"/>
  <c r="AU142" i="2"/>
  <c r="AZ141" i="2"/>
  <c r="AY141" i="2"/>
  <c r="AX141" i="2"/>
  <c r="AW141" i="2"/>
  <c r="AV141" i="2"/>
  <c r="AU141" i="2"/>
  <c r="AZ140" i="2"/>
  <c r="AY140" i="2"/>
  <c r="AX140" i="2"/>
  <c r="AW140" i="2"/>
  <c r="AV140" i="2"/>
  <c r="AU140" i="2"/>
  <c r="AZ139" i="2"/>
  <c r="AY139" i="2"/>
  <c r="AX139" i="2"/>
  <c r="AW139" i="2"/>
  <c r="AV139" i="2"/>
  <c r="AU139" i="2"/>
  <c r="AZ138" i="2"/>
  <c r="AY138" i="2"/>
  <c r="AX138" i="2"/>
  <c r="AW138" i="2"/>
  <c r="AV138" i="2"/>
  <c r="AU138" i="2"/>
  <c r="AZ137" i="2"/>
  <c r="AY137" i="2"/>
  <c r="AX137" i="2"/>
  <c r="AW137" i="2"/>
  <c r="AV137" i="2"/>
  <c r="AU137" i="2"/>
  <c r="AZ136" i="2"/>
  <c r="AY136" i="2"/>
  <c r="AX136" i="2"/>
  <c r="AW136" i="2"/>
  <c r="AV136" i="2"/>
  <c r="AU136" i="2"/>
  <c r="AZ135" i="2"/>
  <c r="AY135" i="2"/>
  <c r="AX135" i="2"/>
  <c r="AW135" i="2"/>
  <c r="AV135" i="2"/>
  <c r="AU135" i="2"/>
  <c r="AZ134" i="2"/>
  <c r="AY134" i="2"/>
  <c r="AX134" i="2"/>
  <c r="AW134" i="2"/>
  <c r="AV134" i="2"/>
  <c r="AU134" i="2"/>
  <c r="AZ133" i="2"/>
  <c r="AY133" i="2"/>
  <c r="AX133" i="2"/>
  <c r="AW133" i="2"/>
  <c r="AV133" i="2"/>
  <c r="AU133" i="2"/>
  <c r="AZ132" i="2"/>
  <c r="AY132" i="2"/>
  <c r="AX132" i="2"/>
  <c r="AW132" i="2"/>
  <c r="AV132" i="2"/>
  <c r="AU132" i="2"/>
  <c r="AZ131" i="2"/>
  <c r="AY131" i="2"/>
  <c r="AX131" i="2"/>
  <c r="AW131" i="2"/>
  <c r="AV131" i="2"/>
  <c r="AU131" i="2"/>
  <c r="AZ130" i="2"/>
  <c r="AY130" i="2"/>
  <c r="AX130" i="2"/>
  <c r="AW130" i="2"/>
  <c r="AV130" i="2"/>
  <c r="AU130" i="2"/>
  <c r="AZ129" i="2"/>
  <c r="AY129" i="2"/>
  <c r="AX129" i="2"/>
  <c r="AW129" i="2"/>
  <c r="AV129" i="2"/>
  <c r="AU129" i="2"/>
  <c r="AZ128" i="2"/>
  <c r="AY128" i="2"/>
  <c r="AX128" i="2"/>
  <c r="AW128" i="2"/>
  <c r="AV128" i="2"/>
  <c r="AU128" i="2"/>
  <c r="AZ127" i="2"/>
  <c r="AY127" i="2"/>
  <c r="AX127" i="2"/>
  <c r="AW127" i="2"/>
  <c r="AV127" i="2"/>
  <c r="AU127" i="2"/>
  <c r="AZ126" i="2"/>
  <c r="AY126" i="2"/>
  <c r="AX126" i="2"/>
  <c r="AW126" i="2"/>
  <c r="AV126" i="2"/>
  <c r="AU126" i="2"/>
  <c r="AZ125" i="2"/>
  <c r="AY125" i="2"/>
  <c r="AX125" i="2"/>
  <c r="AW125" i="2"/>
  <c r="AV125" i="2"/>
  <c r="AU125" i="2"/>
  <c r="AZ124" i="2"/>
  <c r="AY124" i="2"/>
  <c r="AX124" i="2"/>
  <c r="AW124" i="2"/>
  <c r="AV124" i="2"/>
  <c r="AU124" i="2"/>
  <c r="AZ123" i="2"/>
  <c r="AY123" i="2"/>
  <c r="AX123" i="2"/>
  <c r="AW123" i="2"/>
  <c r="AV123" i="2"/>
  <c r="AU123" i="2"/>
  <c r="AZ122" i="2"/>
  <c r="AY122" i="2"/>
  <c r="AX122" i="2"/>
  <c r="AW122" i="2"/>
  <c r="AV122" i="2"/>
  <c r="AU122" i="2"/>
  <c r="AZ121" i="2"/>
  <c r="AY121" i="2"/>
  <c r="AX121" i="2"/>
  <c r="AW121" i="2"/>
  <c r="AV121" i="2"/>
  <c r="AU121" i="2"/>
  <c r="AZ120" i="2"/>
  <c r="AY120" i="2"/>
  <c r="AX120" i="2"/>
  <c r="AW120" i="2"/>
  <c r="AV120" i="2"/>
  <c r="AU120" i="2"/>
  <c r="AZ119" i="2"/>
  <c r="AY119" i="2"/>
  <c r="AX119" i="2"/>
  <c r="AW119" i="2"/>
  <c r="AV119" i="2"/>
  <c r="AU119" i="2"/>
  <c r="AZ118" i="2"/>
  <c r="AY118" i="2"/>
  <c r="AX118" i="2"/>
  <c r="AW118" i="2"/>
  <c r="AV118" i="2"/>
  <c r="AU118" i="2"/>
  <c r="AZ117" i="2"/>
  <c r="AY117" i="2"/>
  <c r="AX117" i="2"/>
  <c r="AW117" i="2"/>
  <c r="AV117" i="2"/>
  <c r="AU117" i="2"/>
  <c r="AZ116" i="2"/>
  <c r="AY116" i="2"/>
  <c r="AX116" i="2"/>
  <c r="AW116" i="2"/>
  <c r="AV116" i="2"/>
  <c r="AU116" i="2"/>
  <c r="AU9" i="2"/>
  <c r="AV9" i="2"/>
  <c r="AW9" i="2"/>
  <c r="AX9" i="2"/>
  <c r="AY9" i="2"/>
  <c r="AZ9" i="2"/>
  <c r="AU10" i="2"/>
  <c r="AV10" i="2"/>
  <c r="AW10" i="2"/>
  <c r="AX10" i="2"/>
  <c r="AY10" i="2"/>
  <c r="AZ10" i="2"/>
  <c r="AU11" i="2"/>
  <c r="AV11" i="2"/>
  <c r="AW11" i="2"/>
  <c r="AX11" i="2"/>
  <c r="AY11" i="2"/>
  <c r="AZ11" i="2"/>
  <c r="AU12" i="2"/>
  <c r="AV12" i="2"/>
  <c r="AW12" i="2"/>
  <c r="AX12" i="2"/>
  <c r="AY12" i="2"/>
  <c r="AZ12" i="2"/>
  <c r="AU13" i="2"/>
  <c r="AV13" i="2"/>
  <c r="AW13" i="2"/>
  <c r="AX13" i="2"/>
  <c r="AY13" i="2"/>
  <c r="AZ13" i="2"/>
  <c r="AU14" i="2"/>
  <c r="AV14" i="2"/>
  <c r="AW14" i="2"/>
  <c r="AX14" i="2"/>
  <c r="AY14" i="2"/>
  <c r="AZ14" i="2"/>
  <c r="AU15" i="2"/>
  <c r="AV15" i="2"/>
  <c r="AW15" i="2"/>
  <c r="AX15" i="2"/>
  <c r="AY15" i="2"/>
  <c r="AZ15" i="2"/>
  <c r="AU16" i="2"/>
  <c r="AV16" i="2"/>
  <c r="AW16" i="2"/>
  <c r="AX16" i="2"/>
  <c r="AY16" i="2"/>
  <c r="AZ16" i="2"/>
  <c r="AU17" i="2"/>
  <c r="AV17" i="2"/>
  <c r="AW17" i="2"/>
  <c r="AX17" i="2"/>
  <c r="AY17" i="2"/>
  <c r="AZ17" i="2"/>
  <c r="AU18" i="2"/>
  <c r="AV18" i="2"/>
  <c r="AW18" i="2"/>
  <c r="AX18" i="2"/>
  <c r="AY18" i="2"/>
  <c r="AZ18" i="2"/>
  <c r="AU19" i="2"/>
  <c r="AV19" i="2"/>
  <c r="AW19" i="2"/>
  <c r="AX19" i="2"/>
  <c r="AY19" i="2"/>
  <c r="AZ19" i="2"/>
  <c r="AU20" i="2"/>
  <c r="AV20" i="2"/>
  <c r="AW20" i="2"/>
  <c r="AX20" i="2"/>
  <c r="AY20" i="2"/>
  <c r="AZ20" i="2"/>
  <c r="AU21" i="2"/>
  <c r="AV21" i="2"/>
  <c r="AW21" i="2"/>
  <c r="AX21" i="2"/>
  <c r="AY21" i="2"/>
  <c r="AZ21" i="2"/>
  <c r="AU22" i="2"/>
  <c r="AV22" i="2"/>
  <c r="AW22" i="2"/>
  <c r="AX22" i="2"/>
  <c r="AY22" i="2"/>
  <c r="AZ22" i="2"/>
  <c r="AU23" i="2"/>
  <c r="AV23" i="2"/>
  <c r="AW23" i="2"/>
  <c r="AX23" i="2"/>
  <c r="AY23" i="2"/>
  <c r="AZ23" i="2"/>
  <c r="AU24" i="2"/>
  <c r="AV24" i="2"/>
  <c r="AW24" i="2"/>
  <c r="AX24" i="2"/>
  <c r="AY24" i="2"/>
  <c r="AZ24" i="2"/>
  <c r="AU25" i="2"/>
  <c r="AV25" i="2"/>
  <c r="AW25" i="2"/>
  <c r="AX25" i="2"/>
  <c r="AY25" i="2"/>
  <c r="AZ25" i="2"/>
  <c r="AU26" i="2"/>
  <c r="AV26" i="2"/>
  <c r="AW26" i="2"/>
  <c r="AX26" i="2"/>
  <c r="AY26" i="2"/>
  <c r="AZ26" i="2"/>
  <c r="AU27" i="2"/>
  <c r="AV27" i="2"/>
  <c r="AW27" i="2"/>
  <c r="AX27" i="2"/>
  <c r="AY27" i="2"/>
  <c r="AZ27" i="2"/>
  <c r="AU28" i="2"/>
  <c r="AV28" i="2"/>
  <c r="AW28" i="2"/>
  <c r="AX28" i="2"/>
  <c r="AY28" i="2"/>
  <c r="AZ28" i="2"/>
  <c r="AU29" i="2"/>
  <c r="AV29" i="2"/>
  <c r="AW29" i="2"/>
  <c r="AX29" i="2"/>
  <c r="AY29" i="2"/>
  <c r="AZ29" i="2"/>
  <c r="AU30" i="2"/>
  <c r="AV30" i="2"/>
  <c r="AW30" i="2"/>
  <c r="AX30" i="2"/>
  <c r="AY30" i="2"/>
  <c r="AZ30" i="2"/>
  <c r="AU31" i="2"/>
  <c r="AV31" i="2"/>
  <c r="AW31" i="2"/>
  <c r="AX31" i="2"/>
  <c r="AY31" i="2"/>
  <c r="AZ31" i="2"/>
  <c r="AU32" i="2"/>
  <c r="AV32" i="2"/>
  <c r="AW32" i="2"/>
  <c r="AX32" i="2"/>
  <c r="AY32" i="2"/>
  <c r="AZ32" i="2"/>
  <c r="AU33" i="2"/>
  <c r="AV33" i="2"/>
  <c r="AW33" i="2"/>
  <c r="AX33" i="2"/>
  <c r="AY33" i="2"/>
  <c r="AZ33" i="2"/>
  <c r="AU34" i="2"/>
  <c r="AV34" i="2"/>
  <c r="AW34" i="2"/>
  <c r="AX34" i="2"/>
  <c r="AY34" i="2"/>
  <c r="AZ34" i="2"/>
  <c r="AU35" i="2"/>
  <c r="AV35" i="2"/>
  <c r="AW35" i="2"/>
  <c r="AX35" i="2"/>
  <c r="AY35" i="2"/>
  <c r="AZ35" i="2"/>
  <c r="AU36" i="2"/>
  <c r="AV36" i="2"/>
  <c r="AW36" i="2"/>
  <c r="AX36" i="2"/>
  <c r="AY36" i="2"/>
  <c r="AZ36" i="2"/>
  <c r="AU37" i="2"/>
  <c r="AV37" i="2"/>
  <c r="AW37" i="2"/>
  <c r="AX37" i="2"/>
  <c r="AY37" i="2"/>
  <c r="AZ37" i="2"/>
  <c r="AU38" i="2"/>
  <c r="AV38" i="2"/>
  <c r="AW38" i="2"/>
  <c r="AX38" i="2"/>
  <c r="AY38" i="2"/>
  <c r="AZ38" i="2"/>
  <c r="AU39" i="2"/>
  <c r="AV39" i="2"/>
  <c r="AW39" i="2"/>
  <c r="AX39" i="2"/>
  <c r="AY39" i="2"/>
  <c r="AZ39" i="2"/>
  <c r="AU40" i="2"/>
  <c r="AV40" i="2"/>
  <c r="AW40" i="2"/>
  <c r="AX40" i="2"/>
  <c r="AY40" i="2"/>
  <c r="AZ40" i="2"/>
  <c r="AU41" i="2"/>
  <c r="AV41" i="2"/>
  <c r="AW41" i="2"/>
  <c r="AX41" i="2"/>
  <c r="AY41" i="2"/>
  <c r="AZ41" i="2"/>
  <c r="AU42" i="2"/>
  <c r="AV42" i="2"/>
  <c r="AW42" i="2"/>
  <c r="AX42" i="2"/>
  <c r="AY42" i="2"/>
  <c r="AZ42" i="2"/>
  <c r="AU43" i="2"/>
  <c r="AV43" i="2"/>
  <c r="AW43" i="2"/>
  <c r="AX43" i="2"/>
  <c r="AY43" i="2"/>
  <c r="AZ43" i="2"/>
  <c r="AU44" i="2"/>
  <c r="AV44" i="2"/>
  <c r="AW44" i="2"/>
  <c r="AX44" i="2"/>
  <c r="AY44" i="2"/>
  <c r="AZ44" i="2"/>
  <c r="AU45" i="2"/>
  <c r="AV45" i="2"/>
  <c r="AW45" i="2"/>
  <c r="AX45" i="2"/>
  <c r="AY45" i="2"/>
  <c r="AZ45" i="2"/>
  <c r="AU46" i="2"/>
  <c r="AV46" i="2"/>
  <c r="AW46" i="2"/>
  <c r="AX46" i="2"/>
  <c r="AY46" i="2"/>
  <c r="AZ46" i="2"/>
  <c r="AU47" i="2"/>
  <c r="AV47" i="2"/>
  <c r="AW47" i="2"/>
  <c r="AX47" i="2"/>
  <c r="AY47" i="2"/>
  <c r="AZ47" i="2"/>
  <c r="AU48" i="2"/>
  <c r="AV48" i="2"/>
  <c r="AW48" i="2"/>
  <c r="AX48" i="2"/>
  <c r="AY48" i="2"/>
  <c r="AZ48" i="2"/>
  <c r="AU49" i="2"/>
  <c r="AV49" i="2"/>
  <c r="AW49" i="2"/>
  <c r="AX49" i="2"/>
  <c r="AY49" i="2"/>
  <c r="AZ49" i="2"/>
  <c r="AU50" i="2"/>
  <c r="AV50" i="2"/>
  <c r="AW50" i="2"/>
  <c r="AX50" i="2"/>
  <c r="AY50" i="2"/>
  <c r="AZ50" i="2"/>
  <c r="AU51" i="2"/>
  <c r="AV51" i="2"/>
  <c r="AW51" i="2"/>
  <c r="AX51" i="2"/>
  <c r="AY51" i="2"/>
  <c r="AZ51" i="2"/>
  <c r="AU52" i="2"/>
  <c r="AV52" i="2"/>
  <c r="AW52" i="2"/>
  <c r="AX52" i="2"/>
  <c r="AY52" i="2"/>
  <c r="AZ52" i="2"/>
  <c r="AU53" i="2"/>
  <c r="AV53" i="2"/>
  <c r="AW53" i="2"/>
  <c r="AX53" i="2"/>
  <c r="AY53" i="2"/>
  <c r="AZ53" i="2"/>
  <c r="AU54" i="2"/>
  <c r="AV54" i="2"/>
  <c r="AW54" i="2"/>
  <c r="AX54" i="2"/>
  <c r="AY54" i="2"/>
  <c r="AZ54" i="2"/>
  <c r="AU55" i="2"/>
  <c r="AV55" i="2"/>
  <c r="AW55" i="2"/>
  <c r="AX55" i="2"/>
  <c r="AY55" i="2"/>
  <c r="AZ55" i="2"/>
  <c r="AU56" i="2"/>
  <c r="AV56" i="2"/>
  <c r="AW56" i="2"/>
  <c r="AX56" i="2"/>
  <c r="AY56" i="2"/>
  <c r="AZ56" i="2"/>
  <c r="AU57" i="2"/>
  <c r="AV57" i="2"/>
  <c r="AW57" i="2"/>
  <c r="AX57" i="2"/>
  <c r="AY57" i="2"/>
  <c r="AZ57" i="2"/>
  <c r="AU58" i="2"/>
  <c r="AV58" i="2"/>
  <c r="AW58" i="2"/>
  <c r="AX58" i="2"/>
  <c r="AY58" i="2"/>
  <c r="AZ58" i="2"/>
  <c r="AU59" i="2"/>
  <c r="AV59" i="2"/>
  <c r="AW59" i="2"/>
  <c r="AX59" i="2"/>
  <c r="AY59" i="2"/>
  <c r="AZ59" i="2"/>
  <c r="AU60" i="2"/>
  <c r="AV60" i="2"/>
  <c r="AW60" i="2"/>
  <c r="AX60" i="2"/>
  <c r="AY60" i="2"/>
  <c r="AZ60" i="2"/>
  <c r="AU61" i="2"/>
  <c r="AV61" i="2"/>
  <c r="AW61" i="2"/>
  <c r="AX61" i="2"/>
  <c r="AY61" i="2"/>
  <c r="AZ61" i="2"/>
  <c r="AU62" i="2"/>
  <c r="AV62" i="2"/>
  <c r="AW62" i="2"/>
  <c r="AX62" i="2"/>
  <c r="AY62" i="2"/>
  <c r="AZ62" i="2"/>
  <c r="AU63" i="2"/>
  <c r="AV63" i="2"/>
  <c r="AW63" i="2"/>
  <c r="AX63" i="2"/>
  <c r="AY63" i="2"/>
  <c r="AZ63" i="2"/>
  <c r="AU64" i="2"/>
  <c r="AV64" i="2"/>
  <c r="AW64" i="2"/>
  <c r="AX64" i="2"/>
  <c r="AY64" i="2"/>
  <c r="AZ64" i="2"/>
  <c r="AU65" i="2"/>
  <c r="AV65" i="2"/>
  <c r="AW65" i="2"/>
  <c r="AX65" i="2"/>
  <c r="AY65" i="2"/>
  <c r="AZ65" i="2"/>
  <c r="AU66" i="2"/>
  <c r="AV66" i="2"/>
  <c r="AW66" i="2"/>
  <c r="AX66" i="2"/>
  <c r="AY66" i="2"/>
  <c r="AZ66" i="2"/>
  <c r="AU67" i="2"/>
  <c r="AV67" i="2"/>
  <c r="AW67" i="2"/>
  <c r="AX67" i="2"/>
  <c r="AY67" i="2"/>
  <c r="AZ67" i="2"/>
  <c r="AU68" i="2"/>
  <c r="AV68" i="2"/>
  <c r="AW68" i="2"/>
  <c r="AX68" i="2"/>
  <c r="AY68" i="2"/>
  <c r="AZ68" i="2"/>
  <c r="AU69" i="2"/>
  <c r="AV69" i="2"/>
  <c r="AW69" i="2"/>
  <c r="AX69" i="2"/>
  <c r="AY69" i="2"/>
  <c r="AZ69" i="2"/>
  <c r="AU70" i="2"/>
  <c r="AV70" i="2"/>
  <c r="AW70" i="2"/>
  <c r="AX70" i="2"/>
  <c r="AY70" i="2"/>
  <c r="AZ70" i="2"/>
  <c r="AU71" i="2"/>
  <c r="AV71" i="2"/>
  <c r="AW71" i="2"/>
  <c r="AX71" i="2"/>
  <c r="AY71" i="2"/>
  <c r="AZ71" i="2"/>
  <c r="AU72" i="2"/>
  <c r="AV72" i="2"/>
  <c r="AW72" i="2"/>
  <c r="AX72" i="2"/>
  <c r="AY72" i="2"/>
  <c r="AZ72" i="2"/>
  <c r="AU73" i="2"/>
  <c r="AV73" i="2"/>
  <c r="AW73" i="2"/>
  <c r="AX73" i="2"/>
  <c r="AY73" i="2"/>
  <c r="AZ73" i="2"/>
  <c r="AU74" i="2"/>
  <c r="AV74" i="2"/>
  <c r="AW74" i="2"/>
  <c r="AX74" i="2"/>
  <c r="AY74" i="2"/>
  <c r="AZ74" i="2"/>
  <c r="AU75" i="2"/>
  <c r="AV75" i="2"/>
  <c r="AW75" i="2"/>
  <c r="AX75" i="2"/>
  <c r="AY75" i="2"/>
  <c r="AZ75" i="2"/>
  <c r="AU76" i="2"/>
  <c r="AV76" i="2"/>
  <c r="AW76" i="2"/>
  <c r="AX76" i="2"/>
  <c r="AY76" i="2"/>
  <c r="AZ76" i="2"/>
  <c r="AU77" i="2"/>
  <c r="AV77" i="2"/>
  <c r="AW77" i="2"/>
  <c r="AX77" i="2"/>
  <c r="AY77" i="2"/>
  <c r="AZ77" i="2"/>
  <c r="AU78" i="2"/>
  <c r="AV78" i="2"/>
  <c r="AW78" i="2"/>
  <c r="AX78" i="2"/>
  <c r="AY78" i="2"/>
  <c r="AZ78" i="2"/>
  <c r="AU79" i="2"/>
  <c r="AV79" i="2"/>
  <c r="AW79" i="2"/>
  <c r="AX79" i="2"/>
  <c r="AY79" i="2"/>
  <c r="AZ79" i="2"/>
  <c r="AU80" i="2"/>
  <c r="AV80" i="2"/>
  <c r="AW80" i="2"/>
  <c r="AX80" i="2"/>
  <c r="AY80" i="2"/>
  <c r="AZ80" i="2"/>
  <c r="AU81" i="2"/>
  <c r="AV81" i="2"/>
  <c r="AW81" i="2"/>
  <c r="AX81" i="2"/>
  <c r="AY81" i="2"/>
  <c r="AZ81" i="2"/>
  <c r="AU82" i="2"/>
  <c r="AV82" i="2"/>
  <c r="AW82" i="2"/>
  <c r="AX82" i="2"/>
  <c r="AY82" i="2"/>
  <c r="AZ82" i="2"/>
  <c r="AU83" i="2"/>
  <c r="AV83" i="2"/>
  <c r="AW83" i="2"/>
  <c r="AX83" i="2"/>
  <c r="AY83" i="2"/>
  <c r="AZ83" i="2"/>
  <c r="AU84" i="2"/>
  <c r="AV84" i="2"/>
  <c r="AW84" i="2"/>
  <c r="AX84" i="2"/>
  <c r="AY84" i="2"/>
  <c r="AZ84" i="2"/>
  <c r="AU85" i="2"/>
  <c r="AV85" i="2"/>
  <c r="AW85" i="2"/>
  <c r="AX85" i="2"/>
  <c r="AY85" i="2"/>
  <c r="AZ85" i="2"/>
  <c r="AU86" i="2"/>
  <c r="AV86" i="2"/>
  <c r="AW86" i="2"/>
  <c r="AX86" i="2"/>
  <c r="AY86" i="2"/>
  <c r="AZ86" i="2"/>
  <c r="AU87" i="2"/>
  <c r="AV87" i="2"/>
  <c r="AW87" i="2"/>
  <c r="AX87" i="2"/>
  <c r="AY87" i="2"/>
  <c r="AZ87" i="2"/>
  <c r="AU88" i="2"/>
  <c r="AV88" i="2"/>
  <c r="AW88" i="2"/>
  <c r="AX88" i="2"/>
  <c r="AY88" i="2"/>
  <c r="AZ88" i="2"/>
  <c r="AU89" i="2"/>
  <c r="AV89" i="2"/>
  <c r="AW89" i="2"/>
  <c r="AX89" i="2"/>
  <c r="AY89" i="2"/>
  <c r="AZ89" i="2"/>
  <c r="AU90" i="2"/>
  <c r="AV90" i="2"/>
  <c r="AW90" i="2"/>
  <c r="AX90" i="2"/>
  <c r="AY90" i="2"/>
  <c r="AZ90" i="2"/>
  <c r="AU91" i="2"/>
  <c r="AV91" i="2"/>
  <c r="AW91" i="2"/>
  <c r="AX91" i="2"/>
  <c r="AY91" i="2"/>
  <c r="AZ91" i="2"/>
  <c r="AU92" i="2"/>
  <c r="AV92" i="2"/>
  <c r="AW92" i="2"/>
  <c r="AX92" i="2"/>
  <c r="AY92" i="2"/>
  <c r="AZ92" i="2"/>
  <c r="AU93" i="2"/>
  <c r="AV93" i="2"/>
  <c r="AW93" i="2"/>
  <c r="AX93" i="2"/>
  <c r="AY93" i="2"/>
  <c r="AZ93" i="2"/>
  <c r="AU94" i="2"/>
  <c r="AV94" i="2"/>
  <c r="AW94" i="2"/>
  <c r="AX94" i="2"/>
  <c r="AY94" i="2"/>
  <c r="AZ94" i="2"/>
  <c r="AU95" i="2"/>
  <c r="AV95" i="2"/>
  <c r="AW95" i="2"/>
  <c r="AX95" i="2"/>
  <c r="AY95" i="2"/>
  <c r="AZ95" i="2"/>
  <c r="AU96" i="2"/>
  <c r="AV96" i="2"/>
  <c r="AW96" i="2"/>
  <c r="AX96" i="2"/>
  <c r="AY96" i="2"/>
  <c r="AZ96" i="2"/>
  <c r="AU97" i="2"/>
  <c r="AV97" i="2"/>
  <c r="AW97" i="2"/>
  <c r="AX97" i="2"/>
  <c r="AY97" i="2"/>
  <c r="AZ97" i="2"/>
  <c r="AU98" i="2"/>
  <c r="AV98" i="2"/>
  <c r="AW98" i="2"/>
  <c r="AX98" i="2"/>
  <c r="AY98" i="2"/>
  <c r="AZ98" i="2"/>
  <c r="AU99" i="2"/>
  <c r="AV99" i="2"/>
  <c r="AW99" i="2"/>
  <c r="AX99" i="2"/>
  <c r="AY99" i="2"/>
  <c r="AZ99" i="2"/>
  <c r="AU100" i="2"/>
  <c r="AV100" i="2"/>
  <c r="AW100" i="2"/>
  <c r="AX100" i="2"/>
  <c r="AY100" i="2"/>
  <c r="AZ100" i="2"/>
  <c r="AU101" i="2"/>
  <c r="AV101" i="2"/>
  <c r="AW101" i="2"/>
  <c r="AX101" i="2"/>
  <c r="AY101" i="2"/>
  <c r="AZ101" i="2"/>
  <c r="AU102" i="2"/>
  <c r="AV102" i="2"/>
  <c r="AW102" i="2"/>
  <c r="AX102" i="2"/>
  <c r="AY102" i="2"/>
  <c r="AZ102" i="2"/>
  <c r="AU103" i="2"/>
  <c r="AV103" i="2"/>
  <c r="AW103" i="2"/>
  <c r="AX103" i="2"/>
  <c r="AY103" i="2"/>
  <c r="AZ103" i="2"/>
  <c r="AU104" i="2"/>
  <c r="AV104" i="2"/>
  <c r="AW104" i="2"/>
  <c r="AX104" i="2"/>
  <c r="AY104" i="2"/>
  <c r="AZ104" i="2"/>
  <c r="AU105" i="2"/>
  <c r="AV105" i="2"/>
  <c r="AW105" i="2"/>
  <c r="AX105" i="2"/>
  <c r="AY105" i="2"/>
  <c r="AZ105" i="2"/>
  <c r="AU106" i="2"/>
  <c r="AV106" i="2"/>
  <c r="AW106" i="2"/>
  <c r="AX106" i="2"/>
  <c r="AY106" i="2"/>
  <c r="AZ106" i="2"/>
  <c r="AU107" i="2"/>
  <c r="AV107" i="2"/>
  <c r="AW107" i="2"/>
  <c r="AX107" i="2"/>
  <c r="AY107" i="2"/>
  <c r="AZ107" i="2"/>
  <c r="AZ8" i="2"/>
  <c r="AY8" i="2"/>
  <c r="AX8" i="2"/>
  <c r="AW8" i="2"/>
  <c r="AV8" i="2"/>
  <c r="AU5" i="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33" i="12"/>
  <c r="D322" i="2"/>
  <c r="D321" i="2"/>
  <c r="D320" i="2"/>
  <c r="D319" i="2"/>
  <c r="D318" i="2"/>
  <c r="D317" i="2"/>
  <c r="D316" i="2"/>
  <c r="D315" i="2"/>
  <c r="D314" i="2"/>
  <c r="D305" i="2"/>
  <c r="D304" i="2"/>
  <c r="D303" i="2"/>
  <c r="C32" i="12" l="1"/>
  <c r="C41" i="12" l="1"/>
  <c r="C45" i="12"/>
  <c r="C49" i="12"/>
  <c r="C53" i="12"/>
  <c r="C57" i="12"/>
  <c r="C61" i="12"/>
  <c r="C65" i="12"/>
  <c r="C69" i="12"/>
  <c r="C73" i="12"/>
  <c r="C77" i="12"/>
  <c r="C81" i="12"/>
  <c r="C85" i="12"/>
  <c r="C89" i="12"/>
  <c r="C93" i="12"/>
  <c r="C97" i="12"/>
  <c r="C101" i="12"/>
  <c r="C105" i="12"/>
  <c r="C109" i="12"/>
  <c r="C113" i="12"/>
  <c r="C117" i="12"/>
  <c r="C121" i="12"/>
  <c r="C125" i="12"/>
  <c r="C129" i="12"/>
  <c r="C37" i="12"/>
  <c r="C40" i="12"/>
  <c r="C39" i="12"/>
  <c r="C44" i="12"/>
  <c r="C48" i="12"/>
  <c r="C52" i="12"/>
  <c r="C56" i="12"/>
  <c r="C60" i="12"/>
  <c r="C64" i="12"/>
  <c r="C68" i="12"/>
  <c r="C72" i="12"/>
  <c r="C76" i="12"/>
  <c r="C80" i="12"/>
  <c r="C84" i="12"/>
  <c r="C88" i="12"/>
  <c r="C92" i="12"/>
  <c r="C96" i="12"/>
  <c r="C100" i="12"/>
  <c r="C104" i="12"/>
  <c r="C108" i="12"/>
  <c r="C112" i="12"/>
  <c r="C116" i="12"/>
  <c r="C120" i="12"/>
  <c r="C124" i="12"/>
  <c r="C128" i="12"/>
  <c r="C132" i="12"/>
  <c r="C43" i="12"/>
  <c r="C47" i="12"/>
  <c r="C51" i="12"/>
  <c r="C55" i="12"/>
  <c r="C59" i="12"/>
  <c r="C63" i="12"/>
  <c r="C67" i="12"/>
  <c r="C71" i="12"/>
  <c r="C75" i="12"/>
  <c r="C79" i="12"/>
  <c r="C83" i="12"/>
  <c r="C87" i="12"/>
  <c r="C91" i="12"/>
  <c r="C95" i="12"/>
  <c r="C99" i="12"/>
  <c r="C103" i="12"/>
  <c r="C107" i="12"/>
  <c r="C111" i="12"/>
  <c r="C115" i="12"/>
  <c r="C119" i="12"/>
  <c r="C123" i="12"/>
  <c r="C127" i="12"/>
  <c r="C131" i="12"/>
  <c r="C33" i="12"/>
  <c r="C42" i="12"/>
  <c r="C46" i="12"/>
  <c r="C50" i="12"/>
  <c r="C54" i="12"/>
  <c r="C58" i="12"/>
  <c r="C62" i="12"/>
  <c r="C66" i="12"/>
  <c r="C70" i="12"/>
  <c r="C74" i="12"/>
  <c r="C78" i="12"/>
  <c r="C82" i="12"/>
  <c r="C86" i="12"/>
  <c r="C90" i="12"/>
  <c r="C94" i="12"/>
  <c r="C98" i="12"/>
  <c r="C102" i="12"/>
  <c r="C106" i="12"/>
  <c r="C110" i="12"/>
  <c r="C114" i="12"/>
  <c r="C118" i="12"/>
  <c r="C122" i="12"/>
  <c r="C126" i="12"/>
  <c r="C130" i="12"/>
  <c r="C35" i="12"/>
  <c r="C36" i="12"/>
  <c r="C34" i="12"/>
  <c r="C38" i="12"/>
  <c r="AT325" i="2"/>
  <c r="AT327" i="2" s="1"/>
  <c r="AS325" i="2"/>
  <c r="AS327" i="2" s="1"/>
  <c r="AR325" i="2"/>
  <c r="AR327" i="2" s="1"/>
  <c r="AQ325" i="2"/>
  <c r="AQ327" i="2" s="1"/>
  <c r="AP325" i="2"/>
  <c r="AP327" i="2" s="1"/>
  <c r="AO325" i="2"/>
  <c r="AO327" i="2" s="1"/>
  <c r="AN325" i="2"/>
  <c r="AN327" i="2" s="1"/>
  <c r="AT223" i="2"/>
  <c r="AS223" i="2"/>
  <c r="AR223" i="2"/>
  <c r="AQ223" i="2"/>
  <c r="AP223" i="2"/>
  <c r="AO223" i="2"/>
  <c r="AN223" i="2"/>
  <c r="AM325" i="2"/>
  <c r="AM327" i="2" s="1"/>
  <c r="AL325" i="2"/>
  <c r="AL327" i="2" s="1"/>
  <c r="AK325" i="2"/>
  <c r="AK327" i="2" s="1"/>
  <c r="AJ325" i="2"/>
  <c r="AJ327" i="2" s="1"/>
  <c r="AI325" i="2"/>
  <c r="AI327" i="2" s="1"/>
  <c r="AH325" i="2"/>
  <c r="AH327" i="2" s="1"/>
  <c r="AG325" i="2"/>
  <c r="AG327" i="2" s="1"/>
  <c r="AM223" i="2"/>
  <c r="AL223" i="2"/>
  <c r="AK223" i="2"/>
  <c r="AJ223" i="2"/>
  <c r="AI223" i="2"/>
  <c r="AH223" i="2"/>
  <c r="AG223" i="2"/>
  <c r="AT217" i="2"/>
  <c r="AT219" i="2" s="1"/>
  <c r="AS217" i="2"/>
  <c r="AS219" i="2" s="1"/>
  <c r="AR217" i="2"/>
  <c r="AR219" i="2" s="1"/>
  <c r="AQ217" i="2"/>
  <c r="AQ219" i="2" s="1"/>
  <c r="AP217" i="2"/>
  <c r="AP219" i="2" s="1"/>
  <c r="AO217" i="2"/>
  <c r="AO219" i="2" s="1"/>
  <c r="AN217" i="2"/>
  <c r="AN219" i="2" s="1"/>
  <c r="AT115" i="2"/>
  <c r="AS115" i="2"/>
  <c r="AR115" i="2"/>
  <c r="AQ115" i="2"/>
  <c r="AP115" i="2"/>
  <c r="AO115" i="2"/>
  <c r="AN115" i="2"/>
  <c r="AM217" i="2"/>
  <c r="AM219" i="2" s="1"/>
  <c r="AL217" i="2"/>
  <c r="AL219" i="2" s="1"/>
  <c r="AK217" i="2"/>
  <c r="AK219" i="2" s="1"/>
  <c r="AJ217" i="2"/>
  <c r="AJ219" i="2" s="1"/>
  <c r="AI217" i="2"/>
  <c r="AI219" i="2" s="1"/>
  <c r="AH217" i="2"/>
  <c r="AH219" i="2" s="1"/>
  <c r="AG217" i="2"/>
  <c r="AG219" i="2" s="1"/>
  <c r="AM115" i="2"/>
  <c r="AL115" i="2"/>
  <c r="AK115" i="2"/>
  <c r="AJ115" i="2"/>
  <c r="AI115" i="2"/>
  <c r="AH115" i="2"/>
  <c r="AG115" i="2"/>
  <c r="AT109" i="2"/>
  <c r="AT111" i="2" s="1"/>
  <c r="AS109" i="2"/>
  <c r="AS111" i="2" s="1"/>
  <c r="AR109" i="2"/>
  <c r="AR111" i="2" s="1"/>
  <c r="AQ109" i="2"/>
  <c r="AQ111" i="2" s="1"/>
  <c r="AP109" i="2"/>
  <c r="AP111" i="2" s="1"/>
  <c r="AO109" i="2"/>
  <c r="AO111" i="2" s="1"/>
  <c r="AN109" i="2"/>
  <c r="AN111" i="2" s="1"/>
  <c r="AM109" i="2"/>
  <c r="AM111" i="2" s="1"/>
  <c r="AL109" i="2"/>
  <c r="AL111" i="2" s="1"/>
  <c r="AK109" i="2"/>
  <c r="AK111" i="2" s="1"/>
  <c r="AJ109" i="2"/>
  <c r="AJ111" i="2" s="1"/>
  <c r="AI109" i="2"/>
  <c r="AI111" i="2" s="1"/>
  <c r="AH109" i="2"/>
  <c r="AH111" i="2" s="1"/>
  <c r="AG109" i="2"/>
  <c r="AG111" i="2" s="1"/>
  <c r="AF325" i="2" l="1"/>
  <c r="AF327" i="2" s="1"/>
  <c r="AE325" i="2"/>
  <c r="AE327" i="2" s="1"/>
  <c r="AD325" i="2"/>
  <c r="AD327" i="2" s="1"/>
  <c r="AC325" i="2"/>
  <c r="AC327" i="2" s="1"/>
  <c r="AB325" i="2"/>
  <c r="AB327" i="2" s="1"/>
  <c r="AA325" i="2"/>
  <c r="AA327" i="2" s="1"/>
  <c r="Z325" i="2"/>
  <c r="Z327" i="2" s="1"/>
  <c r="Y325" i="2"/>
  <c r="Y327" i="2" s="1"/>
  <c r="X325" i="2"/>
  <c r="X327" i="2" s="1"/>
  <c r="W325" i="2"/>
  <c r="W327" i="2" s="1"/>
  <c r="V325" i="2"/>
  <c r="V327" i="2" s="1"/>
  <c r="U325" i="2"/>
  <c r="U327" i="2" s="1"/>
  <c r="T325" i="2"/>
  <c r="T327" i="2" s="1"/>
  <c r="S325" i="2"/>
  <c r="S327" i="2" s="1"/>
  <c r="R325" i="2"/>
  <c r="R327" i="2" s="1"/>
  <c r="Q325" i="2"/>
  <c r="Q327" i="2" s="1"/>
  <c r="P325" i="2"/>
  <c r="P327" i="2" s="1"/>
  <c r="O325" i="2"/>
  <c r="O327" i="2" s="1"/>
  <c r="N325" i="2"/>
  <c r="N327" i="2" s="1"/>
  <c r="M325" i="2"/>
  <c r="M327" i="2" s="1"/>
  <c r="L325" i="2"/>
  <c r="L327" i="2" s="1"/>
  <c r="K325" i="2"/>
  <c r="K327" i="2" s="1"/>
  <c r="J325" i="2"/>
  <c r="J327" i="2" s="1"/>
  <c r="I325" i="2"/>
  <c r="I327" i="2" s="1"/>
  <c r="H325" i="2"/>
  <c r="H327" i="2" s="1"/>
  <c r="G325" i="2"/>
  <c r="G327" i="2" s="1"/>
  <c r="F325" i="2"/>
  <c r="F327" i="2" s="1"/>
  <c r="E325" i="2"/>
  <c r="E327" i="2" s="1"/>
  <c r="D323" i="2"/>
  <c r="D237" i="2"/>
  <c r="D236" i="2"/>
  <c r="D235" i="2"/>
  <c r="D234" i="2"/>
  <c r="D233" i="2"/>
  <c r="D232" i="2"/>
  <c r="D231" i="2"/>
  <c r="D230" i="2"/>
  <c r="D229" i="2"/>
  <c r="D228" i="2"/>
  <c r="D227" i="2"/>
  <c r="D226" i="2"/>
  <c r="D225" i="2"/>
  <c r="D224" i="2"/>
  <c r="AF217" i="2"/>
  <c r="AF219" i="2" s="1"/>
  <c r="AE217" i="2"/>
  <c r="AE219" i="2" s="1"/>
  <c r="AD217" i="2"/>
  <c r="AD219" i="2" s="1"/>
  <c r="AC217" i="2"/>
  <c r="AC219" i="2" s="1"/>
  <c r="AB217" i="2"/>
  <c r="AB219" i="2" s="1"/>
  <c r="AA217" i="2"/>
  <c r="AA219" i="2" s="1"/>
  <c r="Z217" i="2"/>
  <c r="Z219" i="2" s="1"/>
  <c r="Y217" i="2"/>
  <c r="Y219" i="2" s="1"/>
  <c r="X217" i="2"/>
  <c r="X219" i="2" s="1"/>
  <c r="W217" i="2"/>
  <c r="W219" i="2" s="1"/>
  <c r="V217" i="2"/>
  <c r="V219" i="2" s="1"/>
  <c r="U217" i="2"/>
  <c r="U219" i="2" s="1"/>
  <c r="T217" i="2"/>
  <c r="T219" i="2" s="1"/>
  <c r="S217" i="2"/>
  <c r="S219" i="2" s="1"/>
  <c r="R217" i="2"/>
  <c r="R219" i="2" s="1"/>
  <c r="Q217" i="2"/>
  <c r="Q219" i="2" s="1"/>
  <c r="P217" i="2"/>
  <c r="P219" i="2" s="1"/>
  <c r="O217" i="2"/>
  <c r="O219" i="2" s="1"/>
  <c r="N217" i="2"/>
  <c r="N219" i="2" s="1"/>
  <c r="M217" i="2"/>
  <c r="M219" i="2" s="1"/>
  <c r="L217" i="2"/>
  <c r="L219" i="2" s="1"/>
  <c r="K217" i="2"/>
  <c r="K219" i="2" s="1"/>
  <c r="J217" i="2"/>
  <c r="J219" i="2" s="1"/>
  <c r="I217" i="2"/>
  <c r="I219" i="2" s="1"/>
  <c r="H217" i="2"/>
  <c r="H219" i="2" s="1"/>
  <c r="G217" i="2"/>
  <c r="G219" i="2" s="1"/>
  <c r="F217" i="2"/>
  <c r="F219" i="2" s="1"/>
  <c r="E217" i="2"/>
  <c r="E219" i="2" s="1"/>
  <c r="C129" i="2"/>
  <c r="B129" i="2" a="1"/>
  <c r="B129" i="2" s="1"/>
  <c r="C128" i="2"/>
  <c r="B128" i="2" a="1"/>
  <c r="B128" i="2" s="1"/>
  <c r="C127" i="2"/>
  <c r="B127" i="2" a="1"/>
  <c r="B127" i="2" s="1"/>
  <c r="C126" i="2"/>
  <c r="B126" i="2" a="1"/>
  <c r="B126" i="2" s="1"/>
  <c r="C125" i="2"/>
  <c r="B125" i="2" a="1"/>
  <c r="B125" i="2" s="1"/>
  <c r="C124" i="2"/>
  <c r="B124" i="2" a="1"/>
  <c r="B124" i="2" s="1"/>
  <c r="C123" i="2"/>
  <c r="B123" i="2" a="1"/>
  <c r="B123" i="2" s="1"/>
  <c r="C122" i="2"/>
  <c r="B122" i="2" a="1"/>
  <c r="B122" i="2" s="1"/>
  <c r="C121" i="2"/>
  <c r="B121" i="2" a="1"/>
  <c r="B121" i="2" s="1"/>
  <c r="C120" i="2"/>
  <c r="B120" i="2" a="1"/>
  <c r="B120" i="2" s="1"/>
  <c r="C119" i="2"/>
  <c r="B119" i="2" a="1"/>
  <c r="B119" i="2" s="1"/>
  <c r="O17" i="12" l="1"/>
  <c r="W17" i="12"/>
  <c r="AE17" i="12"/>
  <c r="AM17" i="12"/>
  <c r="AU17" i="12"/>
  <c r="N18" i="12"/>
  <c r="V18" i="12"/>
  <c r="AD18" i="12"/>
  <c r="AL18" i="12"/>
  <c r="AT18" i="12"/>
  <c r="M19" i="12"/>
  <c r="U19" i="12"/>
  <c r="AC19" i="12"/>
  <c r="AK19" i="12"/>
  <c r="AS19" i="12"/>
  <c r="BA19" i="12"/>
  <c r="P17" i="12"/>
  <c r="X17" i="12"/>
  <c r="AF17" i="12"/>
  <c r="AN17" i="12"/>
  <c r="AV17" i="12"/>
  <c r="O18" i="12"/>
  <c r="W18" i="12"/>
  <c r="AE18" i="12"/>
  <c r="AM18" i="12"/>
  <c r="AU18" i="12"/>
  <c r="N19" i="12"/>
  <c r="V19" i="12"/>
  <c r="AD19" i="12"/>
  <c r="AL19" i="12"/>
  <c r="Q17" i="12"/>
  <c r="Y17" i="12"/>
  <c r="AG17" i="12"/>
  <c r="AO17" i="12"/>
  <c r="AW17" i="12"/>
  <c r="P18" i="12"/>
  <c r="X18" i="12"/>
  <c r="AF18" i="12"/>
  <c r="AN18" i="12"/>
  <c r="AV18" i="12"/>
  <c r="O19" i="12"/>
  <c r="W19" i="12"/>
  <c r="AE19" i="12"/>
  <c r="AM19" i="12"/>
  <c r="AU19" i="12"/>
  <c r="R17" i="12"/>
  <c r="Z17" i="12"/>
  <c r="AH17" i="12"/>
  <c r="AP17" i="12"/>
  <c r="AX17" i="12"/>
  <c r="Q18" i="12"/>
  <c r="Y18" i="12"/>
  <c r="AG18" i="12"/>
  <c r="AO18" i="12"/>
  <c r="AW18" i="12"/>
  <c r="P19" i="12"/>
  <c r="X19" i="12"/>
  <c r="AF19" i="12"/>
  <c r="AN19" i="12"/>
  <c r="AV19" i="12"/>
  <c r="L18" i="12"/>
  <c r="AX19" i="12"/>
  <c r="L19" i="12"/>
  <c r="S17" i="12"/>
  <c r="AA17" i="12"/>
  <c r="AI17" i="12"/>
  <c r="AQ17" i="12"/>
  <c r="AY17" i="12"/>
  <c r="R18" i="12"/>
  <c r="Z18" i="12"/>
  <c r="AH18" i="12"/>
  <c r="AP18" i="12"/>
  <c r="AX18" i="12"/>
  <c r="Q19" i="12"/>
  <c r="Y19" i="12"/>
  <c r="AG19" i="12"/>
  <c r="AO19" i="12"/>
  <c r="AW19" i="12"/>
  <c r="T17" i="12"/>
  <c r="AB17" i="12"/>
  <c r="AJ17" i="12"/>
  <c r="AR17" i="12"/>
  <c r="AZ17" i="12"/>
  <c r="S18" i="12"/>
  <c r="AA18" i="12"/>
  <c r="AI18" i="12"/>
  <c r="AQ18" i="12"/>
  <c r="AY18" i="12"/>
  <c r="R19" i="12"/>
  <c r="Z19" i="12"/>
  <c r="AH19" i="12"/>
  <c r="AP19" i="12"/>
  <c r="M17" i="12"/>
  <c r="U17" i="12"/>
  <c r="AC17" i="12"/>
  <c r="AK17" i="12"/>
  <c r="AS17" i="12"/>
  <c r="BA17" i="12"/>
  <c r="T18" i="12"/>
  <c r="AB18" i="12"/>
  <c r="AJ18" i="12"/>
  <c r="AR18" i="12"/>
  <c r="AZ18" i="12"/>
  <c r="S19" i="12"/>
  <c r="AA19" i="12"/>
  <c r="AI19" i="12"/>
  <c r="AQ19" i="12"/>
  <c r="AY19" i="12"/>
  <c r="N17" i="12"/>
  <c r="V17" i="12"/>
  <c r="AD17" i="12"/>
  <c r="AL17" i="12"/>
  <c r="AT17" i="12"/>
  <c r="M18" i="12"/>
  <c r="U18" i="12"/>
  <c r="AC18" i="12"/>
  <c r="AK18" i="12"/>
  <c r="AS18" i="12"/>
  <c r="BA18" i="12"/>
  <c r="T19" i="12"/>
  <c r="AB19" i="12"/>
  <c r="AJ19" i="12"/>
  <c r="AR19" i="12"/>
  <c r="AZ19" i="12"/>
  <c r="AT19" i="12"/>
  <c r="L17" i="12"/>
  <c r="R23" i="12"/>
  <c r="Z23" i="12"/>
  <c r="AH23" i="12"/>
  <c r="AP23" i="12"/>
  <c r="AX23" i="12"/>
  <c r="Q24" i="12"/>
  <c r="Y24" i="12"/>
  <c r="AG24" i="12"/>
  <c r="AO24" i="12"/>
  <c r="AW24" i="12"/>
  <c r="P25" i="12"/>
  <c r="X25" i="12"/>
  <c r="AF25" i="12"/>
  <c r="AN25" i="12"/>
  <c r="AV25" i="12"/>
  <c r="S23" i="12"/>
  <c r="AA23" i="12"/>
  <c r="AI23" i="12"/>
  <c r="AQ23" i="12"/>
  <c r="AY23" i="12"/>
  <c r="R24" i="12"/>
  <c r="Z24" i="12"/>
  <c r="AH24" i="12"/>
  <c r="AP24" i="12"/>
  <c r="AX24" i="12"/>
  <c r="Q25" i="12"/>
  <c r="Y25" i="12"/>
  <c r="AG25" i="12"/>
  <c r="AO25" i="12"/>
  <c r="AW25" i="12"/>
  <c r="L24" i="12"/>
  <c r="T23" i="12"/>
  <c r="AB23" i="12"/>
  <c r="AJ23" i="12"/>
  <c r="AR23" i="12"/>
  <c r="AZ23" i="12"/>
  <c r="S24" i="12"/>
  <c r="AA24" i="12"/>
  <c r="AI24" i="12"/>
  <c r="AQ24" i="12"/>
  <c r="AY24" i="12"/>
  <c r="R25" i="12"/>
  <c r="Z25" i="12"/>
  <c r="AH25" i="12"/>
  <c r="AP25" i="12"/>
  <c r="AX25" i="12"/>
  <c r="L25" i="12"/>
  <c r="M23" i="12"/>
  <c r="U23" i="12"/>
  <c r="AC23" i="12"/>
  <c r="AK23" i="12"/>
  <c r="AS23" i="12"/>
  <c r="BA23" i="12"/>
  <c r="T24" i="12"/>
  <c r="AB24" i="12"/>
  <c r="AJ24" i="12"/>
  <c r="AR24" i="12"/>
  <c r="AZ24" i="12"/>
  <c r="S25" i="12"/>
  <c r="AA25" i="12"/>
  <c r="AI25" i="12"/>
  <c r="AQ25" i="12"/>
  <c r="AY25" i="12"/>
  <c r="N23" i="12"/>
  <c r="V23" i="12"/>
  <c r="AD23" i="12"/>
  <c r="AL23" i="12"/>
  <c r="AT23" i="12"/>
  <c r="M24" i="12"/>
  <c r="U24" i="12"/>
  <c r="AC24" i="12"/>
  <c r="AK24" i="12"/>
  <c r="AS24" i="12"/>
  <c r="BA24" i="12"/>
  <c r="T25" i="12"/>
  <c r="AB25" i="12"/>
  <c r="AJ25" i="12"/>
  <c r="AR25" i="12"/>
  <c r="AZ25" i="12"/>
  <c r="O23" i="12"/>
  <c r="W23" i="12"/>
  <c r="AE23" i="12"/>
  <c r="AM23" i="12"/>
  <c r="AU23" i="12"/>
  <c r="N24" i="12"/>
  <c r="V24" i="12"/>
  <c r="AD24" i="12"/>
  <c r="AL24" i="12"/>
  <c r="AT24" i="12"/>
  <c r="M25" i="12"/>
  <c r="U25" i="12"/>
  <c r="AC25" i="12"/>
  <c r="AK25" i="12"/>
  <c r="AS25" i="12"/>
  <c r="BA25" i="12"/>
  <c r="P23" i="12"/>
  <c r="X23" i="12"/>
  <c r="AF23" i="12"/>
  <c r="AN23" i="12"/>
  <c r="AV23" i="12"/>
  <c r="O24" i="12"/>
  <c r="W24" i="12"/>
  <c r="AE24" i="12"/>
  <c r="AM24" i="12"/>
  <c r="AU24" i="12"/>
  <c r="N25" i="12"/>
  <c r="V25" i="12"/>
  <c r="AD25" i="12"/>
  <c r="AL25" i="12"/>
  <c r="AT25" i="12"/>
  <c r="L23" i="12"/>
  <c r="Q23" i="12"/>
  <c r="Y23" i="12"/>
  <c r="AG23" i="12"/>
  <c r="AO23" i="12"/>
  <c r="AW23" i="12"/>
  <c r="P24" i="12"/>
  <c r="X24" i="12"/>
  <c r="AF24" i="12"/>
  <c r="AN24" i="12"/>
  <c r="AV24" i="12"/>
  <c r="O25" i="12"/>
  <c r="W25" i="12"/>
  <c r="AE25" i="12"/>
  <c r="AM25" i="12"/>
  <c r="AU25" i="12"/>
  <c r="F109" i="2"/>
  <c r="F111" i="2" s="1"/>
  <c r="G109" i="2"/>
  <c r="H109" i="2"/>
  <c r="I109" i="2"/>
  <c r="J109" i="2"/>
  <c r="K109" i="2"/>
  <c r="L109" i="2"/>
  <c r="M109" i="2"/>
  <c r="N109" i="2"/>
  <c r="O109" i="2"/>
  <c r="P109" i="2"/>
  <c r="Q109" i="2"/>
  <c r="R109" i="2"/>
  <c r="S109" i="2"/>
  <c r="T109" i="2"/>
  <c r="U109" i="2"/>
  <c r="V109" i="2"/>
  <c r="W109" i="2"/>
  <c r="X109" i="2"/>
  <c r="Y109" i="2"/>
  <c r="Z109" i="2"/>
  <c r="AA109" i="2"/>
  <c r="AB109" i="2"/>
  <c r="AC109" i="2"/>
  <c r="AD109" i="2"/>
  <c r="AE109" i="2"/>
  <c r="AF109" i="2"/>
  <c r="E109" i="2"/>
  <c r="E111" i="2" s="1"/>
  <c r="Z111" i="2" l="1"/>
  <c r="S111" i="2"/>
  <c r="L111" i="2"/>
  <c r="AF111" i="2"/>
  <c r="AE111" i="2"/>
  <c r="AD111" i="2"/>
  <c r="AC111" i="2"/>
  <c r="AB111" i="2"/>
  <c r="AA111" i="2"/>
  <c r="Y111" i="2"/>
  <c r="X111" i="2"/>
  <c r="W111" i="2"/>
  <c r="V111" i="2"/>
  <c r="U111" i="2"/>
  <c r="T111" i="2"/>
  <c r="R111" i="2"/>
  <c r="Q111" i="2"/>
  <c r="P111" i="2"/>
  <c r="O111" i="2"/>
  <c r="N111" i="2"/>
  <c r="M111" i="2"/>
  <c r="K111" i="2"/>
  <c r="J111" i="2"/>
  <c r="I111" i="2"/>
  <c r="H111" i="2"/>
  <c r="G111" i="2"/>
  <c r="AF223" i="2"/>
  <c r="AE223" i="2"/>
  <c r="AD223" i="2"/>
  <c r="AC223" i="2"/>
  <c r="AB223" i="2"/>
  <c r="AA223" i="2"/>
  <c r="Z223" i="2"/>
  <c r="Y223" i="2"/>
  <c r="X223" i="2"/>
  <c r="W223" i="2"/>
  <c r="V223" i="2"/>
  <c r="U223" i="2"/>
  <c r="T223" i="2"/>
  <c r="S223" i="2"/>
  <c r="R223" i="2"/>
  <c r="Q223" i="2"/>
  <c r="P223" i="2"/>
  <c r="O223" i="2"/>
  <c r="N223" i="2"/>
  <c r="M223" i="2"/>
  <c r="L223" i="2"/>
  <c r="K223" i="2"/>
  <c r="J223" i="2"/>
  <c r="I223" i="2"/>
  <c r="H223" i="2"/>
  <c r="G223" i="2"/>
  <c r="F223" i="2"/>
  <c r="E223" i="2"/>
  <c r="AF115" i="2"/>
  <c r="AE115" i="2"/>
  <c r="AD115" i="2"/>
  <c r="AC115" i="2"/>
  <c r="AB115" i="2"/>
  <c r="AA115" i="2"/>
  <c r="Z115" i="2"/>
  <c r="Y115" i="2"/>
  <c r="X115" i="2"/>
  <c r="W115" i="2"/>
  <c r="V115" i="2"/>
  <c r="U115" i="2"/>
  <c r="T115" i="2"/>
  <c r="S115" i="2"/>
  <c r="R115" i="2"/>
  <c r="Q115" i="2"/>
  <c r="P115" i="2"/>
  <c r="O115" i="2"/>
  <c r="N115" i="2"/>
  <c r="M115" i="2"/>
  <c r="L115" i="2"/>
  <c r="K115" i="2"/>
  <c r="J115" i="2"/>
  <c r="I115" i="2"/>
  <c r="H115" i="2"/>
  <c r="G115" i="2"/>
  <c r="F115" i="2"/>
  <c r="E115" i="2"/>
  <c r="L5" i="2"/>
  <c r="AF7" i="2"/>
  <c r="AE7" i="2"/>
  <c r="AD7" i="2"/>
  <c r="AC7" i="2"/>
  <c r="AB7" i="2"/>
  <c r="AA7" i="2"/>
  <c r="Z7" i="2"/>
  <c r="S7" i="2"/>
  <c r="L7" i="2"/>
  <c r="E7" i="2"/>
  <c r="Y7" i="2"/>
  <c r="X7" i="2"/>
  <c r="W7" i="2"/>
  <c r="V7" i="2"/>
  <c r="U7" i="2"/>
  <c r="T7" i="2"/>
  <c r="R7" i="2"/>
  <c r="Q7" i="2"/>
  <c r="P7" i="2"/>
  <c r="O7" i="2"/>
  <c r="N7" i="2"/>
  <c r="M7" i="2"/>
  <c r="K7" i="2"/>
  <c r="J7" i="2"/>
  <c r="I7" i="2"/>
  <c r="H7" i="2"/>
  <c r="G7" i="2"/>
  <c r="F7" i="2"/>
  <c r="P11" i="12" l="1"/>
  <c r="X11" i="12"/>
  <c r="AF11" i="12"/>
  <c r="AN11" i="12"/>
  <c r="AV11" i="12"/>
  <c r="O12" i="12"/>
  <c r="W12" i="12"/>
  <c r="AE12" i="12"/>
  <c r="AM12" i="12"/>
  <c r="AU12" i="12"/>
  <c r="N13" i="12"/>
  <c r="V13" i="12"/>
  <c r="AD13" i="12"/>
  <c r="AL13" i="12"/>
  <c r="AT13" i="12"/>
  <c r="L11" i="12"/>
  <c r="Y11" i="12"/>
  <c r="AG11" i="12"/>
  <c r="AO11" i="12"/>
  <c r="AW11" i="12"/>
  <c r="P12" i="12"/>
  <c r="X12" i="12"/>
  <c r="AF12" i="12"/>
  <c r="AN12" i="12"/>
  <c r="AV12" i="12"/>
  <c r="O13" i="12"/>
  <c r="AU13" i="12"/>
  <c r="Q11" i="12"/>
  <c r="R11" i="12"/>
  <c r="Z11" i="12"/>
  <c r="AH11" i="12"/>
  <c r="AP11" i="12"/>
  <c r="AX11" i="12"/>
  <c r="Q12" i="12"/>
  <c r="Y12" i="12"/>
  <c r="AG12" i="12"/>
  <c r="AO12" i="12"/>
  <c r="AW12" i="12"/>
  <c r="P13" i="12"/>
  <c r="X13" i="12"/>
  <c r="AF13" i="12"/>
  <c r="AN13" i="12"/>
  <c r="AV13" i="12"/>
  <c r="S11" i="12"/>
  <c r="AA11" i="12"/>
  <c r="AI11" i="12"/>
  <c r="AQ11" i="12"/>
  <c r="AY11" i="12"/>
  <c r="R12" i="12"/>
  <c r="Z12" i="12"/>
  <c r="AH12" i="12"/>
  <c r="AP12" i="12"/>
  <c r="AX12" i="12"/>
  <c r="Q13" i="12"/>
  <c r="Y13" i="12"/>
  <c r="AG13" i="12"/>
  <c r="AO13" i="12"/>
  <c r="AW13" i="12"/>
  <c r="L12" i="12"/>
  <c r="V12" i="12"/>
  <c r="M13" i="12"/>
  <c r="AS13" i="12"/>
  <c r="T11" i="12"/>
  <c r="AB11" i="12"/>
  <c r="AJ11" i="12"/>
  <c r="AR11" i="12"/>
  <c r="AZ11" i="12"/>
  <c r="S12" i="12"/>
  <c r="AA12" i="12"/>
  <c r="AI12" i="12"/>
  <c r="AQ12" i="12"/>
  <c r="AY12" i="12"/>
  <c r="R13" i="12"/>
  <c r="Z13" i="12"/>
  <c r="AH13" i="12"/>
  <c r="AP13" i="12"/>
  <c r="AX13" i="12"/>
  <c r="L13" i="12"/>
  <c r="AE11" i="12"/>
  <c r="AM11" i="12"/>
  <c r="AD12" i="12"/>
  <c r="U13" i="12"/>
  <c r="BA13" i="12"/>
  <c r="AM13" i="12"/>
  <c r="M11" i="12"/>
  <c r="U11" i="12"/>
  <c r="AC11" i="12"/>
  <c r="AK11" i="12"/>
  <c r="AS11" i="12"/>
  <c r="BA11" i="12"/>
  <c r="T12" i="12"/>
  <c r="AB12" i="12"/>
  <c r="AJ12" i="12"/>
  <c r="AR12" i="12"/>
  <c r="AZ12" i="12"/>
  <c r="S13" i="12"/>
  <c r="AA13" i="12"/>
  <c r="AI13" i="12"/>
  <c r="AQ13" i="12"/>
  <c r="AY13" i="12"/>
  <c r="O11" i="12"/>
  <c r="AU11" i="12"/>
  <c r="AL12" i="12"/>
  <c r="AK13" i="12"/>
  <c r="W13" i="12"/>
  <c r="N11" i="12"/>
  <c r="V11" i="12"/>
  <c r="AD11" i="12"/>
  <c r="AL11" i="12"/>
  <c r="AT11" i="12"/>
  <c r="M12" i="12"/>
  <c r="U12" i="12"/>
  <c r="AC12" i="12"/>
  <c r="AK12" i="12"/>
  <c r="AS12" i="12"/>
  <c r="BA12" i="12"/>
  <c r="T13" i="12"/>
  <c r="AB13" i="12"/>
  <c r="AJ13" i="12"/>
  <c r="AR13" i="12"/>
  <c r="AZ13" i="12"/>
  <c r="W11" i="12"/>
  <c r="N12" i="12"/>
  <c r="AT12" i="12"/>
  <c r="AC13" i="12"/>
  <c r="AE13" i="12"/>
  <c r="AV5" i="2"/>
  <c r="L113" i="2"/>
  <c r="AV113" i="2" s="1"/>
  <c r="L221" i="2"/>
  <c r="AV221" i="2" s="1"/>
  <c r="S5" i="2"/>
  <c r="D32" i="12"/>
  <c r="AW5" i="2" l="1"/>
  <c r="S221" i="2"/>
  <c r="AW221" i="2" s="1"/>
  <c r="S113" i="2"/>
  <c r="AW113" i="2" s="1"/>
  <c r="D33" i="12"/>
  <c r="D40" i="12"/>
  <c r="D114" i="12"/>
  <c r="D41" i="12"/>
  <c r="D45" i="12"/>
  <c r="D49" i="12"/>
  <c r="D53" i="12"/>
  <c r="D57" i="12"/>
  <c r="D61" i="12"/>
  <c r="D65" i="12"/>
  <c r="D69" i="12"/>
  <c r="D73" i="12"/>
  <c r="D77" i="12"/>
  <c r="D81" i="12"/>
  <c r="D85" i="12"/>
  <c r="D89" i="12"/>
  <c r="D93" i="12"/>
  <c r="D97" i="12"/>
  <c r="D101" i="12"/>
  <c r="D105" i="12"/>
  <c r="D109" i="12"/>
  <c r="D113" i="12"/>
  <c r="D117" i="12"/>
  <c r="D121" i="12"/>
  <c r="D125" i="12"/>
  <c r="D129" i="12"/>
  <c r="D35" i="12"/>
  <c r="D74" i="12"/>
  <c r="D78" i="12"/>
  <c r="D106" i="12"/>
  <c r="D50" i="12"/>
  <c r="D70" i="12"/>
  <c r="D102" i="12"/>
  <c r="D110" i="12"/>
  <c r="D44" i="12"/>
  <c r="D48" i="12"/>
  <c r="D52" i="12"/>
  <c r="D56" i="12"/>
  <c r="D60" i="12"/>
  <c r="D64" i="12"/>
  <c r="D68" i="12"/>
  <c r="D72" i="12"/>
  <c r="D76" i="12"/>
  <c r="D80" i="12"/>
  <c r="D84" i="12"/>
  <c r="D88" i="12"/>
  <c r="D92" i="12"/>
  <c r="D96" i="12"/>
  <c r="D100" i="12"/>
  <c r="D104" i="12"/>
  <c r="D108" i="12"/>
  <c r="D112" i="12"/>
  <c r="D116" i="12"/>
  <c r="D120" i="12"/>
  <c r="D124" i="12"/>
  <c r="D128" i="12"/>
  <c r="D132" i="12"/>
  <c r="D37" i="12"/>
  <c r="D39" i="12"/>
  <c r="D62" i="12"/>
  <c r="D82" i="12"/>
  <c r="D90" i="12"/>
  <c r="D118" i="12"/>
  <c r="D34" i="12"/>
  <c r="D66" i="12"/>
  <c r="D86" i="12"/>
  <c r="D94" i="12"/>
  <c r="D43" i="12"/>
  <c r="D47" i="12"/>
  <c r="D51" i="12"/>
  <c r="D55" i="12"/>
  <c r="D59" i="12"/>
  <c r="D63" i="12"/>
  <c r="D67" i="12"/>
  <c r="D71" i="12"/>
  <c r="D75" i="12"/>
  <c r="D79" i="12"/>
  <c r="D83" i="12"/>
  <c r="D87" i="12"/>
  <c r="D91" i="12"/>
  <c r="D95" i="12"/>
  <c r="D99" i="12"/>
  <c r="D103" i="12"/>
  <c r="D107" i="12"/>
  <c r="D111" i="12"/>
  <c r="D115" i="12"/>
  <c r="D119" i="12"/>
  <c r="D123" i="12"/>
  <c r="D127" i="12"/>
  <c r="D131" i="12"/>
  <c r="D58" i="12"/>
  <c r="D36" i="12"/>
  <c r="D42" i="12"/>
  <c r="D46" i="12"/>
  <c r="D54" i="12"/>
  <c r="D98" i="12"/>
  <c r="D122" i="12"/>
  <c r="D126" i="12"/>
  <c r="D38" i="12"/>
  <c r="D130" i="12"/>
  <c r="Z5" i="2"/>
  <c r="E32" i="12"/>
  <c r="AX5" i="2" l="1"/>
  <c r="Z221" i="2"/>
  <c r="AX221" i="2" s="1"/>
  <c r="Z113" i="2"/>
  <c r="AX113" i="2" s="1"/>
  <c r="E42" i="12"/>
  <c r="E46" i="12"/>
  <c r="E50" i="12"/>
  <c r="E54" i="12"/>
  <c r="E58" i="12"/>
  <c r="E62" i="12"/>
  <c r="E66" i="12"/>
  <c r="E70" i="12"/>
  <c r="E74" i="12"/>
  <c r="E78" i="12"/>
  <c r="E82" i="12"/>
  <c r="E86" i="12"/>
  <c r="E90" i="12"/>
  <c r="E94" i="12"/>
  <c r="E98" i="12"/>
  <c r="E102" i="12"/>
  <c r="E106" i="12"/>
  <c r="E110" i="12"/>
  <c r="E114" i="12"/>
  <c r="E118" i="12"/>
  <c r="E122" i="12"/>
  <c r="E126" i="12"/>
  <c r="E130" i="12"/>
  <c r="E33" i="12"/>
  <c r="E40" i="12"/>
  <c r="E41" i="12"/>
  <c r="E45" i="12"/>
  <c r="E49" i="12"/>
  <c r="E53" i="12"/>
  <c r="E57" i="12"/>
  <c r="E61" i="12"/>
  <c r="E65" i="12"/>
  <c r="E69" i="12"/>
  <c r="E73" i="12"/>
  <c r="E77" i="12"/>
  <c r="E81" i="12"/>
  <c r="E85" i="12"/>
  <c r="E89" i="12"/>
  <c r="E93" i="12"/>
  <c r="E97" i="12"/>
  <c r="E101" i="12"/>
  <c r="E105" i="12"/>
  <c r="E109" i="12"/>
  <c r="E113" i="12"/>
  <c r="E117" i="12"/>
  <c r="E121" i="12"/>
  <c r="E125" i="12"/>
  <c r="E129" i="12"/>
  <c r="E35" i="12"/>
  <c r="E44" i="12"/>
  <c r="E48" i="12"/>
  <c r="E52" i="12"/>
  <c r="E56" i="12"/>
  <c r="E60" i="12"/>
  <c r="E64" i="12"/>
  <c r="E68" i="12"/>
  <c r="E72" i="12"/>
  <c r="E76" i="12"/>
  <c r="E80" i="12"/>
  <c r="E84" i="12"/>
  <c r="E88" i="12"/>
  <c r="E92" i="12"/>
  <c r="E96" i="12"/>
  <c r="E100" i="12"/>
  <c r="E104" i="12"/>
  <c r="E108" i="12"/>
  <c r="E112" i="12"/>
  <c r="E116" i="12"/>
  <c r="E120" i="12"/>
  <c r="E124" i="12"/>
  <c r="E128" i="12"/>
  <c r="E132" i="12"/>
  <c r="E37" i="12"/>
  <c r="E39" i="12"/>
  <c r="E43" i="12"/>
  <c r="E47" i="12"/>
  <c r="E51" i="12"/>
  <c r="E55" i="12"/>
  <c r="E59" i="12"/>
  <c r="E63" i="12"/>
  <c r="E67" i="12"/>
  <c r="E71" i="12"/>
  <c r="E75" i="12"/>
  <c r="E79" i="12"/>
  <c r="E83" i="12"/>
  <c r="E87" i="12"/>
  <c r="E91" i="12"/>
  <c r="E95" i="12"/>
  <c r="E99" i="12"/>
  <c r="E103" i="12"/>
  <c r="E107" i="12"/>
  <c r="E111" i="12"/>
  <c r="E115" i="12"/>
  <c r="E119" i="12"/>
  <c r="E123" i="12"/>
  <c r="E127" i="12"/>
  <c r="E131" i="12"/>
  <c r="E34" i="12"/>
  <c r="E36" i="12"/>
  <c r="E38" i="12"/>
  <c r="AG5" i="2"/>
  <c r="F32" i="12"/>
  <c r="AY5" i="2" l="1"/>
  <c r="AG113" i="2"/>
  <c r="AY113" i="2" s="1"/>
  <c r="AG221" i="2"/>
  <c r="AY221" i="2" s="1"/>
  <c r="F36" i="12"/>
  <c r="F38" i="12"/>
  <c r="F59" i="12"/>
  <c r="F67" i="12"/>
  <c r="F75" i="12"/>
  <c r="F95" i="12"/>
  <c r="F103" i="12"/>
  <c r="F42" i="12"/>
  <c r="F46" i="12"/>
  <c r="F50" i="12"/>
  <c r="F54" i="12"/>
  <c r="F58" i="12"/>
  <c r="F62" i="12"/>
  <c r="F66" i="12"/>
  <c r="F70" i="12"/>
  <c r="F74" i="12"/>
  <c r="F78" i="12"/>
  <c r="F82" i="12"/>
  <c r="F86" i="12"/>
  <c r="F90" i="12"/>
  <c r="F94" i="12"/>
  <c r="F98" i="12"/>
  <c r="F102" i="12"/>
  <c r="F106" i="12"/>
  <c r="F110" i="12"/>
  <c r="F114" i="12"/>
  <c r="F118" i="12"/>
  <c r="F122" i="12"/>
  <c r="F126" i="12"/>
  <c r="F130" i="12"/>
  <c r="F55" i="12"/>
  <c r="F63" i="12"/>
  <c r="F87" i="12"/>
  <c r="F33" i="12"/>
  <c r="F40" i="12"/>
  <c r="F119" i="12"/>
  <c r="F41" i="12"/>
  <c r="F45" i="12"/>
  <c r="F49" i="12"/>
  <c r="F53" i="12"/>
  <c r="F57" i="12"/>
  <c r="F61" i="12"/>
  <c r="F65" i="12"/>
  <c r="F69" i="12"/>
  <c r="F73" i="12"/>
  <c r="F77" i="12"/>
  <c r="F81" i="12"/>
  <c r="F85" i="12"/>
  <c r="F89" i="12"/>
  <c r="F93" i="12"/>
  <c r="F97" i="12"/>
  <c r="F101" i="12"/>
  <c r="F105" i="12"/>
  <c r="F109" i="12"/>
  <c r="F113" i="12"/>
  <c r="F117" i="12"/>
  <c r="F121" i="12"/>
  <c r="F125" i="12"/>
  <c r="F129" i="12"/>
  <c r="F35" i="12"/>
  <c r="F47" i="12"/>
  <c r="F71" i="12"/>
  <c r="F99" i="12"/>
  <c r="F37" i="12"/>
  <c r="F51" i="12"/>
  <c r="F44" i="12"/>
  <c r="F48" i="12"/>
  <c r="F52" i="12"/>
  <c r="F56" i="12"/>
  <c r="F60" i="12"/>
  <c r="F64" i="12"/>
  <c r="F68" i="12"/>
  <c r="F72" i="12"/>
  <c r="F76" i="12"/>
  <c r="F80" i="12"/>
  <c r="F84" i="12"/>
  <c r="F88" i="12"/>
  <c r="F92" i="12"/>
  <c r="F96" i="12"/>
  <c r="F100" i="12"/>
  <c r="F104" i="12"/>
  <c r="F108" i="12"/>
  <c r="F112" i="12"/>
  <c r="F116" i="12"/>
  <c r="F120" i="12"/>
  <c r="F124" i="12"/>
  <c r="F128" i="12"/>
  <c r="F132" i="12"/>
  <c r="F39" i="12"/>
  <c r="F83" i="12"/>
  <c r="F91" i="12"/>
  <c r="F111" i="12"/>
  <c r="F43" i="12"/>
  <c r="F79" i="12"/>
  <c r="F107" i="12"/>
  <c r="F115" i="12"/>
  <c r="F123" i="12"/>
  <c r="F127" i="12"/>
  <c r="F131" i="12"/>
  <c r="F34" i="12"/>
  <c r="AN5" i="2"/>
  <c r="G32" i="12"/>
  <c r="AN221" i="2" l="1"/>
  <c r="AZ221" i="2" s="1"/>
  <c r="AN113" i="2"/>
  <c r="AZ113" i="2" s="1"/>
  <c r="G43" i="12"/>
  <c r="G47" i="12"/>
  <c r="G51" i="12"/>
  <c r="G55" i="12"/>
  <c r="G59" i="12"/>
  <c r="G63" i="12"/>
  <c r="G67" i="12"/>
  <c r="G71" i="12"/>
  <c r="G75" i="12"/>
  <c r="G79" i="12"/>
  <c r="G83" i="12"/>
  <c r="G87" i="12"/>
  <c r="G91" i="12"/>
  <c r="G95" i="12"/>
  <c r="G99" i="12"/>
  <c r="G103" i="12"/>
  <c r="G107" i="12"/>
  <c r="G111" i="12"/>
  <c r="G115" i="12"/>
  <c r="G119" i="12"/>
  <c r="G123" i="12"/>
  <c r="G127" i="12"/>
  <c r="G131" i="12"/>
  <c r="G36" i="12"/>
  <c r="G38" i="12"/>
  <c r="G42" i="12"/>
  <c r="G46" i="12"/>
  <c r="G50" i="12"/>
  <c r="G54" i="12"/>
  <c r="G58" i="12"/>
  <c r="G62" i="12"/>
  <c r="G66" i="12"/>
  <c r="G70" i="12"/>
  <c r="G74" i="12"/>
  <c r="G78" i="12"/>
  <c r="G82" i="12"/>
  <c r="G86" i="12"/>
  <c r="G90" i="12"/>
  <c r="G94" i="12"/>
  <c r="G98" i="12"/>
  <c r="G102" i="12"/>
  <c r="G106" i="12"/>
  <c r="G110" i="12"/>
  <c r="G114" i="12"/>
  <c r="G118" i="12"/>
  <c r="G122" i="12"/>
  <c r="G126" i="12"/>
  <c r="G130" i="12"/>
  <c r="G33" i="12"/>
  <c r="G40" i="12"/>
  <c r="G41" i="12"/>
  <c r="G45" i="12"/>
  <c r="G49" i="12"/>
  <c r="G53" i="12"/>
  <c r="G57" i="12"/>
  <c r="G61" i="12"/>
  <c r="G65" i="12"/>
  <c r="G69" i="12"/>
  <c r="G73" i="12"/>
  <c r="G77" i="12"/>
  <c r="G81" i="12"/>
  <c r="G85" i="12"/>
  <c r="G89" i="12"/>
  <c r="G93" i="12"/>
  <c r="G97" i="12"/>
  <c r="G101" i="12"/>
  <c r="G105" i="12"/>
  <c r="G109" i="12"/>
  <c r="G113" i="12"/>
  <c r="G117" i="12"/>
  <c r="G121" i="12"/>
  <c r="G125" i="12"/>
  <c r="G129" i="12"/>
  <c r="G35" i="12"/>
  <c r="G44" i="12"/>
  <c r="G48" i="12"/>
  <c r="G52" i="12"/>
  <c r="G56" i="12"/>
  <c r="G60" i="12"/>
  <c r="G64" i="12"/>
  <c r="G68" i="12"/>
  <c r="G72" i="12"/>
  <c r="G76" i="12"/>
  <c r="G80" i="12"/>
  <c r="G84" i="12"/>
  <c r="G88" i="12"/>
  <c r="G92" i="12"/>
  <c r="G96" i="12"/>
  <c r="G100" i="12"/>
  <c r="G104" i="12"/>
  <c r="G108" i="12"/>
  <c r="G112" i="12"/>
  <c r="G116" i="12"/>
  <c r="G120" i="12"/>
  <c r="G124" i="12"/>
  <c r="G128" i="12"/>
  <c r="G132" i="12"/>
  <c r="G39" i="12"/>
  <c r="G34" i="12"/>
  <c r="G37" i="12"/>
  <c r="H32" i="12"/>
  <c r="AZ5" i="2"/>
  <c r="H34" i="12" l="1"/>
  <c r="H36" i="12"/>
  <c r="H52" i="12"/>
  <c r="H84" i="12"/>
  <c r="H43" i="12"/>
  <c r="H47" i="12"/>
  <c r="H51" i="12"/>
  <c r="H55" i="12"/>
  <c r="H59" i="12"/>
  <c r="H63" i="12"/>
  <c r="H67" i="12"/>
  <c r="H71" i="12"/>
  <c r="H75" i="12"/>
  <c r="H79" i="12"/>
  <c r="H83" i="12"/>
  <c r="H87" i="12"/>
  <c r="H91" i="12"/>
  <c r="H95" i="12"/>
  <c r="H99" i="12"/>
  <c r="H103" i="12"/>
  <c r="H107" i="12"/>
  <c r="H111" i="12"/>
  <c r="H115" i="12"/>
  <c r="H119" i="12"/>
  <c r="H123" i="12"/>
  <c r="H127" i="12"/>
  <c r="H131" i="12"/>
  <c r="H38" i="12"/>
  <c r="H44" i="12"/>
  <c r="H96" i="12"/>
  <c r="H116" i="12"/>
  <c r="H56" i="12"/>
  <c r="H80" i="12"/>
  <c r="H92" i="12"/>
  <c r="H42" i="12"/>
  <c r="H46" i="12"/>
  <c r="H50" i="12"/>
  <c r="H54" i="12"/>
  <c r="H58" i="12"/>
  <c r="H62" i="12"/>
  <c r="H66" i="12"/>
  <c r="H70" i="12"/>
  <c r="H74" i="12"/>
  <c r="H78" i="12"/>
  <c r="H82" i="12"/>
  <c r="H86" i="12"/>
  <c r="H90" i="12"/>
  <c r="H94" i="12"/>
  <c r="H98" i="12"/>
  <c r="H102" i="12"/>
  <c r="H106" i="12"/>
  <c r="H110" i="12"/>
  <c r="H114" i="12"/>
  <c r="H118" i="12"/>
  <c r="H122" i="12"/>
  <c r="H126" i="12"/>
  <c r="H130" i="12"/>
  <c r="H108" i="12"/>
  <c r="H33" i="12"/>
  <c r="H40" i="12"/>
  <c r="H60" i="12"/>
  <c r="H76" i="12"/>
  <c r="H104" i="12"/>
  <c r="H112" i="12"/>
  <c r="H41" i="12"/>
  <c r="H45" i="12"/>
  <c r="H49" i="12"/>
  <c r="H53" i="12"/>
  <c r="H57" i="12"/>
  <c r="H61" i="12"/>
  <c r="H65" i="12"/>
  <c r="H69" i="12"/>
  <c r="H73" i="12"/>
  <c r="H77" i="12"/>
  <c r="H81" i="12"/>
  <c r="H85" i="12"/>
  <c r="H89" i="12"/>
  <c r="H93" i="12"/>
  <c r="H97" i="12"/>
  <c r="H101" i="12"/>
  <c r="H105" i="12"/>
  <c r="H109" i="12"/>
  <c r="H113" i="12"/>
  <c r="H117" i="12"/>
  <c r="H121" i="12"/>
  <c r="H125" i="12"/>
  <c r="H129" i="12"/>
  <c r="H35" i="12"/>
  <c r="H48" i="12"/>
  <c r="H68" i="12"/>
  <c r="H100" i="12"/>
  <c r="H120" i="12"/>
  <c r="H37" i="12"/>
  <c r="H64" i="12"/>
  <c r="H72" i="12"/>
  <c r="H88" i="12"/>
  <c r="H124" i="12"/>
  <c r="H132" i="12"/>
  <c r="H39" i="12"/>
  <c r="H128" i="1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<sst xmlns="http://schemas.openxmlformats.org/spreadsheetml/2006/main" count="201" uniqueCount="129">
  <si>
    <t>Navigation</t>
  </si>
  <si>
    <t>Title</t>
  </si>
  <si>
    <t>Content</t>
  </si>
  <si>
    <t>Customization difficulty (1-3)</t>
  </si>
  <si>
    <t>Explanation of sheets</t>
  </si>
  <si>
    <t>How to customize</t>
  </si>
  <si>
    <t>1)</t>
  </si>
  <si>
    <t>2)</t>
  </si>
  <si>
    <t>3)</t>
  </si>
  <si>
    <t>The first two tabs allow for data entry, while the following two tabs provide a summary of the data and are fully automated.</t>
  </si>
  <si>
    <t>To view the headings in Excel (Columns: A, B, C… and Rows: 1, 2, 3…) go to the View ribbon and check the "Headings" box.</t>
  </si>
  <si>
    <t xml:space="preserve">This workbook is intended to help you schedule your employees. </t>
  </si>
  <si>
    <t>Employee Names</t>
  </si>
  <si>
    <t>Employee 1</t>
  </si>
  <si>
    <t>Employee 2</t>
  </si>
  <si>
    <t>Employee 3</t>
  </si>
  <si>
    <t>Employee 4</t>
  </si>
  <si>
    <t>Employee 5</t>
  </si>
  <si>
    <t>Employee 6</t>
  </si>
  <si>
    <t xml:space="preserve">Employee 7 </t>
  </si>
  <si>
    <t xml:space="preserve">Employee 8 </t>
  </si>
  <si>
    <t>Employee 9</t>
  </si>
  <si>
    <t>Employee 10</t>
  </si>
  <si>
    <t>Days</t>
  </si>
  <si>
    <t>M</t>
  </si>
  <si>
    <t>Tu</t>
  </si>
  <si>
    <t>W</t>
  </si>
  <si>
    <t>T</t>
  </si>
  <si>
    <t>R</t>
  </si>
  <si>
    <t>F</t>
  </si>
  <si>
    <t>Sa</t>
  </si>
  <si>
    <t>Su</t>
  </si>
  <si>
    <t>S</t>
  </si>
  <si>
    <t>U</t>
  </si>
  <si>
    <t>Mo</t>
  </si>
  <si>
    <t>Th</t>
  </si>
  <si>
    <t>We</t>
  </si>
  <si>
    <t>Fr</t>
  </si>
  <si>
    <t>Type</t>
  </si>
  <si>
    <t>FT</t>
  </si>
  <si>
    <t>Employment Type</t>
  </si>
  <si>
    <t>PT</t>
  </si>
  <si>
    <t>2nd Shift</t>
  </si>
  <si>
    <t>1st Shift</t>
  </si>
  <si>
    <t>Total People</t>
  </si>
  <si>
    <t>People Required</t>
  </si>
  <si>
    <t>Needed People</t>
  </si>
  <si>
    <t>3rd Shift</t>
  </si>
  <si>
    <t>"Company Name"</t>
  </si>
  <si>
    <t>Role</t>
  </si>
  <si>
    <t>Employee Role</t>
  </si>
  <si>
    <t>Supervisor</t>
  </si>
  <si>
    <t>General Worker</t>
  </si>
  <si>
    <t>Employee Summary Table</t>
  </si>
  <si>
    <t>Employee Role Types</t>
  </si>
  <si>
    <t>Shift Manager</t>
  </si>
  <si>
    <t>Dashboard Template</t>
  </si>
  <si>
    <t>Week Beginning:</t>
  </si>
  <si>
    <t>Shifts</t>
  </si>
  <si>
    <t>Schedule Weeks</t>
  </si>
  <si>
    <t>4 Week</t>
  </si>
  <si>
    <t>6 Week</t>
  </si>
  <si>
    <t>Schedule</t>
  </si>
  <si>
    <t>Settings</t>
  </si>
  <si>
    <t>Weekly Schedule</t>
  </si>
  <si>
    <t>1st shift</t>
  </si>
  <si>
    <t>Personal Hours Helper Cells</t>
  </si>
  <si>
    <t>Dashboard</t>
  </si>
  <si>
    <t>Dashboard - Summary View</t>
  </si>
  <si>
    <t>Total # of Employees</t>
  </si>
  <si>
    <t>Total Number of Employees</t>
  </si>
  <si>
    <t>Number</t>
  </si>
  <si>
    <t>Lists</t>
  </si>
  <si>
    <t>Introduction</t>
  </si>
  <si>
    <t>Employee Scheduling Template</t>
  </si>
  <si>
    <t xml:space="preserve">(Please follow these steps in the order they're laid out. </t>
  </si>
  <si>
    <t xml:space="preserve">It is important to note that if you make a change to the shifts currently being displayed you need to reselect the number of employees from the drop down menu. </t>
  </si>
  <si>
    <t>**</t>
  </si>
  <si>
    <t>Employee Role Summary</t>
  </si>
  <si>
    <t>Daily Hours Summary</t>
  </si>
  <si>
    <t>Employee</t>
  </si>
  <si>
    <t>Total Hours per Week</t>
  </si>
  <si>
    <t>Select an Option:</t>
  </si>
  <si>
    <t>Option 1</t>
  </si>
  <si>
    <t>Option 2</t>
  </si>
  <si>
    <t>Option 3</t>
  </si>
  <si>
    <t>Example data has been entered to serve as example and can easily be changed</t>
  </si>
  <si>
    <t>See below table below for total hours per week for each employee.</t>
  </si>
  <si>
    <t xml:space="preserve"> Schedule</t>
  </si>
  <si>
    <t xml:space="preserve"> Settings</t>
  </si>
  <si>
    <t xml:space="preserve"> Introduction</t>
  </si>
  <si>
    <t>This sheet is where you will fill in each employee's scheduled hours. Relevant information from the 'Lists' tab will autopopulate on this sheet and the 'Dashboard' sheet.</t>
  </si>
  <si>
    <t xml:space="preserve">This sheet is where you will customize the Schedule and Dashboard tabs. It contains options for 4-week and 6-week schedules, different shifts, and the number of employees within your company. </t>
  </si>
  <si>
    <t>"Settings"</t>
  </si>
  <si>
    <t>"Schedule"</t>
  </si>
  <si>
    <t xml:space="preserve">Fill out the employee schedule for each shift using the drop-down menu in the first column. Relevant information will autopopulate in the second, third, and fourth columns. </t>
  </si>
  <si>
    <t>"Dashboard"</t>
  </si>
  <si>
    <t>"Lists"</t>
  </si>
  <si>
    <t xml:space="preserve">Insert your own logo and company name. To do this left click on the existing "Company Logo" image and choose "Change picture," then "From a file…" and find your logo image on your hard drive or wherever it's saved. If you do not want to include a logo, you may simply delete the example image and leave the space blank. Company name is then changed by replacing "Company Name" with your company's name. </t>
  </si>
  <si>
    <t xml:space="preserve">Change the day of week format. To do this click the dropdown menu next to "Select an Option". </t>
  </si>
  <si>
    <t>Information from the 'Schedule' tab will autopopulate the relevant information here, and the options from the 'Settings' tab will customize this sheet format.</t>
  </si>
  <si>
    <t xml:space="preserve">Enter your employee information, including their name, employee type(Full Time = FT, Part Time = PT), and employee role. </t>
  </si>
  <si>
    <t>&lt;-- Template is set to 4 Weeks by default. To use 6 week version, check the 6 Week box.</t>
  </si>
  <si>
    <t>(default)</t>
  </si>
  <si>
    <t>In the table below, enter the total hours each employee is scheduled for each day.</t>
  </si>
  <si>
    <t xml:space="preserve">This sheet gives an overview of the employees and the number of hours they're scheduled to work each week. This will also show you the number of employees in each role scheduled per day to help you ensure a shift leader or supervisor is always on each shift, for example. This tab also gives you an overview of who is working more than 40 hours each week which is indicated by a light red shading in those cells. </t>
  </si>
  <si>
    <t>This sheet is where you will fill in the employees' information, such as their names, employment type, and employee role. Here you can also choose which day convention you would like to be displayed on the Schedule sheet by selecting a value from the drop down menu (Option 1, Option 2, Option 3).</t>
  </si>
  <si>
    <t>*Note: when first using the sheet, please fill out the "Lists" and "Settings" tabs first for the best user experience.</t>
  </si>
  <si>
    <t>In the main table under the daily headings (Mo, Tu, We,…), enter the total hours each employee is scheduled to work for that day. There is a different table for each shift. If you have selected more than one shift on the Settings tab, you will need to scroll down to view the 2nd and 3rd shift tables.</t>
  </si>
  <si>
    <t>4)</t>
  </si>
  <si>
    <t>To clear all time entries from the schedule, click the "Clear Schedule" button in the top left corner. This will prompt the user to ensure they would like to clear the schedule. Click "yes" to proceed or "no" to cancel.</t>
  </si>
  <si>
    <t>Select which shifts are available in your company. If there is a "check" in the checkbox next to the shift name then that shift is active and ready for information to be stored and displayed on the Schedule and Dashboard tabs.</t>
  </si>
  <si>
    <t>Select if you would like to view 4-week schedules or 6-week schedules. The sheet is set to 4 week by default. In order to expand to a 6 week schedule, place a 'check' in the checkbox next to the '6-week' option.</t>
  </si>
  <si>
    <t>Select the number of employees from the dropdown menu. This will define the maximum number of employees the sheet will be set up to accomodate.  *Even if the option you would like is currently displayed, please re-select the number of employees from the drop-down menu to ensure proper sheet setup.</t>
  </si>
  <si>
    <t>*Note: The "Schedule" and "Dashboard" sheets have been locked to prevent accidental changes to formulas. These sheets can be unlocked using the password "ces". Sheets must be protected again using the same password.</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</si>
  <si>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</si>
  <si>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</si>
  <si>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</si>
  <si>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</si>
  <si>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1"/>
        <color theme="1"/>
        <rFont val="Calibri"/>
        <family val="2"/>
        <scheme val="minor"/>
      </rPr>
      <t>macro button that can be replaced with Referesh All tool in Excel Online ribbon</t>
    </r>
  </si>
  <si>
    <t>Full Screen</t>
  </si>
  <si>
    <r>
      <t xml:space="preserve">Some of our templates have </t>
    </r>
    <r>
      <rPr>
        <b/>
        <sz val="10"/>
        <color theme="1"/>
        <rFont val="Arial"/>
        <family val="2"/>
      </rPr>
      <t xml:space="preserve">Full Screen </t>
    </r>
    <r>
      <rPr>
        <sz val="11"/>
        <color theme="1"/>
        <rFont val="Calibri"/>
        <family val="2"/>
        <scheme val="minor"/>
      </rPr>
      <t xml:space="preserve">macro button that can be replaced with the itself web browser full screen tool </t>
    </r>
  </si>
  <si>
    <t>Other Macros</t>
  </si>
  <si>
    <r>
      <t xml:space="preserve">Other macros is applied on less than ~15% of our templats can be overcome by transferring to Desktop App </t>
    </r>
    <r>
      <rPr>
        <b/>
        <sz val="10"/>
        <color theme="1"/>
        <rFont val="Arial"/>
        <family val="2"/>
      </rPr>
      <t>"Open in Desktop App"</t>
    </r>
    <r>
      <rPr>
        <sz val="11"/>
        <color theme="1"/>
        <rFont val="Calibri"/>
        <family val="2"/>
        <scheme val="minor"/>
      </rPr>
      <t xml:space="preserve"> button</t>
    </r>
  </si>
  <si>
    <t>All content is Copyright material of Simple Sheets LLC.</t>
  </si>
  <si>
    <t>http://www.simplesheets.co</t>
  </si>
  <si>
    <t>© 2020 Simple Sheets LLC</t>
  </si>
  <si>
    <t>All rights reserved.  The contents of this publication, including but not limited to all written material, content layout, images, formulas, and code, are protected under international copyright and trademark laws. </t>
  </si>
  <si>
    <t>No part of this publication may be modified, manipulated, reproduced, distributed, or transmitted without prior written permission of the publisher, except in the case of certain noncommercial uses permitted by copyright law.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</si>
</sst>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mmm\-yyyy;@"/>
    <numFmt numFmtId="165" formatCode="d"/>
    <numFmt numFmtId="166" formatCode="0;\-0;;@"/>
  </numFmts>
  <fonts count="22" x14ac:knownFonts="1">
    <font>
      <sz val="11"/>
      <color theme="1"/>
      <name val="Calibri"/>
      <family val="2"/>
      <scheme val="minor"/>
    </font>
    <font>
      <u/>
      <sz val="11"/>
      <color theme="10"/>
      <name val="Calibri"/>
      <family val="2"/>
      <scheme val="minor"/>
    </font>
    <font>
      <b/>
      <sz val="10"/>
      <color theme="1"/>
      <name val="Arial"/>
      <family val="2"/>
    </font>
    <font>
      <sz val="10"/>
      <color theme="0"/>
      <name val="Arial"/>
      <family val="2"/>
    </font>
    <font>
      <sz val="10"/>
      <color theme="1"/>
      <name val="Arial"/>
      <family val="2"/>
    </font>
    <font>
      <b/>
      <sz val="10"/>
      <color theme="0"/>
      <name val="Arial"/>
      <family val="2"/>
    </font>
    <font>
      <u/>
      <sz val="10"/>
      <color theme="10"/>
      <name val="Arial"/>
      <family val="2"/>
    </font>
    <font>
      <b/>
      <i/>
      <sz val="10"/>
      <color theme="0"/>
      <name val="Arial"/>
      <family val="2"/>
    </font>
    <font>
      <sz val="11"/>
      <color theme="1"/>
      <name val="Arial"/>
      <family val="2"/>
    </font>
    <font>
      <sz val="9"/>
      <color theme="1"/>
      <name val="Arial"/>
      <family val="2"/>
    </font>
    <font>
      <sz val="8"/>
      <color theme="1"/>
      <name val="Arial"/>
      <family val="2"/>
    </font>
    <font>
      <sz val="12"/>
      <color theme="1"/>
      <name val="Arial"/>
      <family val="2"/>
    </font>
    <font>
      <sz val="14"/>
      <color theme="1"/>
      <name val="Arial"/>
      <family val="2"/>
    </font>
    <font>
      <sz val="8"/>
      <name val="Calibri"/>
      <family val="2"/>
      <scheme val="minor"/>
    </font>
    <font>
      <b/>
      <u/>
      <sz val="11"/>
      <color theme="0"/>
      <name val="Calibri"/>
      <family val="2"/>
      <scheme val="minor"/>
    </font>
    <font>
      <i/>
      <sz val="10"/>
      <color theme="1"/>
      <name val="Arial"/>
      <family val="2"/>
    </font>
    <font>
      <i/>
      <sz val="11"/>
      <color theme="1"/>
      <name val="Arial"/>
      <family val="2"/>
    </font>
    <font>
      <i/>
      <sz val="11"/>
      <color theme="1"/>
      <name val="Calibri"/>
      <family val="2"/>
      <scheme val="minor"/>
    </font>
    <font>
      <sz val="11"/>
      <color theme="0"/>
      <name val="Arial"/>
      <family val="2"/>
    </font>
    <font>
      <b/>
      <sz val="11"/>
      <color theme="1"/>
      <name val="Arial"/>
      <family val="2"/>
    </font>
    <font>
      <b/>
      <i/>
      <sz val="11"/>
      <color theme="1"/>
      <name val="Arial"/>
      <family val="2"/>
    </font>
    <font>
      <sz val="11"/>
      <color rgb="FF000000"/>
      <name val="Calibri"/>
      <family val="2"/>
    </font>
  </fonts>
  <fills count="6">
    <fill>
      <patternFill patternType="none"/>
    </fill>
    <fill>
      <patternFill patternType="gray125"/>
    </fill>
    <fill>
      <patternFill patternType="solid">
        <fgColor rgb="FF8FCFAD"/>
        <bgColor indexed="64"/>
      </patternFill>
    </fill>
    <fill>
      <patternFill patternType="solid">
        <fgColor rgb="FF50B47F"/>
        <bgColor indexed="64"/>
      </patternFill>
    </fill>
    <fill>
      <patternFill patternType="solid">
        <fgColor theme="2" tint="-9.9978637043366805E-2"/>
        <bgColor indexed="64"/>
      </patternFill>
    </fill>
    <fill>
      <patternFill patternType="solid">
        <fgColor theme="0" tint="-0.14999847407452621"/>
        <bgColor indexed="64"/>
      </patternFill>
    </fill>
  </fills>
  <borders count="39">
    <border>
      <left/>
      <right/>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17600024414813E-2"/>
      </left>
      <right style="thin">
        <color theme="2" tint="-9.9917600024414813E-2"/>
      </right>
      <top style="thin">
        <color theme="2" tint="-9.9917600024414813E-2"/>
      </top>
      <bottom style="thin">
        <color theme="2" tint="-9.9917600024414813E-2"/>
      </bottom>
      <diagonal/>
    </border>
    <border>
      <left style="thin">
        <color theme="2" tint="-9.9948118533890809E-2"/>
      </left>
      <right/>
      <top style="thin">
        <color theme="2" tint="-9.9948118533890809E-2"/>
      </top>
      <bottom style="thin">
        <color theme="2" tint="-9.9948118533890809E-2"/>
      </bottom>
      <diagonal/>
    </border>
    <border>
      <left style="medium">
        <color theme="2" tint="-0.49998474074526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bottom style="thin">
        <color theme="2" tint="-9.9948118533890809E-2"/>
      </bottom>
      <diagonal/>
    </border>
    <border>
      <left style="thin">
        <color theme="2" tint="-9.982604449598681E-2"/>
      </left>
      <right/>
      <top style="thin">
        <color theme="2" tint="-9.982604449598681E-2"/>
      </top>
      <bottom style="thin">
        <color theme="2" tint="-9.982604449598681E-2"/>
      </bottom>
      <diagonal/>
    </border>
    <border>
      <left/>
      <right/>
      <top style="thin">
        <color theme="2" tint="-9.982604449598681E-2"/>
      </top>
      <bottom style="thin">
        <color theme="2" tint="-9.982604449598681E-2"/>
      </bottom>
      <diagonal/>
    </border>
    <border>
      <left style="thin">
        <color theme="2" tint="-9.9948118533890809E-2"/>
      </left>
      <right style="thin">
        <color theme="2" tint="-9.9917600024414813E-2"/>
      </right>
      <top style="thin">
        <color theme="2" tint="-9.9948118533890809E-2"/>
      </top>
      <bottom style="thin">
        <color theme="2" tint="-9.9948118533890809E-2"/>
      </bottom>
      <diagonal/>
    </border>
    <border>
      <left style="medium">
        <color theme="1"/>
      </left>
      <right style="thin">
        <color theme="2" tint="-9.9948118533890809E-2"/>
      </right>
      <top style="thin">
        <color theme="2" tint="-9.9948118533890809E-2"/>
      </top>
      <bottom style="thin">
        <color theme="2" tint="-9.9948118533890809E-2"/>
      </bottom>
      <diagonal/>
    </border>
    <border>
      <left style="medium">
        <color theme="2" tint="-0.49998474074526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diagonal/>
    </border>
    <border>
      <left/>
      <right style="thin">
        <color theme="2" tint="-9.9948118533890809E-2"/>
      </right>
      <top/>
      <bottom style="thin">
        <color theme="2" tint="-9.9948118533890809E-2"/>
      </bottom>
      <diagonal/>
    </border>
    <border>
      <left style="thin">
        <color theme="2" tint="-9.9948118533890809E-2"/>
      </left>
      <right/>
      <top/>
      <bottom style="thin">
        <color theme="2" tint="-9.9948118533890809E-2"/>
      </bottom>
      <diagonal/>
    </border>
    <border>
      <left style="medium">
        <color theme="2" tint="-0.499984740745262"/>
      </left>
      <right style="thin">
        <color theme="2" tint="-9.9948118533890809E-2"/>
      </right>
      <top/>
      <bottom style="thin">
        <color theme="2" tint="-9.9948118533890809E-2"/>
      </bottom>
      <diagonal/>
    </border>
    <border>
      <left style="thin">
        <color theme="2" tint="-9.9948118533890809E-2"/>
      </left>
      <right style="thin">
        <color theme="2" tint="-9.9917600024414813E-2"/>
      </right>
      <top/>
      <bottom style="thin">
        <color theme="2" tint="-9.9948118533890809E-2"/>
      </bottom>
      <diagonal/>
    </border>
    <border>
      <left/>
      <right style="thin">
        <color theme="2" tint="-9.9948118533890809E-2"/>
      </right>
      <top style="thin">
        <color theme="2" tint="-9.9948118533890809E-2"/>
      </top>
      <bottom style="medium">
        <color indexed="64"/>
      </bottom>
      <diagonal/>
    </border>
    <border>
      <left style="thin">
        <color theme="2" tint="-9.9948118533890809E-2"/>
      </left>
      <right style="thin">
        <color theme="2" tint="-9.9948118533890809E-2"/>
      </right>
      <top style="thin">
        <color theme="2" tint="-9.9948118533890809E-2"/>
      </top>
      <bottom style="medium">
        <color indexed="64"/>
      </bottom>
      <diagonal/>
    </border>
    <border>
      <left style="thin">
        <color theme="2" tint="-9.9948118533890809E-2"/>
      </left>
      <right/>
      <top style="thin">
        <color theme="2" tint="-9.9948118533890809E-2"/>
      </top>
      <bottom style="medium">
        <color indexed="64"/>
      </bottom>
      <diagonal/>
    </border>
    <border>
      <left style="medium">
        <color theme="2" tint="-0.499984740745262"/>
      </left>
      <right style="thin">
        <color theme="2" tint="-9.9948118533890809E-2"/>
      </right>
      <top style="thin">
        <color theme="2" tint="-9.9948118533890809E-2"/>
      </top>
      <bottom style="medium">
        <color indexed="64"/>
      </bottom>
      <diagonal/>
    </border>
    <border>
      <left style="thin">
        <color theme="2" tint="-9.9948118533890809E-2"/>
      </left>
      <right style="thin">
        <color theme="2" tint="-9.9917600024414813E-2"/>
      </right>
      <top style="thin">
        <color theme="2" tint="-9.9948118533890809E-2"/>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style="thin">
        <color theme="2" tint="-9.9948118533890809E-2"/>
      </left>
      <right style="medium">
        <color theme="2" tint="-0.499984740745262"/>
      </right>
      <top style="thin">
        <color theme="2" tint="-9.9948118533890809E-2"/>
      </top>
      <bottom style="thin">
        <color theme="2" tint="-9.9948118533890809E-2"/>
      </bottom>
      <diagonal/>
    </border>
    <border>
      <left style="thin">
        <color theme="0" tint="-0.14993743705557422"/>
      </left>
      <right style="thin">
        <color theme="0" tint="-0.14993743705557422"/>
      </right>
      <top style="thin">
        <color theme="0" tint="-0.14993743705557422"/>
      </top>
      <bottom style="medium">
        <color indexed="64"/>
      </bottom>
      <diagonal/>
    </border>
    <border>
      <left style="thin">
        <color theme="2" tint="-9.9948118533890809E-2"/>
      </left>
      <right style="medium">
        <color theme="2" tint="-0.499984740745262"/>
      </right>
      <top style="thin">
        <color theme="2" tint="-9.9948118533890809E-2"/>
      </top>
      <bottom style="medium">
        <color indexed="64"/>
      </bottom>
      <diagonal/>
    </border>
    <border>
      <left style="thin">
        <color theme="0" tint="-0.14993743705557422"/>
      </left>
      <right style="thin">
        <color theme="0" tint="-0.14993743705557422"/>
      </right>
      <top style="medium">
        <color indexed="64"/>
      </top>
      <bottom style="thin">
        <color theme="0" tint="-0.14993743705557422"/>
      </bottom>
      <diagonal/>
    </border>
    <border>
      <left/>
      <right style="thin">
        <color theme="2" tint="-9.9948118533890809E-2"/>
      </right>
      <top style="medium">
        <color indexed="64"/>
      </top>
      <bottom style="thin">
        <color theme="2" tint="-9.9948118533890809E-2"/>
      </bottom>
      <diagonal/>
    </border>
    <border>
      <left style="thin">
        <color theme="2" tint="-9.9948118533890809E-2"/>
      </left>
      <right style="thin">
        <color theme="2" tint="-9.9948118533890809E-2"/>
      </right>
      <top style="medium">
        <color indexed="64"/>
      </top>
      <bottom style="thin">
        <color theme="2" tint="-9.9948118533890809E-2"/>
      </bottom>
      <diagonal/>
    </border>
    <border>
      <left style="thin">
        <color theme="2" tint="-9.9948118533890809E-2"/>
      </left>
      <right style="medium">
        <color theme="2" tint="-0.499984740745262"/>
      </right>
      <top style="medium">
        <color indexed="64"/>
      </top>
      <bottom style="thin">
        <color theme="2" tint="-9.9948118533890809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3743705557422"/>
      </bottom>
      <diagonal/>
    </border>
    <border>
      <left style="thin">
        <color theme="0" tint="-0.14990691854609822"/>
      </left>
      <right/>
      <top style="thin">
        <color theme="0" tint="-0.14990691854609822"/>
      </top>
      <bottom style="thin">
        <color theme="0" tint="-0.14990691854609822"/>
      </bottom>
      <diagonal/>
    </border>
    <border>
      <left/>
      <right style="thin">
        <color theme="0" tint="-0.14990691854609822"/>
      </right>
      <top style="thin">
        <color theme="0" tint="-0.14990691854609822"/>
      </top>
      <bottom style="thin">
        <color theme="0" tint="-0.14990691854609822"/>
      </bottom>
      <diagonal/>
    </border>
    <border>
      <left/>
      <right/>
      <top/>
      <bottom style="thin">
        <color theme="0" tint="-0.14990691854609822"/>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3">
    <xf numFmtId="0" fontId="0" fillId="0" borderId="0"/>
    <xf numFmtId="0" fontId="1" fillId="0" borderId="0" applyNumberFormat="0" applyFill="0" applyBorder="0" applyAlignment="0" applyProtection="0"/>
    <xf numFmtId="0" fontId="4" fillId="0" borderId="0"/>
  </cellStyleXfs>
  <cellXfs count="146">
    <xf numFmtId="0" fontId="0" fillId="0" borderId="0" xfId="0"/>
    <xf numFmtId="0" fontId="2" fillId="0" borderId="0" xfId="0" applyFont="1"/>
    <xf numFmtId="0" fontId="4" fillId="0" borderId="0" xfId="0" applyFont="1"/>
    <xf numFmtId="0" fontId="4" fillId="0" borderId="0" xfId="0" applyFont="1" applyAlignment="1">
      <alignment horizontal="right"/>
    </xf>
    <xf numFmtId="0" fontId="3" fillId="3" borderId="0" xfId="0" applyFont="1" applyFill="1"/>
    <xf numFmtId="0" fontId="5" fillId="2" borderId="0" xfId="0" applyFont="1" applyFill="1" applyAlignment="1">
      <alignment horizontal="left" vertical="center"/>
    </xf>
    <xf numFmtId="0" fontId="6" fillId="0" borderId="0" xfId="1" applyFont="1"/>
    <xf numFmtId="0" fontId="4" fillId="0" borderId="0" xfId="0" applyFont="1" applyBorder="1"/>
    <xf numFmtId="0" fontId="5" fillId="3" borderId="0" xfId="0" applyFont="1" applyFill="1"/>
    <xf numFmtId="0" fontId="5" fillId="3" borderId="0" xfId="0" applyFont="1" applyFill="1" applyAlignment="1">
      <alignment horizontal="center"/>
    </xf>
    <xf numFmtId="0" fontId="4" fillId="0" borderId="0" xfId="0" applyFont="1" applyAlignment="1">
      <alignment wrapText="1"/>
    </xf>
    <xf numFmtId="0" fontId="2" fillId="0" borderId="0" xfId="0" quotePrefix="1" applyFont="1" applyAlignment="1">
      <alignment horizontal="right" vertical="top"/>
    </xf>
    <xf numFmtId="0" fontId="2" fillId="0" borderId="0" xfId="0" applyFont="1" applyAlignment="1">
      <alignment horizontal="right" vertical="top"/>
    </xf>
    <xf numFmtId="0" fontId="4" fillId="0" borderId="0" xfId="0" quotePrefix="1" applyFont="1" applyAlignment="1">
      <alignment horizontal="right" vertical="top"/>
    </xf>
    <xf numFmtId="0" fontId="7" fillId="3" borderId="0" xfId="0" applyFont="1" applyFill="1" applyAlignment="1">
      <alignment horizontal="center" vertical="center"/>
    </xf>
    <xf numFmtId="0" fontId="4" fillId="0" borderId="0" xfId="0" applyFont="1" applyAlignment="1">
      <alignment horizontal="right" vertical="top"/>
    </xf>
    <xf numFmtId="0" fontId="2" fillId="0" borderId="0" xfId="0" applyFont="1" applyAlignment="1">
      <alignment vertical="top"/>
    </xf>
    <xf numFmtId="0" fontId="4" fillId="0" borderId="0" xfId="0" applyFont="1" applyAlignment="1">
      <alignment horizontal="center" vertical="center"/>
    </xf>
    <xf numFmtId="0" fontId="4" fillId="4" borderId="0" xfId="0" applyFont="1" applyFill="1"/>
    <xf numFmtId="0" fontId="4" fillId="4" borderId="0" xfId="0" applyFont="1" applyFill="1" applyAlignment="1">
      <alignment horizontal="right"/>
    </xf>
    <xf numFmtId="0" fontId="8" fillId="0" borderId="0" xfId="0" applyFont="1"/>
    <xf numFmtId="0" fontId="3" fillId="3" borderId="0" xfId="0" applyFont="1" applyFill="1" applyAlignment="1">
      <alignment horizontal="center"/>
    </xf>
    <xf numFmtId="0" fontId="4" fillId="0" borderId="0" xfId="0" applyFont="1" applyBorder="1" applyAlignment="1">
      <alignment horizontal="center"/>
    </xf>
    <xf numFmtId="166" fontId="4" fillId="0" borderId="0" xfId="0" applyNumberFormat="1" applyFont="1" applyBorder="1" applyAlignment="1">
      <alignment horizontal="center"/>
    </xf>
    <xf numFmtId="0" fontId="10" fillId="0" borderId="0" xfId="0" applyFont="1" applyBorder="1" applyAlignment="1">
      <alignment horizontal="center"/>
    </xf>
    <xf numFmtId="0" fontId="8" fillId="2" borderId="0" xfId="0" applyFont="1" applyFill="1"/>
    <xf numFmtId="0" fontId="3" fillId="0" borderId="0" xfId="1" applyFont="1" applyFill="1" applyAlignment="1">
      <alignment horizontal="center"/>
    </xf>
    <xf numFmtId="0" fontId="5" fillId="0" borderId="0" xfId="0" applyFont="1" applyFill="1"/>
    <xf numFmtId="0" fontId="8" fillId="0" borderId="0" xfId="0" applyFont="1" applyBorder="1"/>
    <xf numFmtId="0" fontId="4" fillId="0" borderId="0" xfId="0" applyFont="1" applyAlignment="1">
      <alignment horizontal="center"/>
    </xf>
    <xf numFmtId="0" fontId="3" fillId="3" borderId="0" xfId="0" applyFont="1" applyFill="1" applyAlignment="1">
      <alignment horizontal="center"/>
    </xf>
    <xf numFmtId="0" fontId="9" fillId="0" borderId="4" xfId="0" applyFont="1" applyBorder="1" applyAlignment="1">
      <alignment horizontal="center"/>
    </xf>
    <xf numFmtId="0" fontId="9" fillId="0" borderId="1" xfId="0" applyFont="1" applyBorder="1" applyAlignment="1">
      <alignment horizontal="center"/>
    </xf>
    <xf numFmtId="0" fontId="9" fillId="0" borderId="3" xfId="0" applyFont="1" applyBorder="1" applyAlignment="1">
      <alignment horizontal="center"/>
    </xf>
    <xf numFmtId="0" fontId="9" fillId="0" borderId="8" xfId="0" applyFont="1" applyBorder="1" applyAlignment="1">
      <alignment horizontal="center"/>
    </xf>
    <xf numFmtId="0" fontId="11" fillId="0" borderId="0" xfId="0" applyFont="1" applyBorder="1"/>
    <xf numFmtId="164" fontId="4" fillId="0" borderId="0" xfId="0" applyNumberFormat="1" applyFont="1" applyAlignment="1">
      <alignment horizontal="center"/>
    </xf>
    <xf numFmtId="0" fontId="8" fillId="0" borderId="0" xfId="0" applyFont="1" applyAlignment="1">
      <alignment horizontal="center"/>
    </xf>
    <xf numFmtId="0" fontId="9" fillId="0" borderId="11" xfId="0" applyFont="1" applyBorder="1" applyAlignment="1">
      <alignment horizontal="center"/>
    </xf>
    <xf numFmtId="0" fontId="9" fillId="0" borderId="5" xfId="0" applyFont="1" applyBorder="1" applyAlignment="1">
      <alignment horizontal="center"/>
    </xf>
    <xf numFmtId="0" fontId="4" fillId="0" borderId="2" xfId="0" applyFont="1" applyBorder="1" applyAlignment="1">
      <alignment horizontal="center"/>
    </xf>
    <xf numFmtId="0" fontId="4" fillId="0" borderId="0" xfId="0" applyFont="1" applyAlignment="1">
      <alignment horizontal="center"/>
    </xf>
    <xf numFmtId="0" fontId="4" fillId="0" borderId="2" xfId="0" applyFont="1" applyBorder="1" applyAlignment="1">
      <alignment horizontal="center"/>
    </xf>
    <xf numFmtId="0" fontId="3" fillId="3" borderId="0" xfId="0" applyFont="1" applyFill="1" applyAlignment="1">
      <alignment horizontal="center"/>
    </xf>
    <xf numFmtId="0" fontId="9" fillId="0" borderId="0" xfId="0" applyFont="1"/>
    <xf numFmtId="0" fontId="9" fillId="0" borderId="0" xfId="0" applyFont="1" applyAlignment="1">
      <alignment horizontal="center"/>
    </xf>
    <xf numFmtId="0" fontId="9" fillId="0" borderId="13" xfId="0" applyFont="1" applyBorder="1" applyAlignment="1">
      <alignment horizontal="center"/>
    </xf>
    <xf numFmtId="0" fontId="9" fillId="0" borderId="14" xfId="0" applyFont="1" applyBorder="1" applyAlignment="1">
      <alignment horizontal="center"/>
    </xf>
    <xf numFmtId="0" fontId="9" fillId="0" borderId="15" xfId="0" applyFont="1" applyBorder="1" applyAlignment="1">
      <alignment horizontal="center"/>
    </xf>
    <xf numFmtId="0" fontId="9" fillId="0" borderId="16" xfId="0" applyFont="1" applyBorder="1" applyAlignment="1">
      <alignment horizontal="center"/>
    </xf>
    <xf numFmtId="0" fontId="9" fillId="0" borderId="17" xfId="0" applyFont="1" applyBorder="1" applyAlignment="1">
      <alignment horizontal="center"/>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1" xfId="0" applyFont="1" applyBorder="1" applyAlignment="1">
      <alignment horizontal="center"/>
    </xf>
    <xf numFmtId="0" fontId="8" fillId="0" borderId="22" xfId="0" applyFont="1" applyBorder="1"/>
    <xf numFmtId="0" fontId="8" fillId="0" borderId="23" xfId="0" applyFont="1" applyBorder="1"/>
    <xf numFmtId="0" fontId="9" fillId="0" borderId="24" xfId="0" applyFont="1" applyBorder="1" applyAlignment="1">
      <alignment horizontal="center"/>
    </xf>
    <xf numFmtId="0" fontId="8" fillId="0" borderId="25" xfId="0" applyFont="1" applyBorder="1"/>
    <xf numFmtId="0" fontId="9" fillId="0" borderId="26" xfId="0" applyFont="1" applyBorder="1" applyAlignment="1">
      <alignment horizontal="center"/>
    </xf>
    <xf numFmtId="0" fontId="8" fillId="0" borderId="27" xfId="0" applyFont="1" applyBorder="1"/>
    <xf numFmtId="0" fontId="9" fillId="0" borderId="28" xfId="0" applyFont="1" applyBorder="1" applyAlignment="1">
      <alignment horizontal="center"/>
    </xf>
    <xf numFmtId="0" fontId="9" fillId="0" borderId="29" xfId="0" applyFont="1" applyBorder="1" applyAlignment="1">
      <alignment horizontal="center"/>
    </xf>
    <xf numFmtId="0" fontId="9" fillId="0" borderId="30" xfId="0" applyFont="1" applyBorder="1" applyAlignment="1">
      <alignment horizontal="center"/>
    </xf>
    <xf numFmtId="0" fontId="8" fillId="0" borderId="31" xfId="0" applyFont="1" applyBorder="1"/>
    <xf numFmtId="0" fontId="8" fillId="0" borderId="31" xfId="0" applyFont="1" applyBorder="1" applyAlignment="1">
      <alignment horizontal="center"/>
    </xf>
    <xf numFmtId="0" fontId="8" fillId="2" borderId="0" xfId="0" applyFont="1" applyFill="1" applyAlignment="1"/>
    <xf numFmtId="0" fontId="14" fillId="3" borderId="0" xfId="1" applyFont="1" applyFill="1" applyAlignment="1">
      <alignment vertical="center"/>
    </xf>
    <xf numFmtId="0" fontId="3" fillId="3" borderId="0" xfId="0" applyFont="1" applyFill="1" applyAlignment="1">
      <alignment horizontal="center"/>
    </xf>
    <xf numFmtId="0" fontId="4" fillId="0" borderId="0" xfId="0" applyFont="1" applyAlignment="1">
      <alignment vertical="top" wrapText="1"/>
    </xf>
    <xf numFmtId="0" fontId="4" fillId="0" borderId="0" xfId="0" applyFont="1" applyAlignment="1">
      <alignment horizontal="left" vertical="top" wrapText="1"/>
    </xf>
    <xf numFmtId="164" fontId="2" fillId="0" borderId="2" xfId="0" applyNumberFormat="1" applyFont="1" applyBorder="1" applyAlignment="1">
      <alignment horizontal="center"/>
    </xf>
    <xf numFmtId="0" fontId="4" fillId="5" borderId="9" xfId="0" applyFont="1" applyFill="1" applyBorder="1" applyAlignment="1">
      <alignment horizontal="center"/>
    </xf>
    <xf numFmtId="0" fontId="4" fillId="5" borderId="1" xfId="0" applyFont="1" applyFill="1" applyBorder="1" applyAlignment="1">
      <alignment horizontal="center"/>
    </xf>
    <xf numFmtId="0" fontId="0" fillId="2" borderId="0" xfId="0" applyFill="1"/>
    <xf numFmtId="0" fontId="17" fillId="0" borderId="0" xfId="0" applyFont="1"/>
    <xf numFmtId="0" fontId="5" fillId="2" borderId="0" xfId="0" applyFont="1" applyFill="1" applyAlignment="1">
      <alignment horizontal="center"/>
    </xf>
    <xf numFmtId="0" fontId="4" fillId="0" borderId="0" xfId="0" applyFont="1" applyAlignment="1">
      <alignment vertical="top" wrapText="1"/>
    </xf>
    <xf numFmtId="0" fontId="8" fillId="0" borderId="31" xfId="0" applyFont="1" applyBorder="1" applyAlignment="1">
      <alignment horizontal="center"/>
    </xf>
    <xf numFmtId="0" fontId="18" fillId="0" borderId="0" xfId="0" applyFont="1"/>
    <xf numFmtId="0" fontId="16" fillId="0" borderId="0" xfId="0" applyFont="1" applyAlignment="1">
      <alignment horizontal="centerContinuous"/>
    </xf>
    <xf numFmtId="0" fontId="20" fillId="0" borderId="0" xfId="0" applyFont="1" applyAlignment="1">
      <alignment horizontal="centerContinuous"/>
    </xf>
    <xf numFmtId="0" fontId="15" fillId="0" borderId="0" xfId="0" applyFont="1" applyAlignment="1">
      <alignment vertical="top"/>
    </xf>
    <xf numFmtId="165" fontId="9" fillId="4" borderId="36" xfId="0" applyNumberFormat="1" applyFont="1" applyFill="1" applyBorder="1" applyAlignment="1">
      <alignment horizontal="center"/>
    </xf>
    <xf numFmtId="165" fontId="9" fillId="4" borderId="37" xfId="0" applyNumberFormat="1" applyFont="1" applyFill="1" applyBorder="1" applyAlignment="1">
      <alignment horizontal="center"/>
    </xf>
    <xf numFmtId="0" fontId="4" fillId="0" borderId="37" xfId="0" applyFont="1" applyBorder="1" applyAlignment="1">
      <alignment horizontal="center"/>
    </xf>
    <xf numFmtId="0" fontId="9" fillId="0" borderId="37" xfId="0" applyFont="1" applyBorder="1"/>
    <xf numFmtId="0" fontId="0" fillId="0" borderId="37" xfId="0" applyBorder="1"/>
    <xf numFmtId="165" fontId="9" fillId="4" borderId="38" xfId="0" applyNumberFormat="1" applyFont="1" applyFill="1" applyBorder="1" applyAlignment="1">
      <alignment horizontal="center"/>
    </xf>
    <xf numFmtId="0" fontId="4" fillId="0" borderId="1" xfId="0" applyFont="1" applyBorder="1" applyAlignment="1" applyProtection="1">
      <alignment horizontal="center"/>
      <protection locked="0"/>
    </xf>
    <xf numFmtId="0" fontId="9" fillId="0" borderId="4" xfId="0" applyFont="1" applyBorder="1" applyAlignment="1" applyProtection="1">
      <alignment horizontal="center"/>
      <protection locked="0"/>
    </xf>
    <xf numFmtId="0" fontId="9" fillId="0" borderId="1" xfId="0" applyFont="1" applyBorder="1" applyAlignment="1" applyProtection="1">
      <alignment horizontal="center"/>
      <protection locked="0"/>
    </xf>
    <xf numFmtId="0" fontId="9" fillId="0" borderId="3" xfId="0" applyFont="1" applyBorder="1" applyAlignment="1" applyProtection="1">
      <alignment horizontal="center"/>
      <protection locked="0"/>
    </xf>
    <xf numFmtId="0" fontId="9" fillId="0" borderId="8" xfId="0" applyFont="1" applyBorder="1" applyAlignment="1" applyProtection="1">
      <alignment horizontal="center"/>
      <protection locked="0"/>
    </xf>
    <xf numFmtId="0" fontId="10" fillId="0" borderId="4"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9" fillId="0" borderId="12" xfId="0" applyFont="1" applyBorder="1" applyAlignment="1" applyProtection="1">
      <alignment horizontal="center"/>
      <protection locked="0"/>
    </xf>
    <xf numFmtId="0" fontId="9" fillId="0" borderId="10" xfId="0" applyFont="1" applyBorder="1" applyAlignment="1" applyProtection="1">
      <alignment horizontal="center"/>
      <protection locked="0"/>
    </xf>
    <xf numFmtId="0" fontId="9" fillId="0" borderId="11" xfId="0" applyFont="1" applyBorder="1" applyAlignment="1" applyProtection="1">
      <alignment horizontal="center"/>
      <protection locked="0"/>
    </xf>
    <xf numFmtId="0" fontId="9" fillId="0" borderId="5" xfId="0" applyFont="1" applyBorder="1" applyAlignment="1" applyProtection="1">
      <alignment horizontal="center"/>
      <protection locked="0"/>
    </xf>
    <xf numFmtId="0" fontId="4" fillId="0" borderId="1" xfId="0" applyFont="1" applyBorder="1" applyAlignment="1" applyProtection="1">
      <alignment horizontal="center"/>
    </xf>
    <xf numFmtId="166" fontId="4" fillId="0" borderId="1" xfId="0" applyNumberFormat="1" applyFont="1" applyFill="1" applyBorder="1" applyAlignment="1" applyProtection="1">
      <alignment horizontal="center"/>
    </xf>
    <xf numFmtId="166" fontId="4" fillId="0" borderId="1" xfId="0" applyNumberFormat="1" applyFont="1" applyBorder="1" applyAlignment="1" applyProtection="1">
      <alignment horizontal="center"/>
    </xf>
    <xf numFmtId="0" fontId="4" fillId="0" borderId="9" xfId="0" applyFont="1" applyBorder="1" applyAlignment="1" applyProtection="1">
      <alignment horizontal="center"/>
      <protection locked="0"/>
    </xf>
    <xf numFmtId="0" fontId="4" fillId="0" borderId="0" xfId="0" applyFont="1" applyAlignment="1">
      <alignment horizontal="left"/>
    </xf>
    <xf numFmtId="0" fontId="18" fillId="0" borderId="31" xfId="0" applyFont="1" applyBorder="1"/>
    <xf numFmtId="0" fontId="4" fillId="0" borderId="0" xfId="0" applyFont="1" applyAlignment="1">
      <alignment vertical="top" wrapText="1"/>
    </xf>
    <xf numFmtId="0" fontId="15" fillId="0" borderId="0" xfId="0" applyFont="1" applyAlignment="1">
      <alignment horizontal="left" vertical="top"/>
    </xf>
    <xf numFmtId="0" fontId="2" fillId="0" borderId="0" xfId="0" applyFont="1" applyAlignment="1">
      <alignment horizontal="left" vertical="center" wrapText="1"/>
    </xf>
    <xf numFmtId="0" fontId="4" fillId="0" borderId="0" xfId="0" applyFont="1" applyAlignment="1">
      <alignment horizontal="center"/>
    </xf>
    <xf numFmtId="0" fontId="4" fillId="0" borderId="0" xfId="0" applyFont="1" applyAlignment="1">
      <alignment wrapText="1"/>
    </xf>
    <xf numFmtId="0" fontId="2" fillId="0" borderId="0" xfId="0" applyFont="1" applyAlignment="1">
      <alignment horizontal="left" vertical="top"/>
    </xf>
    <xf numFmtId="0" fontId="4" fillId="0" borderId="0" xfId="0" applyFont="1" applyAlignment="1">
      <alignment horizontal="left" vertical="top" wrapText="1"/>
    </xf>
    <xf numFmtId="0" fontId="2" fillId="0" borderId="0" xfId="0" applyFont="1" applyAlignment="1">
      <alignment horizontal="left" vertical="top" wrapText="1"/>
    </xf>
    <xf numFmtId="0" fontId="15" fillId="0" borderId="0" xfId="0" applyFont="1" applyAlignment="1">
      <alignment horizontal="left" vertical="top" wrapText="1"/>
    </xf>
    <xf numFmtId="0" fontId="4" fillId="5" borderId="6" xfId="0" applyFont="1" applyFill="1" applyBorder="1" applyAlignment="1">
      <alignment horizontal="center"/>
    </xf>
    <xf numFmtId="0" fontId="4" fillId="5" borderId="7" xfId="0" applyFont="1" applyFill="1" applyBorder="1" applyAlignment="1">
      <alignment horizontal="center"/>
    </xf>
    <xf numFmtId="0" fontId="14" fillId="2" borderId="0" xfId="1" applyFont="1" applyFill="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164" fontId="4" fillId="0" borderId="0" xfId="0" applyNumberFormat="1" applyFont="1" applyAlignment="1">
      <alignment horizontal="center"/>
    </xf>
    <xf numFmtId="0" fontId="12" fillId="0" borderId="0" xfId="0" applyFont="1" applyAlignment="1" applyProtection="1">
      <alignment horizontal="left"/>
      <protection locked="0"/>
    </xf>
    <xf numFmtId="0" fontId="4" fillId="0" borderId="0" xfId="0" applyFont="1" applyAlignment="1" applyProtection="1">
      <alignment horizontal="left"/>
      <protection locked="0"/>
    </xf>
    <xf numFmtId="164" fontId="4" fillId="0" borderId="0" xfId="0" applyNumberFormat="1" applyFont="1" applyAlignment="1" applyProtection="1">
      <alignment horizontal="center"/>
      <protection locked="0"/>
    </xf>
    <xf numFmtId="0" fontId="8" fillId="0" borderId="0" xfId="0" applyFont="1" applyAlignment="1">
      <alignment horizontal="center"/>
    </xf>
    <xf numFmtId="0" fontId="8" fillId="2" borderId="0" xfId="0" applyFont="1" applyFill="1" applyAlignment="1">
      <alignment horizontal="center"/>
    </xf>
    <xf numFmtId="0" fontId="8" fillId="0" borderId="33" xfId="0" applyFont="1" applyBorder="1" applyAlignment="1" applyProtection="1">
      <alignment horizontal="center"/>
      <protection locked="0"/>
    </xf>
    <xf numFmtId="0" fontId="8" fillId="0" borderId="34" xfId="0" applyFont="1" applyBorder="1" applyAlignment="1" applyProtection="1">
      <alignment horizontal="center"/>
      <protection locked="0"/>
    </xf>
    <xf numFmtId="0" fontId="16" fillId="0" borderId="35" xfId="0" applyFont="1" applyBorder="1" applyAlignment="1">
      <alignment horizontal="center"/>
    </xf>
    <xf numFmtId="0" fontId="2" fillId="0" borderId="2" xfId="0" applyFont="1" applyBorder="1" applyAlignment="1">
      <alignment horizontal="center"/>
    </xf>
    <xf numFmtId="0" fontId="12" fillId="0" borderId="0" xfId="0" applyFont="1" applyAlignment="1">
      <alignment horizontal="center"/>
    </xf>
    <xf numFmtId="0" fontId="11" fillId="0" borderId="0" xfId="0" applyFont="1" applyAlignment="1" applyProtection="1">
      <alignment horizontal="center" vertical="center"/>
      <protection locked="0"/>
    </xf>
    <xf numFmtId="0" fontId="8" fillId="0" borderId="22" xfId="0" applyFont="1" applyBorder="1" applyAlignment="1" applyProtection="1">
      <alignment horizontal="center" vertical="center"/>
      <protection locked="0"/>
    </xf>
    <xf numFmtId="0" fontId="8" fillId="0" borderId="25" xfId="0" applyFont="1" applyBorder="1" applyAlignment="1" applyProtection="1">
      <alignment horizontal="center" vertical="center"/>
      <protection locked="0"/>
    </xf>
    <xf numFmtId="0" fontId="8" fillId="0" borderId="27" xfId="0" applyFont="1" applyBorder="1" applyAlignment="1" applyProtection="1">
      <alignment horizontal="center" vertical="center"/>
      <protection locked="0"/>
    </xf>
    <xf numFmtId="0" fontId="8" fillId="0" borderId="23" xfId="0" applyFont="1" applyBorder="1" applyAlignment="1" applyProtection="1">
      <alignment horizontal="center" vertical="center"/>
      <protection locked="0"/>
    </xf>
    <xf numFmtId="0" fontId="16" fillId="0" borderId="32" xfId="0" applyFont="1" applyBorder="1" applyAlignment="1">
      <alignment horizontal="center"/>
    </xf>
    <xf numFmtId="0" fontId="5" fillId="3" borderId="0" xfId="1" applyFont="1" applyFill="1" applyAlignment="1">
      <alignment horizontal="center"/>
    </xf>
    <xf numFmtId="0" fontId="5" fillId="3" borderId="0" xfId="0" applyFont="1" applyFill="1" applyAlignment="1">
      <alignment horizontal="right"/>
    </xf>
    <xf numFmtId="0" fontId="19" fillId="0" borderId="31" xfId="0" applyFont="1" applyBorder="1" applyAlignment="1">
      <alignment horizontal="center"/>
    </xf>
    <xf numFmtId="0" fontId="12" fillId="0" borderId="0" xfId="0" applyFont="1" applyAlignment="1">
      <alignment horizontal="left"/>
    </xf>
    <xf numFmtId="0" fontId="4" fillId="0" borderId="0" xfId="0" applyFont="1" applyAlignment="1">
      <alignment horizontal="left"/>
    </xf>
    <xf numFmtId="0" fontId="4" fillId="0" borderId="0" xfId="2"/>
    <xf numFmtId="0" fontId="2" fillId="0" borderId="0" xfId="0" applyFont="1" applyAlignment="1">
      <alignment horizontal="right"/>
    </xf>
    <xf numFmtId="0" fontId="1" fillId="0" borderId="0" xfId="1"/>
  </cellXfs>
  <cellStyles count="3">
    <cellStyle name="Hyperlink" xfId="1" builtinId="8"/>
    <cellStyle name="Normal" xfId="0" builtinId="0"/>
    <cellStyle name="Normal 2 2" xfId="2" xr:uid="{C54ECF9A-DD78-4D04-BAB3-B65BDA9D1785}"/>
  </cellStyles>
  <dxfs count="51">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0"/>
        <name val="Arial"/>
        <family val="2"/>
        <scheme val="none"/>
      </font>
      <fill>
        <patternFill patternType="solid">
          <fgColor indexed="64"/>
          <bgColor rgb="FF50B47F"/>
        </patternFill>
      </fill>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alignment horizontal="center"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b/>
        <strike val="0"/>
        <outline val="0"/>
        <shadow val="0"/>
        <u val="none"/>
        <vertAlign val="baseline"/>
        <sz val="10"/>
        <color theme="0"/>
        <name val="Arial"/>
        <family val="2"/>
        <scheme val="none"/>
      </font>
      <fill>
        <patternFill patternType="solid">
          <fgColor indexed="64"/>
          <bgColor rgb="FF50B47F"/>
        </patternFill>
      </fill>
    </dxf>
    <dxf>
      <fill>
        <patternFill>
          <bgColor theme="5" tint="0.59996337778862885"/>
        </patternFill>
      </fill>
    </dxf>
    <dxf>
      <fill>
        <patternFill patternType="none">
          <fgColor indexed="64"/>
          <bgColor auto="1"/>
        </patternFill>
      </fill>
    </dxf>
    <dxf>
      <fill>
        <patternFill patternType="none">
          <fgColor indexed="64"/>
          <bgColor auto="1"/>
        </patternFill>
      </fill>
    </dxf>
    <dxf>
      <font>
        <b/>
        <color theme="1"/>
      </font>
    </dxf>
    <dxf>
      <font>
        <b/>
        <color theme="1"/>
      </font>
    </dxf>
    <dxf>
      <font>
        <b/>
        <color theme="1"/>
      </font>
      <border>
        <top style="double">
          <color theme="9"/>
        </top>
      </border>
    </dxf>
    <dxf>
      <font>
        <b/>
        <color theme="0"/>
      </font>
      <fill>
        <patternFill patternType="solid">
          <fgColor theme="9"/>
          <bgColor theme="9" tint="-0.24994659260841701"/>
        </patternFill>
      </fill>
    </dxf>
    <dxf>
      <font>
        <color theme="1"/>
      </font>
      <border>
        <left style="thin">
          <color theme="9" tint="0.39997558519241921"/>
        </left>
        <right style="thin">
          <color theme="9" tint="0.39997558519241921"/>
        </right>
        <top style="thin">
          <color theme="9" tint="0.39997558519241921"/>
        </top>
        <bottom style="thin">
          <color theme="9" tint="0.39997558519241921"/>
        </bottom>
        <vertical style="thin">
          <color theme="9" tint="0.39994506668294322"/>
        </vertical>
        <horizontal style="thin">
          <color theme="9" tint="0.399975585192419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vertical style="thin">
          <color theme="4" tint="0.39994506668294322"/>
        </vertical>
        <horizontal style="thin">
          <color theme="4" tint="0.39997558519241921"/>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0"/>
      </font>
      <fill>
        <patternFill>
          <bgColor theme="8"/>
        </patternFill>
      </fill>
      <border>
        <bottom style="medium">
          <color theme="8"/>
        </bottom>
      </border>
    </dxf>
    <dxf>
      <font>
        <color theme="1"/>
      </font>
      <border>
        <left style="thin">
          <color theme="8"/>
        </left>
        <right style="thin">
          <color theme="8"/>
        </right>
        <top style="thin">
          <color theme="8"/>
        </top>
        <bottom style="thin">
          <color theme="8"/>
        </bottom>
        <vertical style="thin">
          <color theme="8"/>
        </vertical>
        <horizontal style="thin">
          <color theme="8"/>
        </horizontal>
      </border>
    </dxf>
    <dxf>
      <border>
        <left style="thin">
          <color theme="8"/>
        </left>
      </border>
    </dxf>
    <dxf>
      <border>
        <left style="thin">
          <color theme="8"/>
        </left>
      </border>
    </dxf>
    <dxf>
      <border>
        <top style="thin">
          <color theme="8"/>
        </top>
      </border>
    </dxf>
    <dxf>
      <border>
        <top style="thin">
          <color theme="8"/>
        </top>
      </border>
    </dxf>
    <dxf>
      <font>
        <b/>
        <color theme="1"/>
      </font>
    </dxf>
    <dxf>
      <font>
        <b/>
        <color theme="1"/>
      </font>
    </dxf>
    <dxf>
      <font>
        <b/>
        <color theme="1"/>
      </font>
      <border>
        <top style="double">
          <color theme="8"/>
        </top>
      </border>
    </dxf>
    <dxf>
      <font>
        <b/>
        <color theme="0"/>
      </font>
      <fill>
        <patternFill patternType="solid">
          <fgColor theme="8"/>
          <bgColor theme="8"/>
        </patternFill>
      </fill>
    </dxf>
    <dxf>
      <font>
        <color theme="1"/>
      </font>
      <border>
        <left style="thin">
          <color theme="8"/>
        </left>
        <right style="thin">
          <color theme="8"/>
        </right>
        <top style="thin">
          <color theme="8"/>
        </top>
        <bottom style="thin">
          <color theme="8"/>
        </bottom>
        <vertical style="thin">
          <color theme="8"/>
        </vertical>
      </border>
    </dxf>
    <dxf>
      <fill>
        <patternFill>
          <bgColor theme="3" tint="0.5999633777886288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color auto="1"/>
      </font>
      <fill>
        <patternFill>
          <bgColor rgb="FF8FCFAD"/>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7" defaultTableStyle="Table Style 1" defaultPivotStyle="PivotStyleLight16">
    <tableStyle name="Invisible" pivot="0" table="0" count="0" xr9:uid="{9F036AEF-8C0A-4806-A4A5-7228CC102E48}"/>
    <tableStyle name="Table Style 1" pivot="0" count="3" xr9:uid="{5AAE94EE-150C-4152-921F-DE85E220638E}">
      <tableStyleElement type="wholeTable" dxfId="50"/>
      <tableStyleElement type="headerRow" dxfId="49"/>
      <tableStyleElement type="firstRowStripe" dxfId="48"/>
    </tableStyle>
    <tableStyle name="Table Style 2" pivot="0" count="1" xr9:uid="{11647E38-90CD-4192-A57D-C8540A76FD7C}">
      <tableStyleElement type="secondRowStripe" dxfId="47"/>
    </tableStyle>
    <tableStyle name="TableStyleLight13 2" pivot="0" count="9" xr9:uid="{7E74FE09-7DF2-4621-914C-F0AAEA43D7F7}">
      <tableStyleElement type="wholeTable" dxfId="46"/>
      <tableStyleElement type="headerRow" dxfId="45"/>
      <tableStyleElement type="totalRow" dxfId="44"/>
      <tableStyleElement type="firstColumn" dxfId="43"/>
      <tableStyleElement type="lastColumn" dxfId="42"/>
      <tableStyleElement type="firstRowStripe" dxfId="41"/>
      <tableStyleElement type="secondRowStripe" dxfId="40"/>
      <tableStyleElement type="firstColumnStripe" dxfId="39"/>
      <tableStyleElement type="secondColumnStripe" dxfId="38"/>
    </tableStyle>
    <tableStyle name="TableStyleLight20 2" pivot="0" count="7" xr9:uid="{EB32E5AB-7E3C-4F62-83D3-45465957DF28}">
      <tableStyleElement type="wholeTable" dxfId="37"/>
      <tableStyleElement type="headerRow" dxfId="36"/>
      <tableStyleElement type="totalRow" dxfId="35"/>
      <tableStyleElement type="firstColumn" dxfId="34"/>
      <tableStyleElement type="lastColumn" dxfId="33"/>
      <tableStyleElement type="firstRowStripe" dxfId="32"/>
      <tableStyleElement type="firstColumnStripe" dxfId="31"/>
    </tableStyle>
    <tableStyle name="TableStyleMedium2 2" pivot="0" count="7" xr9:uid="{6C092B95-A62D-4DB6-A44A-786BF93E20DD}">
      <tableStyleElement type="wholeTable" dxfId="30"/>
      <tableStyleElement type="headerRow" dxfId="29"/>
      <tableStyleElement type="totalRow" dxfId="28"/>
      <tableStyleElement type="firstColumn" dxfId="27"/>
      <tableStyleElement type="lastColumn" dxfId="26"/>
      <tableStyleElement type="firstRowStripe" dxfId="25"/>
      <tableStyleElement type="firstColumnStripe" dxfId="24"/>
    </tableStyle>
    <tableStyle name="TableStyleMedium7 2" pivot="0" count="7" xr9:uid="{6F8806F5-6040-4B91-A46F-0E8D69DB2B40}">
      <tableStyleElement type="wholeTable" dxfId="23"/>
      <tableStyleElement type="headerRow" dxfId="22"/>
      <tableStyleElement type="totalRow" dxfId="21"/>
      <tableStyleElement type="firstColumn" dxfId="20"/>
      <tableStyleElement type="lastColumn" dxfId="19"/>
      <tableStyleElement type="firstRowStripe" dxfId="18"/>
      <tableStyleElement type="firstColumnStripe" dxfId="17"/>
    </tableStyle>
  </tableStyles>
  <colors>
    <mruColors>
      <color rgb="FF50B47F"/>
      <color rgb="FF8FCFAD"/>
      <color rgb="FFFFC5C5"/>
      <color rgb="FFFFEFEF"/>
      <color rgb="FFFF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C$8" lockText="1" noThreeD="1"/>
</file>

<file path=xl/ctrlProps/ctrlProp3.xml><?xml version="1.0" encoding="utf-8"?>
<formControlPr xmlns="http://schemas.microsoft.com/office/spreadsheetml/2009/9/main" objectType="CheckBox" checked="Checked" fmlaLink="$C$9" lockText="1" noThreeD="1"/>
</file>

<file path=xl/ctrlProps/ctrlProp4.xml><?xml version="1.0" encoding="utf-8"?>
<formControlPr xmlns="http://schemas.microsoft.com/office/spreadsheetml/2009/9/main" objectType="CheckBox" checked="Checked" fmlaLink="$C$10" lockText="1" noThreeD="1"/>
</file>

<file path=xl/ctrlProps/ctrlProp5.xml><?xml version="1.0" encoding="utf-8"?>
<formControlPr xmlns="http://schemas.microsoft.com/office/spreadsheetml/2009/9/main" objectType="CheckBox" checked="Checked" fmlaLink="$C$1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7</xdr:col>
      <xdr:colOff>47623</xdr:colOff>
      <xdr:row>44</xdr:row>
      <xdr:rowOff>19050</xdr:rowOff>
    </xdr:from>
    <xdr:to>
      <xdr:col>11</xdr:col>
      <xdr:colOff>95250</xdr:colOff>
      <xdr:row>48</xdr:row>
      <xdr:rowOff>38100</xdr:rowOff>
    </xdr:to>
    <xdr:grpSp>
      <xdr:nvGrpSpPr>
        <xdr:cNvPr id="2" name="Group 1">
          <a:extLst>
            <a:ext uri="{FF2B5EF4-FFF2-40B4-BE49-F238E27FC236}">
              <a16:creationId xmlns:a16="http://schemas.microsoft.com/office/drawing/2014/main" id="{8D194081-72DB-41C4-A1E7-482FC779A215}"/>
            </a:ext>
          </a:extLst>
        </xdr:cNvPr>
        <xdr:cNvGrpSpPr/>
      </xdr:nvGrpSpPr>
      <xdr:grpSpPr>
        <a:xfrm>
          <a:off x="4259790" y="13417550"/>
          <a:ext cx="7794627" cy="654050"/>
          <a:chOff x="4257674" y="8324850"/>
          <a:chExt cx="7353301" cy="666750"/>
        </a:xfrm>
      </xdr:grpSpPr>
      <xdr:pic>
        <xdr:nvPicPr>
          <xdr:cNvPr id="3" name="Picture 2">
            <a:extLst>
              <a:ext uri="{FF2B5EF4-FFF2-40B4-BE49-F238E27FC236}">
                <a16:creationId xmlns:a16="http://schemas.microsoft.com/office/drawing/2014/main" id="{1CC545AA-F2F9-4080-A987-674CDD20B2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4" name="Rectangle 3">
            <a:extLst>
              <a:ext uri="{FF2B5EF4-FFF2-40B4-BE49-F238E27FC236}">
                <a16:creationId xmlns:a16="http://schemas.microsoft.com/office/drawing/2014/main" id="{8A7A436A-D24A-4AAC-9E43-0F3BA66C60FD}"/>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70E6F717-58B6-4ACA-910B-7B3CBC1F9FBA}"/>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66673</xdr:colOff>
      <xdr:row>52</xdr:row>
      <xdr:rowOff>95250</xdr:rowOff>
    </xdr:from>
    <xdr:to>
      <xdr:col>11</xdr:col>
      <xdr:colOff>114300</xdr:colOff>
      <xdr:row>56</xdr:row>
      <xdr:rowOff>114300</xdr:rowOff>
    </xdr:to>
    <xdr:grpSp>
      <xdr:nvGrpSpPr>
        <xdr:cNvPr id="6" name="Group 5">
          <a:extLst>
            <a:ext uri="{FF2B5EF4-FFF2-40B4-BE49-F238E27FC236}">
              <a16:creationId xmlns:a16="http://schemas.microsoft.com/office/drawing/2014/main" id="{4577FAE7-ACD5-43C4-93A9-142D113E4920}"/>
            </a:ext>
          </a:extLst>
        </xdr:cNvPr>
        <xdr:cNvGrpSpPr/>
      </xdr:nvGrpSpPr>
      <xdr:grpSpPr>
        <a:xfrm>
          <a:off x="4278840" y="14827250"/>
          <a:ext cx="7794627" cy="654050"/>
          <a:chOff x="4276724" y="9696450"/>
          <a:chExt cx="7353301" cy="666750"/>
        </a:xfrm>
      </xdr:grpSpPr>
      <xdr:pic>
        <xdr:nvPicPr>
          <xdr:cNvPr id="7" name="Picture 6">
            <a:extLst>
              <a:ext uri="{FF2B5EF4-FFF2-40B4-BE49-F238E27FC236}">
                <a16:creationId xmlns:a16="http://schemas.microsoft.com/office/drawing/2014/main" id="{6E363756-353B-4C7D-B99A-DEC0A009D5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8" name="Rectangle 7">
            <a:extLst>
              <a:ext uri="{FF2B5EF4-FFF2-40B4-BE49-F238E27FC236}">
                <a16:creationId xmlns:a16="http://schemas.microsoft.com/office/drawing/2014/main" id="{0B294926-D73C-4C22-9138-C9AAF7835CD9}"/>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241300</xdr:colOff>
      <xdr:row>1</xdr:row>
      <xdr:rowOff>50799</xdr:rowOff>
    </xdr:from>
    <xdr:to>
      <xdr:col>5</xdr:col>
      <xdr:colOff>127534</xdr:colOff>
      <xdr:row>3</xdr:row>
      <xdr:rowOff>21395</xdr:rowOff>
    </xdr:to>
    <xdr:pic>
      <xdr:nvPicPr>
        <xdr:cNvPr id="2" name="Picture 1" descr="final-logo-example | Logos By Nick">
          <a:extLst>
            <a:ext uri="{FF2B5EF4-FFF2-40B4-BE49-F238E27FC236}">
              <a16:creationId xmlns:a16="http://schemas.microsoft.com/office/drawing/2014/main" id="{00000000-0008-0000-01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778" t="23976" r="15926" b="25438"/>
        <a:stretch/>
      </xdr:blipFill>
      <xdr:spPr bwMode="auto">
        <a:xfrm>
          <a:off x="1862667" y="50799"/>
          <a:ext cx="1895165" cy="355601"/>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mc:AlternateContent xmlns:mc="http://schemas.openxmlformats.org/markup-compatibility/2006">
    <mc:Choice xmlns:a14="http://schemas.microsoft.com/office/drawing/2010/main" Requires="a14">
      <xdr:twoCellAnchor>
        <xdr:from>
          <xdr:col>0</xdr:col>
          <xdr:colOff>114300</xdr:colOff>
          <xdr:row>3</xdr:row>
          <xdr:rowOff>0</xdr:rowOff>
        </xdr:from>
        <xdr:to>
          <xdr:col>1</xdr:col>
          <xdr:colOff>209550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Schedule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52069</xdr:rowOff>
    </xdr:from>
    <xdr:to>
      <xdr:col>3</xdr:col>
      <xdr:colOff>479441</xdr:colOff>
      <xdr:row>4</xdr:row>
      <xdr:rowOff>131127</xdr:rowOff>
    </xdr:to>
    <xdr:pic>
      <xdr:nvPicPr>
        <xdr:cNvPr id="2" name="Picture 1" descr="final-logo-example | Logos By Nick">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778" t="23976" r="15926" b="25438"/>
        <a:stretch/>
      </xdr:blipFill>
      <xdr:spPr bwMode="auto">
        <a:xfrm>
          <a:off x="0" y="228457"/>
          <a:ext cx="3272628" cy="639376"/>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219075</xdr:colOff>
          <xdr:row>6</xdr:row>
          <xdr:rowOff>152400</xdr:rowOff>
        </xdr:from>
        <xdr:to>
          <xdr:col>2</xdr:col>
          <xdr:colOff>485775</xdr:colOff>
          <xdr:row>8</xdr:row>
          <xdr:rowOff>28575</xdr:rowOff>
        </xdr:to>
        <xdr:sp macro="" textlink="">
          <xdr:nvSpPr>
            <xdr:cNvPr id="5135" name="CheckBox1"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7</xdr:row>
          <xdr:rowOff>171450</xdr:rowOff>
        </xdr:from>
        <xdr:to>
          <xdr:col>2</xdr:col>
          <xdr:colOff>466725</xdr:colOff>
          <xdr:row>9</xdr:row>
          <xdr:rowOff>38100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xdr:row>
          <xdr:rowOff>161925</xdr:rowOff>
        </xdr:from>
        <xdr:to>
          <xdr:col>2</xdr:col>
          <xdr:colOff>457200</xdr:colOff>
          <xdr:row>10</xdr:row>
          <xdr:rowOff>19050</xdr:rowOff>
        </xdr:to>
        <xdr:sp macro="" textlink="">
          <xdr:nvSpPr>
            <xdr:cNvPr id="5139" name="CheckBox3"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12</xdr:row>
          <xdr:rowOff>152400</xdr:rowOff>
        </xdr:from>
        <xdr:to>
          <xdr:col>2</xdr:col>
          <xdr:colOff>457200</xdr:colOff>
          <xdr:row>14</xdr:row>
          <xdr:rowOff>19050</xdr:rowOff>
        </xdr:to>
        <xdr:sp macro="" textlink="">
          <xdr:nvSpPr>
            <xdr:cNvPr id="5141" name="CheckBox5"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687FF3-837F-44FE-BFE2-300CB3BA6796}" name="Employees" displayName="Employees" ref="B4:D104" totalsRowShown="0" headerRowDxfId="15" dataDxfId="14">
  <autoFilter ref="B4:D104" xr:uid="{ED4C0A77-AFBF-4C4E-A07A-78776AECDBFF}">
    <filterColumn colId="0" hiddenButton="1"/>
    <filterColumn colId="1" hiddenButton="1"/>
    <filterColumn colId="2" hiddenButton="1"/>
  </autoFilter>
  <tableColumns count="3">
    <tableColumn id="1" xr3:uid="{854701C7-9091-42A7-BD0A-09CF9F3886C6}" name="Employee Names" dataDxfId="13"/>
    <tableColumn id="4" xr3:uid="{9F6CB231-A2A8-4B99-B7C0-A6E29319F4CB}" name="Employment Type" dataDxfId="12"/>
    <tableColumn id="5" xr3:uid="{81118F3E-AB07-4A35-AD91-C7350AB82A33}" name="Employee Role" dataDxfId="11"/>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28B7C8-E410-4CAE-8F87-766742DA73B4}" name="tblWk" displayName="tblWk" ref="F4:H11" totalsRowShown="0" headerRowDxfId="10" dataDxfId="9">
  <autoFilter ref="F4:H11" xr:uid="{A2FA49C5-8E14-443C-8A1E-6B6F1A014C8D}">
    <filterColumn colId="0" hiddenButton="1"/>
    <filterColumn colId="1" hiddenButton="1"/>
    <filterColumn colId="2" hiddenButton="1"/>
  </autoFilter>
  <tableColumns count="3">
    <tableColumn id="1" xr3:uid="{2F270ED3-C6F5-4A5C-8689-AA70D3DE0CEB}" name="Option 1" dataDxfId="8"/>
    <tableColumn id="2" xr3:uid="{562BC332-F4BE-46CC-8966-82636A19ED12}" name="Option 2" dataDxfId="7"/>
    <tableColumn id="3" xr3:uid="{D9852CE5-57E0-4A55-962F-6B0E2212410A}" name="Option 3" dataDxfId="6"/>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CECB92-8FD5-4C71-89AD-C926FF64FF34}" name="tblERT" displayName="tblERT" ref="J4:J11" totalsRowShown="0" headerRowDxfId="5" dataDxfId="4">
  <autoFilter ref="J4:J11" xr:uid="{EB05695C-2F9E-4E21-91FE-8CC38A917C88}">
    <filterColumn colId="0" hiddenButton="1"/>
  </autoFilter>
  <tableColumns count="1">
    <tableColumn id="1" xr3:uid="{E6807A0C-A457-4B7C-88DD-850E353922C2}" name="Employee Role Types" dataDxfId="3"/>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9E5774-1B57-4921-A096-0EFC61E07A96}" name="Table2" displayName="Table2" ref="L4:L10" totalsRowShown="0" headerRowDxfId="2" dataDxfId="1">
  <autoFilter ref="L4:L10" xr:uid="{6FA8C3DD-762E-4A04-888F-848B9EFA2E27}">
    <filterColumn colId="0" hiddenButton="1"/>
  </autoFilter>
  <tableColumns count="1">
    <tableColumn id="1" xr3:uid="{47C29AF1-7869-4676-BCBD-52D2B9F977DF}" name="Total # of Employees"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simplesheets.co/"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852BE-66BB-4034-8FF4-D25A61864FC8}">
  <sheetPr codeName="Sheet2"/>
  <dimension ref="B2:Y63"/>
  <sheetViews>
    <sheetView showGridLines="0" showRowColHeaders="0" tabSelected="1" zoomScale="90" zoomScaleNormal="90" workbookViewId="0">
      <selection activeCell="N47" sqref="N47"/>
    </sheetView>
  </sheetViews>
  <sheetFormatPr defaultColWidth="9" defaultRowHeight="12.75" x14ac:dyDescent="0.2"/>
  <cols>
    <col min="1" max="1" width="3.5703125" style="2" customWidth="1"/>
    <col min="2" max="2" width="0.85546875" style="4" customWidth="1"/>
    <col min="3" max="3" width="22.5703125" style="4" customWidth="1"/>
    <col min="4" max="4" width="0.85546875" style="4" customWidth="1"/>
    <col min="5" max="5" width="3.5703125" style="2" customWidth="1"/>
    <col min="6" max="6" width="17.5703125" style="2" customWidth="1"/>
    <col min="7" max="7" width="14.140625" style="2" customWidth="1"/>
    <col min="8" max="8" width="6.7109375" style="2" customWidth="1"/>
    <col min="9" max="9" width="91.42578125" style="2" customWidth="1"/>
    <col min="10" max="10" width="9" style="2" customWidth="1"/>
    <col min="11" max="16384" width="9" style="2"/>
  </cols>
  <sheetData>
    <row r="2" spans="3:9" x14ac:dyDescent="0.2">
      <c r="C2" s="14" t="s">
        <v>0</v>
      </c>
      <c r="F2" s="1" t="s">
        <v>1</v>
      </c>
      <c r="H2" s="1" t="s">
        <v>74</v>
      </c>
    </row>
    <row r="4" spans="3:9" ht="15" x14ac:dyDescent="0.2">
      <c r="C4" s="67" t="s">
        <v>62</v>
      </c>
      <c r="F4" s="1" t="s">
        <v>2</v>
      </c>
      <c r="H4" s="111" t="s">
        <v>11</v>
      </c>
      <c r="I4" s="111"/>
    </row>
    <row r="5" spans="3:9" ht="26.1" customHeight="1" x14ac:dyDescent="0.2">
      <c r="C5" s="67" t="s">
        <v>67</v>
      </c>
      <c r="H5" s="111" t="s">
        <v>9</v>
      </c>
      <c r="I5" s="111"/>
    </row>
    <row r="6" spans="3:9" ht="20.100000000000001" customHeight="1" x14ac:dyDescent="0.2">
      <c r="C6" s="67" t="s">
        <v>72</v>
      </c>
      <c r="H6" s="111" t="s">
        <v>86</v>
      </c>
      <c r="I6" s="111"/>
    </row>
    <row r="7" spans="3:9" ht="20.100000000000001" customHeight="1" x14ac:dyDescent="0.2">
      <c r="C7" s="67" t="s">
        <v>63</v>
      </c>
      <c r="H7" s="10"/>
      <c r="I7" s="10"/>
    </row>
    <row r="8" spans="3:9" ht="20.100000000000001" customHeight="1" x14ac:dyDescent="0.2">
      <c r="F8" s="1" t="s">
        <v>3</v>
      </c>
      <c r="H8" s="2">
        <v>2</v>
      </c>
    </row>
    <row r="10" spans="3:9" x14ac:dyDescent="0.2">
      <c r="F10" s="1" t="s">
        <v>4</v>
      </c>
    </row>
    <row r="11" spans="3:9" ht="27.95" customHeight="1" x14ac:dyDescent="0.2">
      <c r="G11" s="11" t="s">
        <v>62</v>
      </c>
      <c r="H11" s="107" t="s">
        <v>91</v>
      </c>
      <c r="I11" s="107"/>
    </row>
    <row r="12" spans="3:9" ht="55.35" customHeight="1" x14ac:dyDescent="0.2">
      <c r="G12" s="12" t="s">
        <v>67</v>
      </c>
      <c r="H12" s="107" t="s">
        <v>105</v>
      </c>
      <c r="I12" s="107"/>
    </row>
    <row r="13" spans="3:9" ht="45" customHeight="1" x14ac:dyDescent="0.2">
      <c r="F13" s="16"/>
      <c r="G13" s="12" t="s">
        <v>72</v>
      </c>
      <c r="H13" s="107" t="s">
        <v>106</v>
      </c>
      <c r="I13" s="107"/>
    </row>
    <row r="14" spans="3:9" ht="32.1" customHeight="1" x14ac:dyDescent="0.2">
      <c r="F14" s="16"/>
      <c r="G14" s="12" t="s">
        <v>63</v>
      </c>
      <c r="H14" s="113" t="s">
        <v>92</v>
      </c>
      <c r="I14" s="113"/>
    </row>
    <row r="15" spans="3:9" ht="9.9499999999999993" customHeight="1" x14ac:dyDescent="0.2">
      <c r="F15" s="16"/>
      <c r="G15" s="12"/>
      <c r="H15" s="69"/>
      <c r="I15" s="69"/>
    </row>
    <row r="16" spans="3:9" ht="15" customHeight="1" x14ac:dyDescent="0.2">
      <c r="F16" s="16" t="s">
        <v>5</v>
      </c>
      <c r="G16" s="12"/>
      <c r="H16" s="82" t="s">
        <v>107</v>
      </c>
      <c r="I16" s="77"/>
    </row>
    <row r="17" spans="6:9" ht="42" customHeight="1" x14ac:dyDescent="0.2">
      <c r="F17" s="16"/>
      <c r="G17" s="12"/>
      <c r="H17" s="115" t="s">
        <v>114</v>
      </c>
      <c r="I17" s="115"/>
    </row>
    <row r="18" spans="6:9" ht="15" customHeight="1" x14ac:dyDescent="0.2">
      <c r="F18" s="16"/>
      <c r="G18" s="12"/>
      <c r="H18" s="82"/>
      <c r="I18" s="77"/>
    </row>
    <row r="19" spans="6:9" ht="12.75" customHeight="1" x14ac:dyDescent="0.2">
      <c r="F19" s="16"/>
      <c r="G19" s="11"/>
      <c r="H19" s="114" t="s">
        <v>94</v>
      </c>
      <c r="I19" s="114"/>
    </row>
    <row r="20" spans="6:9" ht="30.4" customHeight="1" x14ac:dyDescent="0.2">
      <c r="F20" s="16"/>
      <c r="G20" s="15" t="s">
        <v>6</v>
      </c>
      <c r="H20" s="113" t="s">
        <v>95</v>
      </c>
      <c r="I20" s="113"/>
    </row>
    <row r="21" spans="6:9" ht="53.65" customHeight="1" x14ac:dyDescent="0.2">
      <c r="F21" s="16"/>
      <c r="G21" s="15" t="s">
        <v>7</v>
      </c>
      <c r="H21" s="113" t="s">
        <v>98</v>
      </c>
      <c r="I21" s="113"/>
    </row>
    <row r="22" spans="6:9" ht="45" customHeight="1" x14ac:dyDescent="0.2">
      <c r="F22" s="16"/>
      <c r="G22" s="15" t="s">
        <v>8</v>
      </c>
      <c r="H22" s="113" t="s">
        <v>108</v>
      </c>
      <c r="I22" s="113"/>
    </row>
    <row r="23" spans="6:9" ht="30" customHeight="1" x14ac:dyDescent="0.2">
      <c r="F23" s="16"/>
      <c r="G23" s="15" t="s">
        <v>109</v>
      </c>
      <c r="H23" s="113" t="s">
        <v>110</v>
      </c>
      <c r="I23" s="113"/>
    </row>
    <row r="24" spans="6:9" ht="9.9499999999999993" customHeight="1" x14ac:dyDescent="0.2">
      <c r="F24" s="16"/>
      <c r="G24" s="15"/>
      <c r="H24" s="70"/>
      <c r="I24" s="70"/>
    </row>
    <row r="25" spans="6:9" ht="12.75" customHeight="1" x14ac:dyDescent="0.2">
      <c r="F25" s="16"/>
      <c r="G25" s="11"/>
      <c r="H25" s="114" t="s">
        <v>96</v>
      </c>
      <c r="I25" s="114"/>
    </row>
    <row r="26" spans="6:9" ht="30.4" customHeight="1" x14ac:dyDescent="0.2">
      <c r="F26" s="16"/>
      <c r="G26" s="15" t="s">
        <v>6</v>
      </c>
      <c r="H26" s="113" t="s">
        <v>100</v>
      </c>
      <c r="I26" s="113"/>
    </row>
    <row r="27" spans="6:9" ht="57.4" customHeight="1" x14ac:dyDescent="0.2">
      <c r="F27" s="16"/>
      <c r="G27" s="15" t="s">
        <v>7</v>
      </c>
      <c r="H27" s="113" t="s">
        <v>98</v>
      </c>
      <c r="I27" s="113"/>
    </row>
    <row r="28" spans="6:9" ht="9.9499999999999993" customHeight="1" x14ac:dyDescent="0.2">
      <c r="F28" s="16"/>
      <c r="G28" s="15"/>
      <c r="H28" s="70"/>
      <c r="I28" s="70"/>
    </row>
    <row r="29" spans="6:9" ht="12.75" customHeight="1" x14ac:dyDescent="0.2">
      <c r="F29" s="16"/>
      <c r="G29" s="11"/>
      <c r="H29" s="114" t="s">
        <v>97</v>
      </c>
      <c r="I29" s="114"/>
    </row>
    <row r="30" spans="6:9" ht="30.4" customHeight="1" x14ac:dyDescent="0.2">
      <c r="F30" s="16"/>
      <c r="G30" s="15" t="s">
        <v>6</v>
      </c>
      <c r="H30" s="113" t="s">
        <v>101</v>
      </c>
      <c r="I30" s="113"/>
    </row>
    <row r="31" spans="6:9" ht="17.45" customHeight="1" x14ac:dyDescent="0.2">
      <c r="F31" s="16"/>
      <c r="G31" s="15" t="s">
        <v>7</v>
      </c>
      <c r="H31" s="113" t="s">
        <v>99</v>
      </c>
      <c r="I31" s="113"/>
    </row>
    <row r="32" spans="6:9" ht="9.9499999999999993" customHeight="1" x14ac:dyDescent="0.2">
      <c r="F32" s="16"/>
      <c r="G32" s="15"/>
      <c r="H32" s="70"/>
      <c r="I32" s="70"/>
    </row>
    <row r="33" spans="6:25" ht="19.899999999999999" customHeight="1" x14ac:dyDescent="0.2">
      <c r="F33" s="16"/>
      <c r="G33" s="12"/>
      <c r="H33" s="112" t="s">
        <v>93</v>
      </c>
      <c r="I33" s="112"/>
    </row>
    <row r="34" spans="6:25" ht="19.899999999999999" customHeight="1" x14ac:dyDescent="0.2">
      <c r="F34" s="16"/>
      <c r="G34" s="12"/>
      <c r="H34" s="108" t="s">
        <v>75</v>
      </c>
      <c r="I34" s="108"/>
    </row>
    <row r="35" spans="6:25" ht="32.1" customHeight="1" x14ac:dyDescent="0.2">
      <c r="G35" s="13" t="s">
        <v>6</v>
      </c>
      <c r="H35" s="107" t="s">
        <v>111</v>
      </c>
      <c r="I35" s="107"/>
    </row>
    <row r="36" spans="6:25" ht="30" customHeight="1" x14ac:dyDescent="0.2">
      <c r="G36" s="13" t="s">
        <v>7</v>
      </c>
      <c r="H36" s="107" t="s">
        <v>112</v>
      </c>
      <c r="I36" s="107"/>
    </row>
    <row r="37" spans="6:25" ht="45" customHeight="1" x14ac:dyDescent="0.2">
      <c r="G37" s="13" t="s">
        <v>8</v>
      </c>
      <c r="H37" s="107" t="s">
        <v>113</v>
      </c>
      <c r="I37" s="107"/>
    </row>
    <row r="38" spans="6:25" ht="31.15" customHeight="1" x14ac:dyDescent="0.2">
      <c r="G38" s="15" t="s">
        <v>109</v>
      </c>
      <c r="H38" s="113" t="s">
        <v>10</v>
      </c>
      <c r="I38" s="113"/>
    </row>
    <row r="39" spans="6:25" ht="26.1" customHeight="1" x14ac:dyDescent="0.2">
      <c r="G39" s="12" t="s">
        <v>77</v>
      </c>
      <c r="H39" s="109" t="s">
        <v>76</v>
      </c>
      <c r="I39" s="109"/>
    </row>
    <row r="40" spans="6:25" ht="26.1" customHeight="1" x14ac:dyDescent="0.2">
      <c r="G40" s="3"/>
      <c r="H40" s="110"/>
      <c r="I40" s="110"/>
    </row>
    <row r="41" spans="6:25" ht="26.1" customHeight="1" x14ac:dyDescent="0.2">
      <c r="F41" s="1" t="s">
        <v>115</v>
      </c>
      <c r="G41" s="3"/>
      <c r="H41" s="105" t="s">
        <v>116</v>
      </c>
      <c r="T41" s="143"/>
      <c r="U41" s="143"/>
      <c r="V41" s="143"/>
      <c r="W41" s="143"/>
      <c r="X41" s="143"/>
      <c r="Y41" s="143"/>
    </row>
    <row r="42" spans="6:25" x14ac:dyDescent="0.2">
      <c r="H42" s="105" t="s">
        <v>117</v>
      </c>
      <c r="T42" s="143"/>
      <c r="U42" s="143"/>
      <c r="V42" s="143"/>
      <c r="W42" s="143"/>
      <c r="X42" s="143"/>
      <c r="Y42" s="143"/>
    </row>
    <row r="43" spans="6:25" x14ac:dyDescent="0.2">
      <c r="T43" s="143"/>
      <c r="U43" s="143"/>
      <c r="V43" s="143"/>
      <c r="W43" s="143"/>
      <c r="X43" s="143"/>
      <c r="Y43" s="143"/>
    </row>
    <row r="44" spans="6:25" ht="15" x14ac:dyDescent="0.25">
      <c r="G44" s="144" t="s">
        <v>118</v>
      </c>
      <c r="H44" s="2" t="s">
        <v>119</v>
      </c>
      <c r="T44" s="143"/>
      <c r="U44" s="143"/>
      <c r="V44" s="143"/>
      <c r="W44" s="143"/>
      <c r="X44" s="143"/>
      <c r="Y44" s="143"/>
    </row>
    <row r="45" spans="6:25" x14ac:dyDescent="0.2">
      <c r="H45" s="3"/>
      <c r="T45" s="143"/>
      <c r="U45" s="143"/>
      <c r="V45" s="143"/>
      <c r="W45" s="143"/>
      <c r="X45" s="143"/>
      <c r="Y45" s="143"/>
    </row>
    <row r="46" spans="6:25" x14ac:dyDescent="0.2">
      <c r="H46" s="3"/>
      <c r="T46" s="143"/>
      <c r="U46" s="143"/>
      <c r="V46" s="143"/>
      <c r="W46" s="143"/>
      <c r="X46" s="143"/>
      <c r="Y46" s="143"/>
    </row>
    <row r="47" spans="6:25" x14ac:dyDescent="0.2">
      <c r="H47" s="3"/>
      <c r="T47" s="143"/>
      <c r="U47" s="143"/>
      <c r="V47" s="143"/>
      <c r="W47" s="143"/>
      <c r="X47" s="143"/>
      <c r="Y47" s="143"/>
    </row>
    <row r="48" spans="6:25" x14ac:dyDescent="0.2">
      <c r="H48" s="3"/>
      <c r="T48" s="143"/>
      <c r="U48" s="143"/>
      <c r="V48" s="143"/>
      <c r="W48" s="143"/>
      <c r="X48" s="143"/>
      <c r="Y48" s="143"/>
    </row>
    <row r="49" spans="7:25" x14ac:dyDescent="0.2">
      <c r="H49" s="3"/>
      <c r="T49" s="143"/>
      <c r="U49" s="143"/>
      <c r="V49" s="143"/>
      <c r="W49" s="143"/>
      <c r="X49" s="143"/>
      <c r="Y49" s="143"/>
    </row>
    <row r="50" spans="7:25" ht="15" x14ac:dyDescent="0.25">
      <c r="G50" s="144" t="s">
        <v>120</v>
      </c>
      <c r="H50" s="2" t="s">
        <v>121</v>
      </c>
      <c r="T50" s="143"/>
      <c r="U50" s="143"/>
      <c r="V50" s="143"/>
      <c r="W50" s="143"/>
      <c r="X50" s="143"/>
      <c r="Y50" s="143"/>
    </row>
    <row r="51" spans="7:25" x14ac:dyDescent="0.2">
      <c r="T51" s="143"/>
      <c r="U51" s="143"/>
      <c r="V51" s="143"/>
      <c r="W51" s="143"/>
      <c r="X51" s="143"/>
      <c r="Y51" s="143"/>
    </row>
    <row r="52" spans="7:25" ht="15" x14ac:dyDescent="0.25">
      <c r="G52" s="144" t="s">
        <v>122</v>
      </c>
      <c r="H52" s="2" t="s">
        <v>123</v>
      </c>
      <c r="T52" s="143"/>
      <c r="U52" s="143"/>
      <c r="V52" s="143"/>
      <c r="W52" s="143"/>
      <c r="X52" s="143"/>
      <c r="Y52" s="143"/>
    </row>
    <row r="53" spans="7:25" x14ac:dyDescent="0.2">
      <c r="T53" s="143"/>
      <c r="U53" s="143"/>
      <c r="V53" s="143"/>
      <c r="W53" s="143"/>
      <c r="X53" s="143"/>
      <c r="Y53" s="143"/>
    </row>
    <row r="54" spans="7:25" x14ac:dyDescent="0.2">
      <c r="T54" s="143"/>
      <c r="U54" s="143"/>
      <c r="V54" s="143"/>
      <c r="W54" s="143"/>
      <c r="X54" s="143"/>
      <c r="Y54" s="143"/>
    </row>
    <row r="55" spans="7:25" x14ac:dyDescent="0.2">
      <c r="T55" s="143"/>
      <c r="U55" s="143"/>
      <c r="V55" s="143"/>
      <c r="W55" s="143"/>
      <c r="X55" s="143"/>
      <c r="Y55" s="143"/>
    </row>
    <row r="56" spans="7:25" x14ac:dyDescent="0.2">
      <c r="T56" s="143"/>
      <c r="U56" s="143"/>
      <c r="V56" s="143"/>
      <c r="W56" s="143"/>
      <c r="X56" s="143"/>
      <c r="Y56" s="143"/>
    </row>
    <row r="57" spans="7:25" x14ac:dyDescent="0.2">
      <c r="T57" s="143"/>
      <c r="U57" s="143"/>
      <c r="V57" s="143"/>
      <c r="W57" s="143"/>
      <c r="X57" s="143"/>
      <c r="Y57" s="143"/>
    </row>
    <row r="58" spans="7:25" x14ac:dyDescent="0.2">
      <c r="H58" s="105"/>
      <c r="T58" s="143"/>
      <c r="U58" s="143"/>
      <c r="V58" s="143"/>
      <c r="W58" s="143"/>
      <c r="X58" s="143"/>
      <c r="Y58" s="143"/>
    </row>
    <row r="59" spans="7:25" x14ac:dyDescent="0.2">
      <c r="H59" s="143" t="s">
        <v>124</v>
      </c>
      <c r="T59" s="143"/>
      <c r="U59" s="143"/>
      <c r="V59" s="143"/>
      <c r="W59" s="143"/>
      <c r="X59" s="143"/>
      <c r="Y59" s="143"/>
    </row>
    <row r="60" spans="7:25" ht="15" x14ac:dyDescent="0.25">
      <c r="H60" s="145" t="s">
        <v>125</v>
      </c>
      <c r="T60" s="143"/>
      <c r="U60" s="143"/>
      <c r="V60" s="143"/>
      <c r="W60" s="143"/>
      <c r="X60" s="143"/>
      <c r="Y60" s="143"/>
    </row>
    <row r="61" spans="7:25" x14ac:dyDescent="0.2">
      <c r="H61" s="143" t="s">
        <v>126</v>
      </c>
      <c r="T61" s="143"/>
      <c r="U61" s="143"/>
      <c r="V61" s="143"/>
      <c r="W61" s="143"/>
      <c r="X61" s="143"/>
      <c r="Y61" s="143"/>
    </row>
    <row r="62" spans="7:25" x14ac:dyDescent="0.2">
      <c r="H62" s="143" t="s">
        <v>127</v>
      </c>
      <c r="T62" s="143"/>
      <c r="U62" s="143"/>
      <c r="V62" s="143"/>
      <c r="W62" s="143"/>
      <c r="X62" s="143"/>
      <c r="Y62" s="143"/>
    </row>
    <row r="63" spans="7:25" x14ac:dyDescent="0.2">
      <c r="H63" s="143" t="s">
        <v>128</v>
      </c>
      <c r="T63" s="143"/>
      <c r="U63" s="143"/>
      <c r="V63" s="143"/>
      <c r="W63" s="143"/>
      <c r="X63" s="143"/>
      <c r="Y63" s="143"/>
    </row>
  </sheetData>
  <mergeCells count="27">
    <mergeCell ref="H26:I26"/>
    <mergeCell ref="H27:I27"/>
    <mergeCell ref="H29:I29"/>
    <mergeCell ref="H30:I30"/>
    <mergeCell ref="H31:I31"/>
    <mergeCell ref="H19:I19"/>
    <mergeCell ref="H20:I20"/>
    <mergeCell ref="H21:I21"/>
    <mergeCell ref="H14:I14"/>
    <mergeCell ref="H25:I25"/>
    <mergeCell ref="H17:I17"/>
    <mergeCell ref="H37:I37"/>
    <mergeCell ref="H34:I34"/>
    <mergeCell ref="H39:I39"/>
    <mergeCell ref="H40:I40"/>
    <mergeCell ref="H4:I4"/>
    <mergeCell ref="H5:I5"/>
    <mergeCell ref="H6:I6"/>
    <mergeCell ref="H11:I11"/>
    <mergeCell ref="H12:I12"/>
    <mergeCell ref="H33:I33"/>
    <mergeCell ref="H38:I38"/>
    <mergeCell ref="H13:I13"/>
    <mergeCell ref="H35:I35"/>
    <mergeCell ref="H36:I36"/>
    <mergeCell ref="H22:I22"/>
    <mergeCell ref="H23:I23"/>
  </mergeCells>
  <conditionalFormatting sqref="H8">
    <cfRule type="iconSet" priority="1">
      <iconSet reverse="1">
        <cfvo type="percent" val="0"/>
        <cfvo type="num" val="2"/>
        <cfvo type="num" val="3"/>
      </iconSet>
    </cfRule>
  </conditionalFormatting>
  <hyperlinks>
    <hyperlink ref="C4" location="Schedule!A1" display="Scheduled Payments" xr:uid="{340D0C11-91E7-4D71-A5E1-300945863199}"/>
    <hyperlink ref="C5" location="Dashboard!A1" display="Dashboard" xr:uid="{EF7991EE-C711-46E2-A590-AD3307250BBE}"/>
    <hyperlink ref="C6" location="Lists!A1" display="Lists" xr:uid="{4F7C4201-5CBC-4B8E-97BB-FD7BD3EB1181}"/>
    <hyperlink ref="C7" location="Settings!A1" display="Settings" xr:uid="{0B574360-EEE8-4A50-A80A-865FB1149E23}"/>
    <hyperlink ref="H60" r:id="rId1" xr:uid="{9FBB663D-A337-4FE2-A4FA-A128CF2CC52E}"/>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3E8B6-3D8B-4285-88B6-0667EF087203}">
  <sheetPr codeName="SchSht">
    <tabColor rgb="FF50B47F"/>
  </sheetPr>
  <dimension ref="A1:BA764"/>
  <sheetViews>
    <sheetView showGridLines="0" showRowColHeaders="0" zoomScaleNormal="100" workbookViewId="0">
      <pane xSplit="4" ySplit="7" topLeftCell="E108" activePane="bottomRight" state="frozen"/>
      <selection pane="topRight" activeCell="E1" sqref="E1"/>
      <selection pane="bottomLeft" activeCell="A8" sqref="A8"/>
      <selection pane="bottomRight" activeCell="A3" sqref="A3:D3"/>
    </sheetView>
  </sheetViews>
  <sheetFormatPr defaultColWidth="0" defaultRowHeight="15" zeroHeight="1" x14ac:dyDescent="0.25"/>
  <cols>
    <col min="1" max="1" width="17.5703125" customWidth="1"/>
    <col min="2" max="2" width="5" bestFit="1" customWidth="1"/>
    <col min="3" max="3" width="18.140625" customWidth="1"/>
    <col min="4" max="4" width="5.85546875" bestFit="1" customWidth="1"/>
    <col min="5" max="12" width="4.42578125" bestFit="1" customWidth="1"/>
    <col min="13" max="13" width="3.42578125" bestFit="1" customWidth="1"/>
    <col min="14" max="14" width="4" bestFit="1" customWidth="1"/>
    <col min="15" max="15" width="3.5703125" bestFit="1" customWidth="1"/>
    <col min="16" max="21" width="3.42578125" bestFit="1" customWidth="1"/>
    <col min="22" max="32" width="4.42578125" bestFit="1" customWidth="1"/>
    <col min="33" max="33" width="4.42578125" customWidth="1"/>
    <col min="34" max="34" width="5" customWidth="1"/>
    <col min="35" max="35" width="4.5703125" customWidth="1"/>
    <col min="36" max="42" width="4.42578125" customWidth="1"/>
    <col min="43" max="43" width="3.42578125" customWidth="1"/>
    <col min="44" max="44" width="4" customWidth="1"/>
    <col min="45" max="45" width="3.5703125" customWidth="1"/>
    <col min="46" max="46" width="3.42578125" customWidth="1"/>
    <col min="47" max="47" width="9.140625" hidden="1" customWidth="1"/>
    <col min="48" max="51" width="10.140625" hidden="1" customWidth="1"/>
    <col min="52" max="52" width="10" hidden="1" customWidth="1"/>
    <col min="53" max="53" width="3.5703125" customWidth="1"/>
    <col min="54" max="16384" width="9" hidden="1"/>
  </cols>
  <sheetData>
    <row r="1" spans="1:53" s="74" customFormat="1" ht="14.45" customHeight="1" x14ac:dyDescent="0.25">
      <c r="A1" s="118" t="s">
        <v>73</v>
      </c>
      <c r="B1" s="118"/>
      <c r="C1" s="118"/>
      <c r="D1" s="118"/>
      <c r="E1" s="118" t="s">
        <v>67</v>
      </c>
      <c r="F1" s="118"/>
      <c r="G1" s="118"/>
      <c r="H1" s="118"/>
      <c r="I1" s="118"/>
      <c r="J1" s="118"/>
      <c r="K1" s="118"/>
      <c r="L1" s="118"/>
      <c r="M1" s="118" t="s">
        <v>72</v>
      </c>
      <c r="N1" s="118"/>
      <c r="O1" s="118"/>
      <c r="P1" s="118"/>
      <c r="Q1" s="118"/>
      <c r="R1" s="118" t="s">
        <v>63</v>
      </c>
      <c r="S1" s="118"/>
      <c r="T1" s="118"/>
      <c r="U1" s="118"/>
      <c r="V1" s="118"/>
      <c r="W1" s="118"/>
      <c r="X1" s="118"/>
      <c r="Y1" s="118"/>
      <c r="Z1" s="118"/>
      <c r="AA1" s="118"/>
      <c r="AB1" s="118"/>
      <c r="AC1" s="126"/>
      <c r="AD1" s="126"/>
      <c r="AE1" s="126"/>
      <c r="AF1" s="126"/>
      <c r="AG1" s="126"/>
      <c r="AH1" s="126"/>
      <c r="AI1" s="126"/>
      <c r="AJ1" s="126"/>
      <c r="AK1" s="25"/>
      <c r="AL1" s="25"/>
      <c r="AM1" s="25"/>
      <c r="AN1" s="25"/>
      <c r="AO1" s="25"/>
      <c r="AP1" s="25"/>
      <c r="AQ1" s="25"/>
      <c r="AR1" s="25"/>
      <c r="AS1" s="25"/>
      <c r="AT1" s="25"/>
      <c r="AU1" s="25"/>
      <c r="AV1" s="25"/>
      <c r="AW1" s="25"/>
      <c r="AX1" s="25"/>
      <c r="AY1" s="25"/>
      <c r="AZ1" s="25"/>
      <c r="BA1" s="25"/>
    </row>
    <row r="2" spans="1:53" ht="18" x14ac:dyDescent="0.25">
      <c r="A2" s="122" t="s">
        <v>64</v>
      </c>
      <c r="B2" s="122"/>
      <c r="C2" s="122"/>
      <c r="D2" s="122"/>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row>
    <row r="3" spans="1:53" x14ac:dyDescent="0.25">
      <c r="A3" s="123" t="s">
        <v>48</v>
      </c>
      <c r="B3" s="123"/>
      <c r="C3" s="123"/>
      <c r="D3" s="123"/>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row>
    <row r="4" spans="1:53" x14ac:dyDescent="0.25">
      <c r="A4" s="20"/>
      <c r="B4" s="20"/>
      <c r="C4" s="20"/>
      <c r="D4" s="20"/>
      <c r="E4" s="81" t="s">
        <v>104</v>
      </c>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125" t="s">
        <v>66</v>
      </c>
      <c r="AV4" s="125"/>
      <c r="AW4" s="125"/>
      <c r="AX4" s="125"/>
      <c r="AY4" s="125"/>
      <c r="AZ4" s="125"/>
      <c r="BA4" s="20"/>
    </row>
    <row r="5" spans="1:53" ht="14.45" customHeight="1" x14ac:dyDescent="0.25">
      <c r="A5" s="2"/>
      <c r="B5" s="2"/>
      <c r="C5" s="110" t="s">
        <v>57</v>
      </c>
      <c r="D5" s="110"/>
      <c r="E5" s="124">
        <v>44067</v>
      </c>
      <c r="F5" s="124"/>
      <c r="G5" s="124"/>
      <c r="H5" s="124"/>
      <c r="I5" s="124"/>
      <c r="J5" s="124"/>
      <c r="K5" s="124"/>
      <c r="L5" s="121">
        <f>E5+7</f>
        <v>44074</v>
      </c>
      <c r="M5" s="121"/>
      <c r="N5" s="121"/>
      <c r="O5" s="121"/>
      <c r="P5" s="121"/>
      <c r="Q5" s="121"/>
      <c r="R5" s="121"/>
      <c r="S5" s="121">
        <f t="shared" ref="S5" si="0">L5+7</f>
        <v>44081</v>
      </c>
      <c r="T5" s="121"/>
      <c r="U5" s="121"/>
      <c r="V5" s="121"/>
      <c r="W5" s="121"/>
      <c r="X5" s="121"/>
      <c r="Y5" s="121"/>
      <c r="Z5" s="121">
        <f t="shared" ref="Z5" si="1">S5+7</f>
        <v>44088</v>
      </c>
      <c r="AA5" s="121"/>
      <c r="AB5" s="121"/>
      <c r="AC5" s="121"/>
      <c r="AD5" s="121"/>
      <c r="AE5" s="121"/>
      <c r="AF5" s="121"/>
      <c r="AG5" s="121">
        <f t="shared" ref="AG5" si="2">Z5+7</f>
        <v>44095</v>
      </c>
      <c r="AH5" s="121"/>
      <c r="AI5" s="121"/>
      <c r="AJ5" s="121"/>
      <c r="AK5" s="121"/>
      <c r="AL5" s="121"/>
      <c r="AM5" s="121"/>
      <c r="AN5" s="121">
        <f t="shared" ref="AN5" si="3">AG5+7</f>
        <v>44102</v>
      </c>
      <c r="AO5" s="121"/>
      <c r="AP5" s="121"/>
      <c r="AQ5" s="121"/>
      <c r="AR5" s="121"/>
      <c r="AS5" s="121"/>
      <c r="AT5" s="121"/>
      <c r="AU5" s="36">
        <f>E5</f>
        <v>44067</v>
      </c>
      <c r="AV5" s="36">
        <f>L5</f>
        <v>44074</v>
      </c>
      <c r="AW5" s="36">
        <f>S5</f>
        <v>44081</v>
      </c>
      <c r="AX5" s="36">
        <f>Z5</f>
        <v>44088</v>
      </c>
      <c r="AY5" s="36">
        <f>AG5</f>
        <v>44095</v>
      </c>
      <c r="AZ5" s="36">
        <f>AN5</f>
        <v>44102</v>
      </c>
      <c r="BA5" s="2"/>
    </row>
    <row r="6" spans="1:53" s="87" customFormat="1" ht="14.45" customHeight="1" x14ac:dyDescent="0.25">
      <c r="A6" s="18"/>
      <c r="B6" s="19"/>
      <c r="C6" s="19"/>
      <c r="D6" s="18"/>
      <c r="E6" s="83" t="str">
        <f>DAY($E$5)&amp;IF(AND(MOD(ABS(DAY($E$5)),100)&gt;10,MOD(ABS(DAY($E$5)),100)&lt;14),"th",CHOOSE(MOD(ABS(DAY($E$5)),10)+1,"th","st","nd","rd","th","th","th","th","th","th"))</f>
        <v>24th</v>
      </c>
      <c r="F6" s="84" t="str">
        <f>DAY($E$5+COLUMN()-5)&amp;IF(AND(MOD(ABS(DAY($E$5+COLUMN()-5)),100)&gt;10,MOD(ABS(DAY($E$5+COLUMN()-5)),100)&lt;14),"th",CHOOSE(MOD(ABS(DAY($E$5+COLUMN()-5)),10)+1,"th","st","nd","rd","th","th","th","th","th","th"))</f>
        <v>25th</v>
      </c>
      <c r="G6" s="84" t="str">
        <f t="shared" ref="G6:AT6" si="4">DAY($E$5+COLUMN()-5)&amp;IF(AND(MOD(ABS(DAY($E$5+COLUMN()-5)),100)&gt;10,MOD(ABS(DAY($E$5+COLUMN()-5)),100)&lt;14),"th",CHOOSE(MOD(ABS(DAY($E$5+COLUMN()-5)),10)+1,"th","st","nd","rd","th","th","th","th","th","th"))</f>
        <v>26th</v>
      </c>
      <c r="H6" s="84" t="str">
        <f t="shared" si="4"/>
        <v>27th</v>
      </c>
      <c r="I6" s="84" t="str">
        <f t="shared" si="4"/>
        <v>28th</v>
      </c>
      <c r="J6" s="84" t="str">
        <f t="shared" si="4"/>
        <v>29th</v>
      </c>
      <c r="K6" s="84" t="str">
        <f t="shared" si="4"/>
        <v>30th</v>
      </c>
      <c r="L6" s="84" t="str">
        <f t="shared" si="4"/>
        <v>31st</v>
      </c>
      <c r="M6" s="84" t="str">
        <f t="shared" si="4"/>
        <v>1st</v>
      </c>
      <c r="N6" s="84" t="str">
        <f t="shared" si="4"/>
        <v>2nd</v>
      </c>
      <c r="O6" s="84" t="str">
        <f t="shared" si="4"/>
        <v>3rd</v>
      </c>
      <c r="P6" s="84" t="str">
        <f t="shared" si="4"/>
        <v>4th</v>
      </c>
      <c r="Q6" s="84" t="str">
        <f t="shared" si="4"/>
        <v>5th</v>
      </c>
      <c r="R6" s="84" t="str">
        <f t="shared" si="4"/>
        <v>6th</v>
      </c>
      <c r="S6" s="84" t="str">
        <f t="shared" si="4"/>
        <v>7th</v>
      </c>
      <c r="T6" s="84" t="str">
        <f t="shared" si="4"/>
        <v>8th</v>
      </c>
      <c r="U6" s="84" t="str">
        <f t="shared" si="4"/>
        <v>9th</v>
      </c>
      <c r="V6" s="84" t="str">
        <f t="shared" si="4"/>
        <v>10th</v>
      </c>
      <c r="W6" s="84" t="str">
        <f t="shared" si="4"/>
        <v>11th</v>
      </c>
      <c r="X6" s="84" t="str">
        <f t="shared" si="4"/>
        <v>12th</v>
      </c>
      <c r="Y6" s="84" t="str">
        <f t="shared" si="4"/>
        <v>13th</v>
      </c>
      <c r="Z6" s="84" t="str">
        <f t="shared" si="4"/>
        <v>14th</v>
      </c>
      <c r="AA6" s="84" t="str">
        <f t="shared" si="4"/>
        <v>15th</v>
      </c>
      <c r="AB6" s="84" t="str">
        <f t="shared" si="4"/>
        <v>16th</v>
      </c>
      <c r="AC6" s="84" t="str">
        <f t="shared" si="4"/>
        <v>17th</v>
      </c>
      <c r="AD6" s="84" t="str">
        <f t="shared" si="4"/>
        <v>18th</v>
      </c>
      <c r="AE6" s="84" t="str">
        <f t="shared" si="4"/>
        <v>19th</v>
      </c>
      <c r="AF6" s="84" t="str">
        <f t="shared" si="4"/>
        <v>20th</v>
      </c>
      <c r="AG6" s="84" t="str">
        <f t="shared" si="4"/>
        <v>21st</v>
      </c>
      <c r="AH6" s="84" t="str">
        <f t="shared" si="4"/>
        <v>22nd</v>
      </c>
      <c r="AI6" s="84" t="str">
        <f t="shared" si="4"/>
        <v>23rd</v>
      </c>
      <c r="AJ6" s="84" t="str">
        <f t="shared" si="4"/>
        <v>24th</v>
      </c>
      <c r="AK6" s="84" t="str">
        <f t="shared" si="4"/>
        <v>25th</v>
      </c>
      <c r="AL6" s="84" t="str">
        <f t="shared" si="4"/>
        <v>26th</v>
      </c>
      <c r="AM6" s="84" t="str">
        <f t="shared" si="4"/>
        <v>27th</v>
      </c>
      <c r="AN6" s="84" t="str">
        <f t="shared" si="4"/>
        <v>28th</v>
      </c>
      <c r="AO6" s="84" t="str">
        <f t="shared" si="4"/>
        <v>29th</v>
      </c>
      <c r="AP6" s="84" t="str">
        <f t="shared" si="4"/>
        <v>30th</v>
      </c>
      <c r="AQ6" s="84" t="str">
        <f t="shared" si="4"/>
        <v>1st</v>
      </c>
      <c r="AR6" s="84" t="str">
        <f t="shared" si="4"/>
        <v>2nd</v>
      </c>
      <c r="AS6" s="84" t="str">
        <f t="shared" si="4"/>
        <v>3rd</v>
      </c>
      <c r="AT6" s="84" t="str">
        <f t="shared" si="4"/>
        <v>4th</v>
      </c>
      <c r="AU6" s="85"/>
      <c r="AV6" s="85"/>
      <c r="AW6" s="85"/>
      <c r="AX6" s="85"/>
      <c r="AY6" s="85"/>
      <c r="AZ6" s="85"/>
      <c r="BA6" s="86"/>
    </row>
    <row r="7" spans="1:53" ht="14.45" customHeight="1" x14ac:dyDescent="0.25">
      <c r="A7" s="9" t="s">
        <v>43</v>
      </c>
      <c r="B7" s="21" t="s">
        <v>38</v>
      </c>
      <c r="C7" s="21" t="s">
        <v>49</v>
      </c>
      <c r="D7" s="21" t="s">
        <v>23</v>
      </c>
      <c r="E7" s="21" t="str">
        <f>INDEX(Lists!$F$5:$H$5,MATCH(Lists!$H$3,Lists!$F$4:$H$4,0))</f>
        <v>M</v>
      </c>
      <c r="F7" s="21" t="str">
        <f>INDEX(Lists!$F$6:$H$6,MATCH(Lists!$H$3,Lists!$F$4:$H$4,0))</f>
        <v>T</v>
      </c>
      <c r="G7" s="21" t="str">
        <f>INDEX(Lists!$F$7:$H$7,MATCH(Lists!$H$3,Lists!$F$4:$H$4,0))</f>
        <v>W</v>
      </c>
      <c r="H7" s="21" t="str">
        <f>INDEX(Lists!$F$8:$H$8,MATCH(Lists!$H$3,Lists!$F$4:$H$4,0))</f>
        <v>R</v>
      </c>
      <c r="I7" s="21" t="str">
        <f>INDEX(Lists!$F$9:$H$9,MATCH(Lists!$H$3,Lists!$F$4:$H$4,0))</f>
        <v>F</v>
      </c>
      <c r="J7" s="21" t="str">
        <f>INDEX(Lists!$F$10:$H$10,MATCH(Lists!$H$3,Lists!$F$4:$H$4,0))</f>
        <v>S</v>
      </c>
      <c r="K7" s="21" t="str">
        <f>INDEX(Lists!$F$11:$H$11,MATCH(Lists!$H$3,Lists!$F$4:$H$4,0))</f>
        <v>U</v>
      </c>
      <c r="L7" s="21" t="str">
        <f>INDEX(Lists!$F$5:$H$5,MATCH(Lists!$H$3,Lists!$F$4:$H$4,0))</f>
        <v>M</v>
      </c>
      <c r="M7" s="21" t="str">
        <f>INDEX(Lists!$F$6:$H$6,MATCH(Lists!$H$3,Lists!$F$4:$H$4,0))</f>
        <v>T</v>
      </c>
      <c r="N7" s="21" t="str">
        <f>INDEX(Lists!$F$7:$H$7,MATCH(Lists!$H$3,Lists!$F$4:$H$4,0))</f>
        <v>W</v>
      </c>
      <c r="O7" s="21" t="str">
        <f>INDEX(Lists!$F$8:$H$8,MATCH(Lists!$H$3,Lists!$F$4:$H$4,0))</f>
        <v>R</v>
      </c>
      <c r="P7" s="21" t="str">
        <f>INDEX(Lists!$F$9:$H$9,MATCH(Lists!$H$3,Lists!$F$4:$H$4,0))</f>
        <v>F</v>
      </c>
      <c r="Q7" s="21" t="str">
        <f>INDEX(Lists!$F$10:$H$10,MATCH(Lists!$H$3,Lists!$F$4:$H$4,0))</f>
        <v>S</v>
      </c>
      <c r="R7" s="21" t="str">
        <f>INDEX(Lists!$F$11:$H$11,MATCH(Lists!$H$3,Lists!$F$4:$H$4,0))</f>
        <v>U</v>
      </c>
      <c r="S7" s="21" t="str">
        <f>INDEX(Lists!$F$5:$H$5,MATCH(Lists!$H$3,Lists!$F$4:$H$4,0))</f>
        <v>M</v>
      </c>
      <c r="T7" s="21" t="str">
        <f>INDEX(Lists!$F$6:$H$6,MATCH(Lists!$H$3,Lists!$F$4:$H$4,0))</f>
        <v>T</v>
      </c>
      <c r="U7" s="21" t="str">
        <f>INDEX(Lists!$F$7:$H$7,MATCH(Lists!$H$3,Lists!$F$4:$H$4,0))</f>
        <v>W</v>
      </c>
      <c r="V7" s="21" t="str">
        <f>INDEX(Lists!$F$8:$H$8,MATCH(Lists!$H$3,Lists!$F$4:$H$4,0))</f>
        <v>R</v>
      </c>
      <c r="W7" s="21" t="str">
        <f>INDEX(Lists!$F$9:$H$9,MATCH(Lists!$H$3,Lists!$F$4:$H$4,0))</f>
        <v>F</v>
      </c>
      <c r="X7" s="21" t="str">
        <f>INDEX(Lists!$F$10:$H$10,MATCH(Lists!$H$3,Lists!$F$4:$H$4,0))</f>
        <v>S</v>
      </c>
      <c r="Y7" s="21" t="str">
        <f>INDEX(Lists!$F$11:$H$11,MATCH(Lists!$H$3,Lists!$F$4:$H$4,0))</f>
        <v>U</v>
      </c>
      <c r="Z7" s="21" t="str">
        <f>INDEX(Lists!$F$5:$H$5,MATCH(Lists!$H$3,Lists!$F$4:$H$4,0))</f>
        <v>M</v>
      </c>
      <c r="AA7" s="21" t="str">
        <f>INDEX(Lists!$F$6:$H$6,MATCH(Lists!$H$3,Lists!$F$4:$H$4,0))</f>
        <v>T</v>
      </c>
      <c r="AB7" s="21" t="str">
        <f>INDEX(Lists!$F$7:$H$7,MATCH(Lists!$H$3,Lists!$F$4:$H$4,0))</f>
        <v>W</v>
      </c>
      <c r="AC7" s="21" t="str">
        <f>INDEX(Lists!$F$8:$H$8,MATCH(Lists!$H$3,Lists!$F$4:$H$4,0))</f>
        <v>R</v>
      </c>
      <c r="AD7" s="21" t="str">
        <f>INDEX(Lists!$F$9:$H$9,MATCH(Lists!$H$3,Lists!$F$4:$H$4,0))</f>
        <v>F</v>
      </c>
      <c r="AE7" s="21" t="str">
        <f>INDEX(Lists!$F$10:$H$10,MATCH(Lists!$H$3,Lists!$F$4:$H$4,0))</f>
        <v>S</v>
      </c>
      <c r="AF7" s="21" t="str">
        <f>INDEX(Lists!$F$11:$H$11,MATCH(Lists!$H$3,Lists!$F$4:$H$4,0))</f>
        <v>U</v>
      </c>
      <c r="AG7" s="30" t="str">
        <f>INDEX(Lists!$F$5:$H$5,MATCH(Lists!$H$3,Lists!$F$4:$H$4,0))</f>
        <v>M</v>
      </c>
      <c r="AH7" s="30" t="str">
        <f>INDEX(Lists!$F$6:$H$6,MATCH(Lists!$H$3,Lists!$F$4:$H$4,0))</f>
        <v>T</v>
      </c>
      <c r="AI7" s="30" t="str">
        <f>INDEX(Lists!$F$7:$H$7,MATCH(Lists!$H$3,Lists!$F$4:$H$4,0))</f>
        <v>W</v>
      </c>
      <c r="AJ7" s="30" t="str">
        <f>INDEX(Lists!$F$8:$H$8,MATCH(Lists!$H$3,Lists!$F$4:$H$4,0))</f>
        <v>R</v>
      </c>
      <c r="AK7" s="30" t="str">
        <f>INDEX(Lists!$F$9:$H$9,MATCH(Lists!$H$3,Lists!$F$4:$H$4,0))</f>
        <v>F</v>
      </c>
      <c r="AL7" s="30" t="str">
        <f>INDEX(Lists!$F$10:$H$10,MATCH(Lists!$H$3,Lists!$F$4:$H$4,0))</f>
        <v>S</v>
      </c>
      <c r="AM7" s="30" t="str">
        <f>INDEX(Lists!$F$11:$H$11,MATCH(Lists!$H$3,Lists!$F$4:$H$4,0))</f>
        <v>U</v>
      </c>
      <c r="AN7" s="30" t="str">
        <f>INDEX(Lists!$F$5:$H$5,MATCH(Lists!$H$3,Lists!$F$4:$H$4,0))</f>
        <v>M</v>
      </c>
      <c r="AO7" s="30" t="str">
        <f>INDEX(Lists!$F$6:$H$6,MATCH(Lists!$H$3,Lists!$F$4:$H$4,0))</f>
        <v>T</v>
      </c>
      <c r="AP7" s="30" t="str">
        <f>INDEX(Lists!$F$7:$H$7,MATCH(Lists!$H$3,Lists!$F$4:$H$4,0))</f>
        <v>W</v>
      </c>
      <c r="AQ7" s="30" t="str">
        <f>INDEX(Lists!$F$8:$H$8,MATCH(Lists!$H$3,Lists!$F$4:$H$4,0))</f>
        <v>R</v>
      </c>
      <c r="AR7" s="30" t="str">
        <f>INDEX(Lists!$F$9:$H$9,MATCH(Lists!$H$3,Lists!$F$4:$H$4,0))</f>
        <v>F</v>
      </c>
      <c r="AS7" s="30" t="str">
        <f>INDEX(Lists!$F$10:$H$10,MATCH(Lists!$H$3,Lists!$F$4:$H$4,0))</f>
        <v>S</v>
      </c>
      <c r="AT7" s="30" t="str">
        <f>INDEX(Lists!$F$11:$H$11,MATCH(Lists!$H$3,Lists!$F$4:$H$4,0))</f>
        <v>U</v>
      </c>
      <c r="AU7" s="29"/>
      <c r="AV7" s="29"/>
      <c r="AW7" s="29"/>
      <c r="AX7" s="29"/>
      <c r="AY7" s="29"/>
      <c r="AZ7" s="29"/>
      <c r="BA7" s="45"/>
    </row>
    <row r="8" spans="1:53" ht="14.1" customHeight="1" x14ac:dyDescent="0.25">
      <c r="A8" s="89"/>
      <c r="B8" s="101"/>
      <c r="C8" s="101"/>
      <c r="D8" s="102">
        <f>COUNTA(IF(Settings!$D$14 = TRUE,E8:AT8,$E8:$AF8))</f>
        <v>0</v>
      </c>
      <c r="E8" s="90"/>
      <c r="F8" s="91"/>
      <c r="G8" s="91"/>
      <c r="H8" s="91"/>
      <c r="I8" s="91"/>
      <c r="J8" s="91"/>
      <c r="K8" s="92"/>
      <c r="L8" s="90"/>
      <c r="M8" s="91"/>
      <c r="N8" s="91"/>
      <c r="O8" s="91"/>
      <c r="P8" s="91"/>
      <c r="Q8" s="91"/>
      <c r="R8" s="92"/>
      <c r="S8" s="90"/>
      <c r="T8" s="91"/>
      <c r="U8" s="91"/>
      <c r="V8" s="91"/>
      <c r="W8" s="91"/>
      <c r="X8" s="91"/>
      <c r="Y8" s="92"/>
      <c r="Z8" s="90"/>
      <c r="AA8" s="91"/>
      <c r="AB8" s="91"/>
      <c r="AC8" s="91"/>
      <c r="AD8" s="91"/>
      <c r="AE8" s="91"/>
      <c r="AF8" s="93"/>
      <c r="AG8" s="90"/>
      <c r="AH8" s="91"/>
      <c r="AI8" s="91"/>
      <c r="AJ8" s="91"/>
      <c r="AK8" s="91"/>
      <c r="AL8" s="91"/>
      <c r="AM8" s="93"/>
      <c r="AN8" s="90"/>
      <c r="AO8" s="91"/>
      <c r="AP8" s="91"/>
      <c r="AQ8" s="91"/>
      <c r="AR8" s="91"/>
      <c r="AS8" s="91"/>
      <c r="AT8" s="93"/>
      <c r="AU8" s="37">
        <f>SUM($E8:$K8)</f>
        <v>0</v>
      </c>
      <c r="AV8" s="37">
        <f>SUM($L8:$R8)</f>
        <v>0</v>
      </c>
      <c r="AW8" s="37">
        <f>SUM($S8:$Y8)</f>
        <v>0</v>
      </c>
      <c r="AX8" s="37">
        <f>SUM($Z8:$AF8)</f>
        <v>0</v>
      </c>
      <c r="AY8" s="37">
        <f>SUM($AG8:$AM8)</f>
        <v>0</v>
      </c>
      <c r="AZ8" s="37">
        <f>SUM($AN8:$AT8)</f>
        <v>0</v>
      </c>
      <c r="BA8" s="44"/>
    </row>
    <row r="9" spans="1:53" ht="14.1" customHeight="1" x14ac:dyDescent="0.25">
      <c r="A9" s="89"/>
      <c r="B9" s="101"/>
      <c r="C9" s="101"/>
      <c r="D9" s="102">
        <f>COUNTA(IF(Settings!$D$14 = TRUE,E9:AT9,$E9:$AF9))</f>
        <v>0</v>
      </c>
      <c r="E9" s="90"/>
      <c r="F9" s="91"/>
      <c r="G9" s="91"/>
      <c r="H9" s="91"/>
      <c r="I9" s="91"/>
      <c r="J9" s="91"/>
      <c r="K9" s="92"/>
      <c r="L9" s="90"/>
      <c r="M9" s="91"/>
      <c r="N9" s="91"/>
      <c r="O9" s="91"/>
      <c r="P9" s="91"/>
      <c r="Q9" s="91"/>
      <c r="R9" s="92"/>
      <c r="S9" s="90"/>
      <c r="T9" s="91"/>
      <c r="U9" s="91"/>
      <c r="V9" s="91"/>
      <c r="W9" s="91"/>
      <c r="X9" s="91"/>
      <c r="Y9" s="92"/>
      <c r="Z9" s="90"/>
      <c r="AA9" s="91"/>
      <c r="AB9" s="91"/>
      <c r="AC9" s="91"/>
      <c r="AD9" s="91"/>
      <c r="AE9" s="91"/>
      <c r="AF9" s="93"/>
      <c r="AG9" s="90"/>
      <c r="AH9" s="91"/>
      <c r="AI9" s="91"/>
      <c r="AJ9" s="91"/>
      <c r="AK9" s="91"/>
      <c r="AL9" s="91"/>
      <c r="AM9" s="93"/>
      <c r="AN9" s="90"/>
      <c r="AO9" s="91"/>
      <c r="AP9" s="91"/>
      <c r="AQ9" s="91"/>
      <c r="AR9" s="91"/>
      <c r="AS9" s="91"/>
      <c r="AT9" s="93"/>
      <c r="AU9" s="37">
        <f t="shared" ref="AU9:AU72" si="5">SUM($E9:$K9)</f>
        <v>0</v>
      </c>
      <c r="AV9" s="37">
        <f t="shared" ref="AV9:AV72" si="6">SUM($L9:$R9)</f>
        <v>0</v>
      </c>
      <c r="AW9" s="37">
        <f t="shared" ref="AW9:AW72" si="7">SUM($S9:$Y9)</f>
        <v>0</v>
      </c>
      <c r="AX9" s="37">
        <f t="shared" ref="AX9:AX72" si="8">SUM($Z9:$AF9)</f>
        <v>0</v>
      </c>
      <c r="AY9" s="37">
        <f t="shared" ref="AY9:AY72" si="9">SUM($AG9:$AM9)</f>
        <v>0</v>
      </c>
      <c r="AZ9" s="37">
        <f t="shared" ref="AZ9:AZ72" si="10">SUM($AN9:$AT9)</f>
        <v>0</v>
      </c>
      <c r="BA9" s="20"/>
    </row>
    <row r="10" spans="1:53" ht="14.1" customHeight="1" x14ac:dyDescent="0.25">
      <c r="A10" s="89"/>
      <c r="B10" s="101"/>
      <c r="C10" s="101"/>
      <c r="D10" s="102">
        <f>COUNTA(IF(Settings!$D$14 = TRUE,E10:AT10,$E10:$AF10))</f>
        <v>0</v>
      </c>
      <c r="E10" s="90"/>
      <c r="F10" s="91"/>
      <c r="G10" s="91"/>
      <c r="H10" s="91"/>
      <c r="I10" s="91"/>
      <c r="J10" s="91"/>
      <c r="K10" s="92"/>
      <c r="L10" s="90"/>
      <c r="M10" s="91"/>
      <c r="N10" s="91"/>
      <c r="O10" s="91"/>
      <c r="P10" s="91"/>
      <c r="Q10" s="91"/>
      <c r="R10" s="92"/>
      <c r="S10" s="90"/>
      <c r="T10" s="91"/>
      <c r="U10" s="91"/>
      <c r="V10" s="91"/>
      <c r="W10" s="91"/>
      <c r="X10" s="91"/>
      <c r="Y10" s="92"/>
      <c r="Z10" s="90"/>
      <c r="AA10" s="91"/>
      <c r="AB10" s="91"/>
      <c r="AC10" s="91"/>
      <c r="AD10" s="91"/>
      <c r="AE10" s="91"/>
      <c r="AF10" s="93"/>
      <c r="AG10" s="90"/>
      <c r="AH10" s="91"/>
      <c r="AI10" s="91"/>
      <c r="AJ10" s="91"/>
      <c r="AK10" s="91"/>
      <c r="AL10" s="91"/>
      <c r="AM10" s="93"/>
      <c r="AN10" s="90"/>
      <c r="AO10" s="91"/>
      <c r="AP10" s="91"/>
      <c r="AQ10" s="91"/>
      <c r="AR10" s="91"/>
      <c r="AS10" s="91"/>
      <c r="AT10" s="93"/>
      <c r="AU10" s="37">
        <f t="shared" si="5"/>
        <v>0</v>
      </c>
      <c r="AV10" s="37">
        <f t="shared" si="6"/>
        <v>0</v>
      </c>
      <c r="AW10" s="37">
        <f t="shared" si="7"/>
        <v>0</v>
      </c>
      <c r="AX10" s="37">
        <f t="shared" si="8"/>
        <v>0</v>
      </c>
      <c r="AY10" s="37">
        <f t="shared" si="9"/>
        <v>0</v>
      </c>
      <c r="AZ10" s="37">
        <f t="shared" si="10"/>
        <v>0</v>
      </c>
      <c r="BA10" s="20"/>
    </row>
    <row r="11" spans="1:53" ht="14.1" customHeight="1" x14ac:dyDescent="0.25">
      <c r="A11" s="89"/>
      <c r="B11" s="101"/>
      <c r="C11" s="101"/>
      <c r="D11" s="102">
        <f>COUNTA(IF(Settings!$D$14 = TRUE,E11:AT11,$E11:$AF11))</f>
        <v>0</v>
      </c>
      <c r="E11" s="90"/>
      <c r="F11" s="91"/>
      <c r="G11" s="91"/>
      <c r="H11" s="91"/>
      <c r="I11" s="91"/>
      <c r="J11" s="91"/>
      <c r="K11" s="92"/>
      <c r="L11" s="90"/>
      <c r="M11" s="91"/>
      <c r="N11" s="91"/>
      <c r="O11" s="91"/>
      <c r="P11" s="91"/>
      <c r="Q11" s="91"/>
      <c r="R11" s="92"/>
      <c r="S11" s="90"/>
      <c r="T11" s="91"/>
      <c r="U11" s="91"/>
      <c r="V11" s="91"/>
      <c r="W11" s="91"/>
      <c r="X11" s="91"/>
      <c r="Y11" s="92"/>
      <c r="Z11" s="90"/>
      <c r="AA11" s="91"/>
      <c r="AB11" s="91"/>
      <c r="AC11" s="91"/>
      <c r="AD11" s="91"/>
      <c r="AE11" s="91"/>
      <c r="AF11" s="93"/>
      <c r="AG11" s="90"/>
      <c r="AH11" s="91"/>
      <c r="AI11" s="91"/>
      <c r="AJ11" s="91"/>
      <c r="AK11" s="91"/>
      <c r="AL11" s="91"/>
      <c r="AM11" s="93"/>
      <c r="AN11" s="90"/>
      <c r="AO11" s="91"/>
      <c r="AP11" s="91"/>
      <c r="AQ11" s="91"/>
      <c r="AR11" s="91"/>
      <c r="AS11" s="91"/>
      <c r="AT11" s="93"/>
      <c r="AU11" s="37">
        <f t="shared" si="5"/>
        <v>0</v>
      </c>
      <c r="AV11" s="37">
        <f t="shared" si="6"/>
        <v>0</v>
      </c>
      <c r="AW11" s="37">
        <f t="shared" si="7"/>
        <v>0</v>
      </c>
      <c r="AX11" s="37">
        <f t="shared" si="8"/>
        <v>0</v>
      </c>
      <c r="AY11" s="37">
        <f t="shared" si="9"/>
        <v>0</v>
      </c>
      <c r="AZ11" s="37">
        <f t="shared" si="10"/>
        <v>0</v>
      </c>
      <c r="BA11" s="20"/>
    </row>
    <row r="12" spans="1:53" ht="14.1" customHeight="1" x14ac:dyDescent="0.25">
      <c r="A12" s="89"/>
      <c r="B12" s="101" t="str" cm="1">
        <f t="array" ref="B12">_xlfn.IFNA(INDEX(Employees[Employment Type],MATCH(Schedule!A12:A12,Employees[Employee Names],0)),"")</f>
        <v/>
      </c>
      <c r="C12" s="101" t="str">
        <f>_xlfn.IFNA(INDEX(Employees[Employee Role],MATCH(Schedule!A12,Employees[Employee Names],0)),"")</f>
        <v/>
      </c>
      <c r="D12" s="102">
        <f>COUNTA(IF(Settings!$D$14 = TRUE,E12:AT12,$E12:$AF12))</f>
        <v>0</v>
      </c>
      <c r="E12" s="90"/>
      <c r="F12" s="91"/>
      <c r="G12" s="91"/>
      <c r="H12" s="91"/>
      <c r="I12" s="91"/>
      <c r="J12" s="91"/>
      <c r="K12" s="92"/>
      <c r="L12" s="90"/>
      <c r="M12" s="91"/>
      <c r="N12" s="91"/>
      <c r="O12" s="91"/>
      <c r="P12" s="91"/>
      <c r="Q12" s="91"/>
      <c r="R12" s="92"/>
      <c r="S12" s="90"/>
      <c r="T12" s="91"/>
      <c r="U12" s="91"/>
      <c r="V12" s="91"/>
      <c r="W12" s="91"/>
      <c r="X12" s="91"/>
      <c r="Y12" s="92"/>
      <c r="Z12" s="90"/>
      <c r="AA12" s="91"/>
      <c r="AB12" s="91"/>
      <c r="AC12" s="91"/>
      <c r="AD12" s="91"/>
      <c r="AE12" s="91"/>
      <c r="AF12" s="93"/>
      <c r="AG12" s="90"/>
      <c r="AH12" s="91"/>
      <c r="AI12" s="91"/>
      <c r="AJ12" s="91"/>
      <c r="AK12" s="91"/>
      <c r="AL12" s="91"/>
      <c r="AM12" s="93"/>
      <c r="AN12" s="90"/>
      <c r="AO12" s="91"/>
      <c r="AP12" s="91"/>
      <c r="AQ12" s="91"/>
      <c r="AR12" s="91"/>
      <c r="AS12" s="91"/>
      <c r="AT12" s="93"/>
      <c r="AU12" s="37">
        <f t="shared" si="5"/>
        <v>0</v>
      </c>
      <c r="AV12" s="37">
        <f t="shared" si="6"/>
        <v>0</v>
      </c>
      <c r="AW12" s="37">
        <f t="shared" si="7"/>
        <v>0</v>
      </c>
      <c r="AX12" s="37">
        <f t="shared" si="8"/>
        <v>0</v>
      </c>
      <c r="AY12" s="37">
        <f t="shared" si="9"/>
        <v>0</v>
      </c>
      <c r="AZ12" s="37">
        <f t="shared" si="10"/>
        <v>0</v>
      </c>
      <c r="BA12" s="20"/>
    </row>
    <row r="13" spans="1:53" ht="14.1" customHeight="1" x14ac:dyDescent="0.25">
      <c r="A13" s="89"/>
      <c r="B13" s="101" t="str" cm="1">
        <f t="array" ref="B13">_xlfn.IFNA(INDEX(Employees[Employment Type],MATCH(Schedule!A13:A13,Employees[Employee Names],0)),"")</f>
        <v/>
      </c>
      <c r="C13" s="101" t="str">
        <f>_xlfn.IFNA(INDEX(Employees[Employee Role],MATCH(Schedule!A13,Employees[Employee Names],0)),"")</f>
        <v/>
      </c>
      <c r="D13" s="102">
        <f>COUNTA(IF(Settings!$D$14 = TRUE,E13:AT13,$E13:$AF13))</f>
        <v>0</v>
      </c>
      <c r="E13" s="90"/>
      <c r="F13" s="91"/>
      <c r="G13" s="91"/>
      <c r="H13" s="91"/>
      <c r="I13" s="91"/>
      <c r="J13" s="91"/>
      <c r="K13" s="92"/>
      <c r="L13" s="90"/>
      <c r="M13" s="91"/>
      <c r="N13" s="91"/>
      <c r="O13" s="91"/>
      <c r="P13" s="91"/>
      <c r="Q13" s="91"/>
      <c r="R13" s="92"/>
      <c r="S13" s="90"/>
      <c r="T13" s="91"/>
      <c r="U13" s="91"/>
      <c r="V13" s="91"/>
      <c r="W13" s="91"/>
      <c r="X13" s="91"/>
      <c r="Y13" s="92"/>
      <c r="Z13" s="90"/>
      <c r="AA13" s="91"/>
      <c r="AB13" s="91"/>
      <c r="AC13" s="91"/>
      <c r="AD13" s="91"/>
      <c r="AE13" s="91"/>
      <c r="AF13" s="93"/>
      <c r="AG13" s="90"/>
      <c r="AH13" s="91"/>
      <c r="AI13" s="91"/>
      <c r="AJ13" s="91"/>
      <c r="AK13" s="91"/>
      <c r="AL13" s="91"/>
      <c r="AM13" s="93"/>
      <c r="AN13" s="90"/>
      <c r="AO13" s="91"/>
      <c r="AP13" s="91"/>
      <c r="AQ13" s="91"/>
      <c r="AR13" s="91"/>
      <c r="AS13" s="91"/>
      <c r="AT13" s="93"/>
      <c r="AU13" s="37">
        <f t="shared" si="5"/>
        <v>0</v>
      </c>
      <c r="AV13" s="37">
        <f t="shared" si="6"/>
        <v>0</v>
      </c>
      <c r="AW13" s="37">
        <f t="shared" si="7"/>
        <v>0</v>
      </c>
      <c r="AX13" s="37">
        <f t="shared" si="8"/>
        <v>0</v>
      </c>
      <c r="AY13" s="37">
        <f t="shared" si="9"/>
        <v>0</v>
      </c>
      <c r="AZ13" s="37">
        <f t="shared" si="10"/>
        <v>0</v>
      </c>
      <c r="BA13" s="20"/>
    </row>
    <row r="14" spans="1:53" ht="14.1" customHeight="1" x14ac:dyDescent="0.25">
      <c r="A14" s="89"/>
      <c r="B14" s="101" t="str" cm="1">
        <f t="array" ref="B14">_xlfn.IFNA(INDEX(Employees[Employment Type],MATCH(Schedule!A14:A14,Employees[Employee Names],0)),"")</f>
        <v/>
      </c>
      <c r="C14" s="101" t="str">
        <f>_xlfn.IFNA(INDEX(Employees[Employee Role],MATCH(Schedule!A14,Employees[Employee Names],0)),"")</f>
        <v/>
      </c>
      <c r="D14" s="102">
        <f>COUNTA(IF(Settings!$D$14 = TRUE,E14:AT14,$E14:$AF14))</f>
        <v>0</v>
      </c>
      <c r="E14" s="90"/>
      <c r="F14" s="91"/>
      <c r="G14" s="91"/>
      <c r="H14" s="91"/>
      <c r="I14" s="91"/>
      <c r="J14" s="91"/>
      <c r="K14" s="92"/>
      <c r="L14" s="90"/>
      <c r="M14" s="91"/>
      <c r="N14" s="91"/>
      <c r="O14" s="91"/>
      <c r="P14" s="91"/>
      <c r="Q14" s="91"/>
      <c r="R14" s="92"/>
      <c r="S14" s="90"/>
      <c r="T14" s="91"/>
      <c r="U14" s="91"/>
      <c r="V14" s="91"/>
      <c r="W14" s="91"/>
      <c r="X14" s="91"/>
      <c r="Y14" s="92"/>
      <c r="Z14" s="90"/>
      <c r="AA14" s="91"/>
      <c r="AB14" s="91"/>
      <c r="AC14" s="91"/>
      <c r="AD14" s="91"/>
      <c r="AE14" s="91"/>
      <c r="AF14" s="93"/>
      <c r="AG14" s="90"/>
      <c r="AH14" s="91"/>
      <c r="AI14" s="91"/>
      <c r="AJ14" s="91"/>
      <c r="AK14" s="91"/>
      <c r="AL14" s="91"/>
      <c r="AM14" s="93"/>
      <c r="AN14" s="90"/>
      <c r="AO14" s="91"/>
      <c r="AP14" s="91"/>
      <c r="AQ14" s="91"/>
      <c r="AR14" s="91"/>
      <c r="AS14" s="91"/>
      <c r="AT14" s="93"/>
      <c r="AU14" s="37">
        <f t="shared" si="5"/>
        <v>0</v>
      </c>
      <c r="AV14" s="37">
        <f t="shared" si="6"/>
        <v>0</v>
      </c>
      <c r="AW14" s="37">
        <f t="shared" si="7"/>
        <v>0</v>
      </c>
      <c r="AX14" s="37">
        <f t="shared" si="8"/>
        <v>0</v>
      </c>
      <c r="AY14" s="37">
        <f t="shared" si="9"/>
        <v>0</v>
      </c>
      <c r="AZ14" s="37">
        <f t="shared" si="10"/>
        <v>0</v>
      </c>
      <c r="BA14" s="20"/>
    </row>
    <row r="15" spans="1:53" ht="14.1" customHeight="1" x14ac:dyDescent="0.25">
      <c r="A15" s="89"/>
      <c r="B15" s="101" t="str" cm="1">
        <f t="array" ref="B15">_xlfn.IFNA(INDEX(Employees[Employment Type],MATCH(Schedule!A15:A15,Employees[Employee Names],0)),"")</f>
        <v/>
      </c>
      <c r="C15" s="101" t="str">
        <f>_xlfn.IFNA(INDEX(Employees[Employee Role],MATCH(Schedule!A15,Employees[Employee Names],0)),"")</f>
        <v/>
      </c>
      <c r="D15" s="102">
        <f>COUNTA(IF(Settings!$D$14 = TRUE,E15:AT15,$E15:$AF15))</f>
        <v>0</v>
      </c>
      <c r="E15" s="90"/>
      <c r="F15" s="91"/>
      <c r="G15" s="91"/>
      <c r="H15" s="91"/>
      <c r="I15" s="91"/>
      <c r="J15" s="91"/>
      <c r="K15" s="92"/>
      <c r="L15" s="90"/>
      <c r="M15" s="91"/>
      <c r="N15" s="91"/>
      <c r="O15" s="91"/>
      <c r="P15" s="91"/>
      <c r="Q15" s="91"/>
      <c r="R15" s="92"/>
      <c r="S15" s="90"/>
      <c r="T15" s="91"/>
      <c r="U15" s="91"/>
      <c r="V15" s="91"/>
      <c r="W15" s="91"/>
      <c r="X15" s="91"/>
      <c r="Y15" s="92"/>
      <c r="Z15" s="90"/>
      <c r="AA15" s="91"/>
      <c r="AB15" s="91"/>
      <c r="AC15" s="91"/>
      <c r="AD15" s="91"/>
      <c r="AE15" s="91"/>
      <c r="AF15" s="93"/>
      <c r="AG15" s="90"/>
      <c r="AH15" s="91"/>
      <c r="AI15" s="91"/>
      <c r="AJ15" s="91"/>
      <c r="AK15" s="91"/>
      <c r="AL15" s="91"/>
      <c r="AM15" s="93"/>
      <c r="AN15" s="90"/>
      <c r="AO15" s="91"/>
      <c r="AP15" s="91"/>
      <c r="AQ15" s="91"/>
      <c r="AR15" s="91"/>
      <c r="AS15" s="91"/>
      <c r="AT15" s="93"/>
      <c r="AU15" s="37">
        <f t="shared" si="5"/>
        <v>0</v>
      </c>
      <c r="AV15" s="37">
        <f t="shared" si="6"/>
        <v>0</v>
      </c>
      <c r="AW15" s="37">
        <f t="shared" si="7"/>
        <v>0</v>
      </c>
      <c r="AX15" s="37">
        <f t="shared" si="8"/>
        <v>0</v>
      </c>
      <c r="AY15" s="37">
        <f t="shared" si="9"/>
        <v>0</v>
      </c>
      <c r="AZ15" s="37">
        <f t="shared" si="10"/>
        <v>0</v>
      </c>
      <c r="BA15" s="20"/>
    </row>
    <row r="16" spans="1:53" ht="14.1" customHeight="1" x14ac:dyDescent="0.25">
      <c r="A16" s="89"/>
      <c r="B16" s="101" t="str" cm="1">
        <f t="array" ref="B16">_xlfn.IFNA(INDEX(Employees[Employment Type],MATCH(Schedule!A16:A16,Employees[Employee Names],0)),"")</f>
        <v/>
      </c>
      <c r="C16" s="101" t="str">
        <f>_xlfn.IFNA(INDEX(Employees[Employee Role],MATCH(Schedule!A16,Employees[Employee Names],0)),"")</f>
        <v/>
      </c>
      <c r="D16" s="102">
        <f>COUNTA(IF(Settings!$D$14 = TRUE,E16:AT16,$E16:$AF16))</f>
        <v>0</v>
      </c>
      <c r="E16" s="90"/>
      <c r="F16" s="91"/>
      <c r="G16" s="91"/>
      <c r="H16" s="91"/>
      <c r="I16" s="91"/>
      <c r="J16" s="91"/>
      <c r="K16" s="92"/>
      <c r="L16" s="90"/>
      <c r="M16" s="91"/>
      <c r="N16" s="91"/>
      <c r="O16" s="91"/>
      <c r="P16" s="91"/>
      <c r="Q16" s="91"/>
      <c r="R16" s="92"/>
      <c r="S16" s="90"/>
      <c r="T16" s="91"/>
      <c r="U16" s="91"/>
      <c r="V16" s="91"/>
      <c r="W16" s="91"/>
      <c r="X16" s="91"/>
      <c r="Y16" s="92"/>
      <c r="Z16" s="90"/>
      <c r="AA16" s="91"/>
      <c r="AB16" s="91"/>
      <c r="AC16" s="91"/>
      <c r="AD16" s="91"/>
      <c r="AE16" s="91"/>
      <c r="AF16" s="93"/>
      <c r="AG16" s="90"/>
      <c r="AH16" s="91"/>
      <c r="AI16" s="91"/>
      <c r="AJ16" s="91"/>
      <c r="AK16" s="91"/>
      <c r="AL16" s="91"/>
      <c r="AM16" s="93"/>
      <c r="AN16" s="90"/>
      <c r="AO16" s="91"/>
      <c r="AP16" s="91"/>
      <c r="AQ16" s="91"/>
      <c r="AR16" s="91"/>
      <c r="AS16" s="91"/>
      <c r="AT16" s="93"/>
      <c r="AU16" s="37">
        <f t="shared" si="5"/>
        <v>0</v>
      </c>
      <c r="AV16" s="37">
        <f t="shared" si="6"/>
        <v>0</v>
      </c>
      <c r="AW16" s="37">
        <f t="shared" si="7"/>
        <v>0</v>
      </c>
      <c r="AX16" s="37">
        <f t="shared" si="8"/>
        <v>0</v>
      </c>
      <c r="AY16" s="37">
        <f t="shared" si="9"/>
        <v>0</v>
      </c>
      <c r="AZ16" s="37">
        <f t="shared" si="10"/>
        <v>0</v>
      </c>
      <c r="BA16" s="20"/>
    </row>
    <row r="17" spans="1:53" ht="14.1" customHeight="1" x14ac:dyDescent="0.25">
      <c r="A17" s="89"/>
      <c r="B17" s="101" t="str" cm="1">
        <f t="array" ref="B17">_xlfn.IFNA(INDEX(Employees[Employment Type],MATCH(Schedule!A17:A17,Employees[Employee Names],0)),"")</f>
        <v/>
      </c>
      <c r="C17" s="101" t="str">
        <f>_xlfn.IFNA(INDEX(Employees[Employee Role],MATCH(Schedule!A17,Employees[Employee Names],0)),"")</f>
        <v/>
      </c>
      <c r="D17" s="102">
        <f>COUNTA(IF(Settings!$D$14 = TRUE,E17:AT17,$E17:$AF17))</f>
        <v>0</v>
      </c>
      <c r="E17" s="90"/>
      <c r="F17" s="91"/>
      <c r="G17" s="91"/>
      <c r="H17" s="91"/>
      <c r="I17" s="91"/>
      <c r="J17" s="91"/>
      <c r="K17" s="92"/>
      <c r="L17" s="90"/>
      <c r="M17" s="91"/>
      <c r="N17" s="91"/>
      <c r="O17" s="91"/>
      <c r="P17" s="91"/>
      <c r="Q17" s="91"/>
      <c r="R17" s="92"/>
      <c r="S17" s="90"/>
      <c r="T17" s="91"/>
      <c r="U17" s="91"/>
      <c r="V17" s="91"/>
      <c r="W17" s="91"/>
      <c r="X17" s="91"/>
      <c r="Y17" s="92"/>
      <c r="Z17" s="90"/>
      <c r="AA17" s="91"/>
      <c r="AB17" s="91"/>
      <c r="AC17" s="91"/>
      <c r="AD17" s="91"/>
      <c r="AE17" s="91"/>
      <c r="AF17" s="93"/>
      <c r="AG17" s="90"/>
      <c r="AH17" s="91"/>
      <c r="AI17" s="91"/>
      <c r="AJ17" s="91"/>
      <c r="AK17" s="91"/>
      <c r="AL17" s="91"/>
      <c r="AM17" s="93"/>
      <c r="AN17" s="90"/>
      <c r="AO17" s="91"/>
      <c r="AP17" s="91"/>
      <c r="AQ17" s="91"/>
      <c r="AR17" s="91"/>
      <c r="AS17" s="91"/>
      <c r="AT17" s="93"/>
      <c r="AU17" s="37">
        <f t="shared" si="5"/>
        <v>0</v>
      </c>
      <c r="AV17" s="37">
        <f t="shared" si="6"/>
        <v>0</v>
      </c>
      <c r="AW17" s="37">
        <f t="shared" si="7"/>
        <v>0</v>
      </c>
      <c r="AX17" s="37">
        <f t="shared" si="8"/>
        <v>0</v>
      </c>
      <c r="AY17" s="37">
        <f t="shared" si="9"/>
        <v>0</v>
      </c>
      <c r="AZ17" s="37">
        <f t="shared" si="10"/>
        <v>0</v>
      </c>
      <c r="BA17" s="20"/>
    </row>
    <row r="18" spans="1:53" ht="14.1" hidden="1" customHeight="1" x14ac:dyDescent="0.25">
      <c r="A18" s="89"/>
      <c r="B18" s="101" t="str" cm="1">
        <f t="array" ref="B18">_xlfn.IFNA(INDEX(Employees[Employment Type],MATCH(Schedule!A18:A18,Employees[Employee Names],0)),"")</f>
        <v/>
      </c>
      <c r="C18" s="101" t="str">
        <f>_xlfn.IFNA(INDEX(Employees[Employee Role],MATCH(Schedule!A18,Employees[Employee Names],0)),"")</f>
        <v/>
      </c>
      <c r="D18" s="102">
        <f>COUNTA(IF(Settings!$D$14 = TRUE,E18:AT18,$E18:$AF18))</f>
        <v>0</v>
      </c>
      <c r="E18" s="90"/>
      <c r="F18" s="91"/>
      <c r="G18" s="91"/>
      <c r="H18" s="91"/>
      <c r="I18" s="91"/>
      <c r="J18" s="91"/>
      <c r="K18" s="92"/>
      <c r="L18" s="90"/>
      <c r="M18" s="91"/>
      <c r="N18" s="91"/>
      <c r="O18" s="91"/>
      <c r="P18" s="91"/>
      <c r="Q18" s="91"/>
      <c r="R18" s="92"/>
      <c r="S18" s="90"/>
      <c r="T18" s="91"/>
      <c r="U18" s="91"/>
      <c r="V18" s="91"/>
      <c r="W18" s="91"/>
      <c r="X18" s="91"/>
      <c r="Y18" s="92"/>
      <c r="Z18" s="90"/>
      <c r="AA18" s="91"/>
      <c r="AB18" s="91"/>
      <c r="AC18" s="91"/>
      <c r="AD18" s="91"/>
      <c r="AE18" s="91"/>
      <c r="AF18" s="93"/>
      <c r="AG18" s="90"/>
      <c r="AH18" s="91"/>
      <c r="AI18" s="91"/>
      <c r="AJ18" s="91"/>
      <c r="AK18" s="91"/>
      <c r="AL18" s="91"/>
      <c r="AM18" s="93"/>
      <c r="AN18" s="90"/>
      <c r="AO18" s="91"/>
      <c r="AP18" s="91"/>
      <c r="AQ18" s="91"/>
      <c r="AR18" s="91"/>
      <c r="AS18" s="91"/>
      <c r="AT18" s="93"/>
      <c r="AU18" s="37">
        <f t="shared" si="5"/>
        <v>0</v>
      </c>
      <c r="AV18" s="37">
        <f t="shared" si="6"/>
        <v>0</v>
      </c>
      <c r="AW18" s="37">
        <f t="shared" si="7"/>
        <v>0</v>
      </c>
      <c r="AX18" s="37">
        <f t="shared" si="8"/>
        <v>0</v>
      </c>
      <c r="AY18" s="37">
        <f t="shared" si="9"/>
        <v>0</v>
      </c>
      <c r="AZ18" s="37">
        <f t="shared" si="10"/>
        <v>0</v>
      </c>
      <c r="BA18" s="20"/>
    </row>
    <row r="19" spans="1:53" ht="14.1" hidden="1" customHeight="1" x14ac:dyDescent="0.25">
      <c r="A19" s="89"/>
      <c r="B19" s="101" t="str" cm="1">
        <f t="array" ref="B19">_xlfn.IFNA(INDEX(Employees[Employment Type],MATCH(Schedule!A19:A19,Employees[Employee Names],0)),"")</f>
        <v/>
      </c>
      <c r="C19" s="101" t="str">
        <f>_xlfn.IFNA(INDEX(Employees[Employee Role],MATCH(Schedule!A19,Employees[Employee Names],0)),"")</f>
        <v/>
      </c>
      <c r="D19" s="102">
        <f>COUNTA(IF(Settings!$D$14 = TRUE,E19:AT19,$E19:$AF19))</f>
        <v>0</v>
      </c>
      <c r="E19" s="90"/>
      <c r="F19" s="91"/>
      <c r="G19" s="91"/>
      <c r="H19" s="91"/>
      <c r="I19" s="91"/>
      <c r="J19" s="91"/>
      <c r="K19" s="92"/>
      <c r="L19" s="90"/>
      <c r="M19" s="91"/>
      <c r="N19" s="91"/>
      <c r="O19" s="91"/>
      <c r="P19" s="91"/>
      <c r="Q19" s="91"/>
      <c r="R19" s="92"/>
      <c r="S19" s="90"/>
      <c r="T19" s="91"/>
      <c r="U19" s="91"/>
      <c r="V19" s="91"/>
      <c r="W19" s="91"/>
      <c r="X19" s="91"/>
      <c r="Y19" s="92"/>
      <c r="Z19" s="90"/>
      <c r="AA19" s="91"/>
      <c r="AB19" s="91"/>
      <c r="AC19" s="91"/>
      <c r="AD19" s="91"/>
      <c r="AE19" s="91"/>
      <c r="AF19" s="93"/>
      <c r="AG19" s="90"/>
      <c r="AH19" s="91"/>
      <c r="AI19" s="91"/>
      <c r="AJ19" s="91"/>
      <c r="AK19" s="91"/>
      <c r="AL19" s="91"/>
      <c r="AM19" s="93"/>
      <c r="AN19" s="90"/>
      <c r="AO19" s="91"/>
      <c r="AP19" s="91"/>
      <c r="AQ19" s="91"/>
      <c r="AR19" s="91"/>
      <c r="AS19" s="91"/>
      <c r="AT19" s="93"/>
      <c r="AU19" s="37">
        <f t="shared" si="5"/>
        <v>0</v>
      </c>
      <c r="AV19" s="37">
        <f t="shared" si="6"/>
        <v>0</v>
      </c>
      <c r="AW19" s="37">
        <f t="shared" si="7"/>
        <v>0</v>
      </c>
      <c r="AX19" s="37">
        <f t="shared" si="8"/>
        <v>0</v>
      </c>
      <c r="AY19" s="37">
        <f t="shared" si="9"/>
        <v>0</v>
      </c>
      <c r="AZ19" s="37">
        <f t="shared" si="10"/>
        <v>0</v>
      </c>
      <c r="BA19" s="20"/>
    </row>
    <row r="20" spans="1:53" ht="14.1" hidden="1" customHeight="1" x14ac:dyDescent="0.25">
      <c r="A20" s="89"/>
      <c r="B20" s="101" t="str" cm="1">
        <f t="array" ref="B20">_xlfn.IFNA(INDEX(Employees[Employment Type],MATCH(Schedule!A20:A20,Employees[Employee Names],0)),"")</f>
        <v/>
      </c>
      <c r="C20" s="101" t="str">
        <f>_xlfn.IFNA(INDEX(Employees[Employee Role],MATCH(Schedule!A20,Employees[Employee Names],0)),"")</f>
        <v/>
      </c>
      <c r="D20" s="102">
        <f>COUNTA(IF(Settings!$D$14 = TRUE,E20:AT20,$E20:$AF20))</f>
        <v>0</v>
      </c>
      <c r="E20" s="90"/>
      <c r="F20" s="91"/>
      <c r="G20" s="91"/>
      <c r="H20" s="91"/>
      <c r="I20" s="91"/>
      <c r="J20" s="91"/>
      <c r="K20" s="92"/>
      <c r="L20" s="90"/>
      <c r="M20" s="91"/>
      <c r="N20" s="91"/>
      <c r="O20" s="91"/>
      <c r="P20" s="91"/>
      <c r="Q20" s="91"/>
      <c r="R20" s="92"/>
      <c r="S20" s="90"/>
      <c r="T20" s="91"/>
      <c r="U20" s="91"/>
      <c r="V20" s="91"/>
      <c r="W20" s="91"/>
      <c r="X20" s="91"/>
      <c r="Y20" s="92"/>
      <c r="Z20" s="90"/>
      <c r="AA20" s="91"/>
      <c r="AB20" s="91"/>
      <c r="AC20" s="91"/>
      <c r="AD20" s="91"/>
      <c r="AE20" s="91"/>
      <c r="AF20" s="93"/>
      <c r="AG20" s="90"/>
      <c r="AH20" s="91"/>
      <c r="AI20" s="91"/>
      <c r="AJ20" s="91"/>
      <c r="AK20" s="91"/>
      <c r="AL20" s="91"/>
      <c r="AM20" s="93"/>
      <c r="AN20" s="90"/>
      <c r="AO20" s="91"/>
      <c r="AP20" s="91"/>
      <c r="AQ20" s="91"/>
      <c r="AR20" s="91"/>
      <c r="AS20" s="91"/>
      <c r="AT20" s="93"/>
      <c r="AU20" s="37">
        <f t="shared" si="5"/>
        <v>0</v>
      </c>
      <c r="AV20" s="37">
        <f t="shared" si="6"/>
        <v>0</v>
      </c>
      <c r="AW20" s="37">
        <f t="shared" si="7"/>
        <v>0</v>
      </c>
      <c r="AX20" s="37">
        <f t="shared" si="8"/>
        <v>0</v>
      </c>
      <c r="AY20" s="37">
        <f t="shared" si="9"/>
        <v>0</v>
      </c>
      <c r="AZ20" s="37">
        <f t="shared" si="10"/>
        <v>0</v>
      </c>
      <c r="BA20" s="20"/>
    </row>
    <row r="21" spans="1:53" ht="14.1" hidden="1" customHeight="1" x14ac:dyDescent="0.25">
      <c r="A21" s="89"/>
      <c r="B21" s="101" t="str" cm="1">
        <f t="array" ref="B21">_xlfn.IFNA(INDEX(Employees[Employment Type],MATCH(Schedule!A21:A21,Employees[Employee Names],0)),"")</f>
        <v/>
      </c>
      <c r="C21" s="101" t="str">
        <f>_xlfn.IFNA(INDEX(Employees[Employee Role],MATCH(Schedule!A21,Employees[Employee Names],0)),"")</f>
        <v/>
      </c>
      <c r="D21" s="102">
        <f>COUNTA(IF(Settings!$D$14 = TRUE,E21:AT21,$E21:$AF21))</f>
        <v>0</v>
      </c>
      <c r="E21" s="90"/>
      <c r="F21" s="91"/>
      <c r="G21" s="91"/>
      <c r="H21" s="91"/>
      <c r="I21" s="91"/>
      <c r="J21" s="91"/>
      <c r="K21" s="92"/>
      <c r="L21" s="90"/>
      <c r="M21" s="91"/>
      <c r="N21" s="91"/>
      <c r="O21" s="91"/>
      <c r="P21" s="91"/>
      <c r="Q21" s="91"/>
      <c r="R21" s="92"/>
      <c r="S21" s="90"/>
      <c r="T21" s="91"/>
      <c r="U21" s="91"/>
      <c r="V21" s="91"/>
      <c r="W21" s="91"/>
      <c r="X21" s="91"/>
      <c r="Y21" s="92"/>
      <c r="Z21" s="90"/>
      <c r="AA21" s="91"/>
      <c r="AB21" s="91"/>
      <c r="AC21" s="91"/>
      <c r="AD21" s="91"/>
      <c r="AE21" s="91"/>
      <c r="AF21" s="93"/>
      <c r="AG21" s="90"/>
      <c r="AH21" s="91"/>
      <c r="AI21" s="91"/>
      <c r="AJ21" s="91"/>
      <c r="AK21" s="91"/>
      <c r="AL21" s="91"/>
      <c r="AM21" s="93"/>
      <c r="AN21" s="90"/>
      <c r="AO21" s="91"/>
      <c r="AP21" s="91"/>
      <c r="AQ21" s="91"/>
      <c r="AR21" s="91"/>
      <c r="AS21" s="91"/>
      <c r="AT21" s="93"/>
      <c r="AU21" s="37">
        <f t="shared" si="5"/>
        <v>0</v>
      </c>
      <c r="AV21" s="37">
        <f t="shared" si="6"/>
        <v>0</v>
      </c>
      <c r="AW21" s="37">
        <f t="shared" si="7"/>
        <v>0</v>
      </c>
      <c r="AX21" s="37">
        <f t="shared" si="8"/>
        <v>0</v>
      </c>
      <c r="AY21" s="37">
        <f t="shared" si="9"/>
        <v>0</v>
      </c>
      <c r="AZ21" s="37">
        <f t="shared" si="10"/>
        <v>0</v>
      </c>
      <c r="BA21" s="20"/>
    </row>
    <row r="22" spans="1:53" ht="14.1" hidden="1" customHeight="1" x14ac:dyDescent="0.25">
      <c r="A22" s="89"/>
      <c r="B22" s="101" t="str" cm="1">
        <f t="array" ref="B22">_xlfn.IFNA(INDEX(Employees[Employment Type],MATCH(Schedule!A22:A22,Employees[Employee Names],0)),"")</f>
        <v/>
      </c>
      <c r="C22" s="101" t="str">
        <f>_xlfn.IFNA(INDEX(Employees[Employee Role],MATCH(Schedule!A22,Employees[Employee Names],0)),"")</f>
        <v/>
      </c>
      <c r="D22" s="102">
        <f>COUNTA(IF(Settings!$D$14 = TRUE,E22:AT22,$E22:$AF22))</f>
        <v>0</v>
      </c>
      <c r="E22" s="90"/>
      <c r="F22" s="91"/>
      <c r="G22" s="91"/>
      <c r="H22" s="91"/>
      <c r="I22" s="91"/>
      <c r="J22" s="91"/>
      <c r="K22" s="92"/>
      <c r="L22" s="90"/>
      <c r="M22" s="91"/>
      <c r="N22" s="91"/>
      <c r="O22" s="91"/>
      <c r="P22" s="91"/>
      <c r="Q22" s="91"/>
      <c r="R22" s="92"/>
      <c r="S22" s="90"/>
      <c r="T22" s="91"/>
      <c r="U22" s="91"/>
      <c r="V22" s="91"/>
      <c r="W22" s="91"/>
      <c r="X22" s="91"/>
      <c r="Y22" s="92"/>
      <c r="Z22" s="90"/>
      <c r="AA22" s="91"/>
      <c r="AB22" s="91"/>
      <c r="AC22" s="91"/>
      <c r="AD22" s="91"/>
      <c r="AE22" s="91"/>
      <c r="AF22" s="93"/>
      <c r="AG22" s="90"/>
      <c r="AH22" s="91"/>
      <c r="AI22" s="91"/>
      <c r="AJ22" s="91"/>
      <c r="AK22" s="91"/>
      <c r="AL22" s="91"/>
      <c r="AM22" s="93"/>
      <c r="AN22" s="90"/>
      <c r="AO22" s="91"/>
      <c r="AP22" s="91"/>
      <c r="AQ22" s="91"/>
      <c r="AR22" s="91"/>
      <c r="AS22" s="91"/>
      <c r="AT22" s="93"/>
      <c r="AU22" s="37">
        <f t="shared" si="5"/>
        <v>0</v>
      </c>
      <c r="AV22" s="37">
        <f t="shared" si="6"/>
        <v>0</v>
      </c>
      <c r="AW22" s="37">
        <f t="shared" si="7"/>
        <v>0</v>
      </c>
      <c r="AX22" s="37">
        <f t="shared" si="8"/>
        <v>0</v>
      </c>
      <c r="AY22" s="37">
        <f t="shared" si="9"/>
        <v>0</v>
      </c>
      <c r="AZ22" s="37">
        <f t="shared" si="10"/>
        <v>0</v>
      </c>
      <c r="BA22" s="20"/>
    </row>
    <row r="23" spans="1:53" ht="14.1" hidden="1" customHeight="1" x14ac:dyDescent="0.25">
      <c r="A23" s="89"/>
      <c r="B23" s="101" t="str" cm="1">
        <f t="array" ref="B23">_xlfn.IFNA(INDEX(Employees[Employment Type],MATCH(Schedule!A23:A23,Employees[Employee Names],0)),"")</f>
        <v/>
      </c>
      <c r="C23" s="101" t="str">
        <f>_xlfn.IFNA(INDEX(Employees[Employee Role],MATCH(Schedule!A23,Employees[Employee Names],0)),"")</f>
        <v/>
      </c>
      <c r="D23" s="102">
        <f>COUNTA(IF(Settings!$D$14 = TRUE,E23:AT23,$E23:$AF23))</f>
        <v>0</v>
      </c>
      <c r="E23" s="90"/>
      <c r="F23" s="91"/>
      <c r="G23" s="91"/>
      <c r="H23" s="91"/>
      <c r="I23" s="91"/>
      <c r="J23" s="91"/>
      <c r="K23" s="92"/>
      <c r="L23" s="90"/>
      <c r="M23" s="91"/>
      <c r="N23" s="91"/>
      <c r="O23" s="91"/>
      <c r="P23" s="91"/>
      <c r="Q23" s="91"/>
      <c r="R23" s="92"/>
      <c r="S23" s="90"/>
      <c r="T23" s="91"/>
      <c r="U23" s="91"/>
      <c r="V23" s="91"/>
      <c r="W23" s="91"/>
      <c r="X23" s="91"/>
      <c r="Y23" s="92"/>
      <c r="Z23" s="90"/>
      <c r="AA23" s="91"/>
      <c r="AB23" s="91"/>
      <c r="AC23" s="91"/>
      <c r="AD23" s="91"/>
      <c r="AE23" s="91"/>
      <c r="AF23" s="93"/>
      <c r="AG23" s="90"/>
      <c r="AH23" s="91"/>
      <c r="AI23" s="91"/>
      <c r="AJ23" s="91"/>
      <c r="AK23" s="91"/>
      <c r="AL23" s="91"/>
      <c r="AM23" s="93"/>
      <c r="AN23" s="90"/>
      <c r="AO23" s="91"/>
      <c r="AP23" s="91"/>
      <c r="AQ23" s="91"/>
      <c r="AR23" s="91"/>
      <c r="AS23" s="91"/>
      <c r="AT23" s="93"/>
      <c r="AU23" s="37">
        <f t="shared" si="5"/>
        <v>0</v>
      </c>
      <c r="AV23" s="37">
        <f t="shared" si="6"/>
        <v>0</v>
      </c>
      <c r="AW23" s="37">
        <f t="shared" si="7"/>
        <v>0</v>
      </c>
      <c r="AX23" s="37">
        <f t="shared" si="8"/>
        <v>0</v>
      </c>
      <c r="AY23" s="37">
        <f t="shared" si="9"/>
        <v>0</v>
      </c>
      <c r="AZ23" s="37">
        <f t="shared" si="10"/>
        <v>0</v>
      </c>
      <c r="BA23" s="20"/>
    </row>
    <row r="24" spans="1:53" ht="14.1" hidden="1" customHeight="1" x14ac:dyDescent="0.25">
      <c r="A24" s="89"/>
      <c r="B24" s="101" t="str" cm="1">
        <f t="array" ref="B24">_xlfn.IFNA(INDEX(Employees[Employment Type],MATCH(Schedule!A24:A24,Employees[Employee Names],0)),"")</f>
        <v/>
      </c>
      <c r="C24" s="101" t="str">
        <f>_xlfn.IFNA(INDEX(Employees[Employee Role],MATCH(Schedule!A24,Employees[Employee Names],0)),"")</f>
        <v/>
      </c>
      <c r="D24" s="102">
        <f>COUNTA(IF(Settings!$D$14 = TRUE,E24:AT24,$E24:$AF24))</f>
        <v>0</v>
      </c>
      <c r="E24" s="90"/>
      <c r="F24" s="91"/>
      <c r="G24" s="91"/>
      <c r="H24" s="91"/>
      <c r="I24" s="91"/>
      <c r="J24" s="91"/>
      <c r="K24" s="92"/>
      <c r="L24" s="90"/>
      <c r="M24" s="91"/>
      <c r="N24" s="91"/>
      <c r="O24" s="91"/>
      <c r="P24" s="91"/>
      <c r="Q24" s="91"/>
      <c r="R24" s="92"/>
      <c r="S24" s="90"/>
      <c r="T24" s="91"/>
      <c r="U24" s="91"/>
      <c r="V24" s="91"/>
      <c r="W24" s="91"/>
      <c r="X24" s="91"/>
      <c r="Y24" s="92"/>
      <c r="Z24" s="90"/>
      <c r="AA24" s="91"/>
      <c r="AB24" s="91"/>
      <c r="AC24" s="91"/>
      <c r="AD24" s="91"/>
      <c r="AE24" s="91"/>
      <c r="AF24" s="93"/>
      <c r="AG24" s="90"/>
      <c r="AH24" s="91"/>
      <c r="AI24" s="91"/>
      <c r="AJ24" s="91"/>
      <c r="AK24" s="91"/>
      <c r="AL24" s="91"/>
      <c r="AM24" s="93"/>
      <c r="AN24" s="90"/>
      <c r="AO24" s="91"/>
      <c r="AP24" s="91"/>
      <c r="AQ24" s="91"/>
      <c r="AR24" s="91"/>
      <c r="AS24" s="91"/>
      <c r="AT24" s="93"/>
      <c r="AU24" s="37">
        <f t="shared" si="5"/>
        <v>0</v>
      </c>
      <c r="AV24" s="37">
        <f t="shared" si="6"/>
        <v>0</v>
      </c>
      <c r="AW24" s="37">
        <f t="shared" si="7"/>
        <v>0</v>
      </c>
      <c r="AX24" s="37">
        <f t="shared" si="8"/>
        <v>0</v>
      </c>
      <c r="AY24" s="37">
        <f t="shared" si="9"/>
        <v>0</v>
      </c>
      <c r="AZ24" s="37">
        <f t="shared" si="10"/>
        <v>0</v>
      </c>
      <c r="BA24" s="20"/>
    </row>
    <row r="25" spans="1:53" ht="14.1" hidden="1" customHeight="1" x14ac:dyDescent="0.25">
      <c r="A25" s="89"/>
      <c r="B25" s="101" t="str" cm="1">
        <f t="array" ref="B25">_xlfn.IFNA(INDEX(Employees[Employment Type],MATCH(Schedule!A25:A25,Employees[Employee Names],0)),"")</f>
        <v/>
      </c>
      <c r="C25" s="101" t="str">
        <f>_xlfn.IFNA(INDEX(Employees[Employee Role],MATCH(Schedule!A25,Employees[Employee Names],0)),"")</f>
        <v/>
      </c>
      <c r="D25" s="102">
        <f>COUNTA(IF(Settings!$D$14 = TRUE,E25:AT25,$E25:$AF25))</f>
        <v>0</v>
      </c>
      <c r="E25" s="90"/>
      <c r="F25" s="91"/>
      <c r="G25" s="91"/>
      <c r="H25" s="91"/>
      <c r="I25" s="91"/>
      <c r="J25" s="91"/>
      <c r="K25" s="92"/>
      <c r="L25" s="90"/>
      <c r="M25" s="91"/>
      <c r="N25" s="91"/>
      <c r="O25" s="91"/>
      <c r="P25" s="91"/>
      <c r="Q25" s="91"/>
      <c r="R25" s="92"/>
      <c r="S25" s="90"/>
      <c r="T25" s="91"/>
      <c r="U25" s="91"/>
      <c r="V25" s="91"/>
      <c r="W25" s="91"/>
      <c r="X25" s="91"/>
      <c r="Y25" s="92"/>
      <c r="Z25" s="90"/>
      <c r="AA25" s="91"/>
      <c r="AB25" s="91"/>
      <c r="AC25" s="91"/>
      <c r="AD25" s="91"/>
      <c r="AE25" s="91"/>
      <c r="AF25" s="93"/>
      <c r="AG25" s="90"/>
      <c r="AH25" s="91"/>
      <c r="AI25" s="91"/>
      <c r="AJ25" s="91"/>
      <c r="AK25" s="91"/>
      <c r="AL25" s="91"/>
      <c r="AM25" s="93"/>
      <c r="AN25" s="90"/>
      <c r="AO25" s="91"/>
      <c r="AP25" s="91"/>
      <c r="AQ25" s="91"/>
      <c r="AR25" s="91"/>
      <c r="AS25" s="91"/>
      <c r="AT25" s="93"/>
      <c r="AU25" s="37">
        <f t="shared" si="5"/>
        <v>0</v>
      </c>
      <c r="AV25" s="37">
        <f t="shared" si="6"/>
        <v>0</v>
      </c>
      <c r="AW25" s="37">
        <f t="shared" si="7"/>
        <v>0</v>
      </c>
      <c r="AX25" s="37">
        <f t="shared" si="8"/>
        <v>0</v>
      </c>
      <c r="AY25" s="37">
        <f t="shared" si="9"/>
        <v>0</v>
      </c>
      <c r="AZ25" s="37">
        <f t="shared" si="10"/>
        <v>0</v>
      </c>
      <c r="BA25" s="20"/>
    </row>
    <row r="26" spans="1:53" ht="14.1" hidden="1" customHeight="1" x14ac:dyDescent="0.25">
      <c r="A26" s="89"/>
      <c r="B26" s="101" t="str" cm="1">
        <f t="array" ref="B26">_xlfn.IFNA(INDEX(Employees[Employment Type],MATCH(Schedule!A26:A26,Employees[Employee Names],0)),"")</f>
        <v/>
      </c>
      <c r="C26" s="101" t="str">
        <f>_xlfn.IFNA(INDEX(Employees[Employee Role],MATCH(Schedule!A26,Employees[Employee Names],0)),"")</f>
        <v/>
      </c>
      <c r="D26" s="102">
        <f>COUNTA(IF(Settings!$D$14 = TRUE,E26:AT26,$E26:$AF26))</f>
        <v>0</v>
      </c>
      <c r="E26" s="90"/>
      <c r="F26" s="91"/>
      <c r="G26" s="91"/>
      <c r="H26" s="91"/>
      <c r="I26" s="91"/>
      <c r="J26" s="91"/>
      <c r="K26" s="92"/>
      <c r="L26" s="90"/>
      <c r="M26" s="91"/>
      <c r="N26" s="91"/>
      <c r="O26" s="91"/>
      <c r="P26" s="91"/>
      <c r="Q26" s="91"/>
      <c r="R26" s="92"/>
      <c r="S26" s="90"/>
      <c r="T26" s="91"/>
      <c r="U26" s="91"/>
      <c r="V26" s="91"/>
      <c r="W26" s="91"/>
      <c r="X26" s="91"/>
      <c r="Y26" s="92"/>
      <c r="Z26" s="90"/>
      <c r="AA26" s="91"/>
      <c r="AB26" s="91"/>
      <c r="AC26" s="91"/>
      <c r="AD26" s="91"/>
      <c r="AE26" s="91"/>
      <c r="AF26" s="93"/>
      <c r="AG26" s="90"/>
      <c r="AH26" s="91"/>
      <c r="AI26" s="91"/>
      <c r="AJ26" s="91"/>
      <c r="AK26" s="91"/>
      <c r="AL26" s="91"/>
      <c r="AM26" s="93"/>
      <c r="AN26" s="90"/>
      <c r="AO26" s="91"/>
      <c r="AP26" s="91"/>
      <c r="AQ26" s="91"/>
      <c r="AR26" s="91"/>
      <c r="AS26" s="91"/>
      <c r="AT26" s="93"/>
      <c r="AU26" s="37">
        <f t="shared" si="5"/>
        <v>0</v>
      </c>
      <c r="AV26" s="37">
        <f t="shared" si="6"/>
        <v>0</v>
      </c>
      <c r="AW26" s="37">
        <f t="shared" si="7"/>
        <v>0</v>
      </c>
      <c r="AX26" s="37">
        <f t="shared" si="8"/>
        <v>0</v>
      </c>
      <c r="AY26" s="37">
        <f t="shared" si="9"/>
        <v>0</v>
      </c>
      <c r="AZ26" s="37">
        <f t="shared" si="10"/>
        <v>0</v>
      </c>
      <c r="BA26" s="20"/>
    </row>
    <row r="27" spans="1:53" ht="14.1" hidden="1" customHeight="1" x14ac:dyDescent="0.25">
      <c r="A27" s="89"/>
      <c r="B27" s="101" t="str" cm="1">
        <f t="array" ref="B27">_xlfn.IFNA(INDEX(Employees[Employment Type],MATCH(Schedule!A27:A27,Employees[Employee Names],0)),"")</f>
        <v/>
      </c>
      <c r="C27" s="101" t="str">
        <f>_xlfn.IFNA(INDEX(Employees[Employee Role],MATCH(Schedule!A27,Employees[Employee Names],0)),"")</f>
        <v/>
      </c>
      <c r="D27" s="102">
        <f>COUNTA(IF(Settings!$D$14 = TRUE,E27:AT27,$E27:$AF27))</f>
        <v>0</v>
      </c>
      <c r="E27" s="90"/>
      <c r="F27" s="91"/>
      <c r="G27" s="91"/>
      <c r="H27" s="91"/>
      <c r="I27" s="91"/>
      <c r="J27" s="91"/>
      <c r="K27" s="92"/>
      <c r="L27" s="90"/>
      <c r="M27" s="91"/>
      <c r="N27" s="91"/>
      <c r="O27" s="91"/>
      <c r="P27" s="91"/>
      <c r="Q27" s="91"/>
      <c r="R27" s="92"/>
      <c r="S27" s="90"/>
      <c r="T27" s="91"/>
      <c r="U27" s="91"/>
      <c r="V27" s="91"/>
      <c r="W27" s="91"/>
      <c r="X27" s="91"/>
      <c r="Y27" s="92"/>
      <c r="Z27" s="90"/>
      <c r="AA27" s="91"/>
      <c r="AB27" s="91"/>
      <c r="AC27" s="91"/>
      <c r="AD27" s="91"/>
      <c r="AE27" s="91"/>
      <c r="AF27" s="93"/>
      <c r="AG27" s="90"/>
      <c r="AH27" s="91"/>
      <c r="AI27" s="91"/>
      <c r="AJ27" s="91"/>
      <c r="AK27" s="91"/>
      <c r="AL27" s="91"/>
      <c r="AM27" s="93"/>
      <c r="AN27" s="90"/>
      <c r="AO27" s="91"/>
      <c r="AP27" s="91"/>
      <c r="AQ27" s="91"/>
      <c r="AR27" s="91"/>
      <c r="AS27" s="91"/>
      <c r="AT27" s="93"/>
      <c r="AU27" s="37">
        <f t="shared" si="5"/>
        <v>0</v>
      </c>
      <c r="AV27" s="37">
        <f t="shared" si="6"/>
        <v>0</v>
      </c>
      <c r="AW27" s="37">
        <f t="shared" si="7"/>
        <v>0</v>
      </c>
      <c r="AX27" s="37">
        <f t="shared" si="8"/>
        <v>0</v>
      </c>
      <c r="AY27" s="37">
        <f t="shared" si="9"/>
        <v>0</v>
      </c>
      <c r="AZ27" s="37">
        <f t="shared" si="10"/>
        <v>0</v>
      </c>
      <c r="BA27" s="20"/>
    </row>
    <row r="28" spans="1:53" ht="14.1" hidden="1" customHeight="1" x14ac:dyDescent="0.25">
      <c r="A28" s="89"/>
      <c r="B28" s="101" t="str" cm="1">
        <f t="array" ref="B28">_xlfn.IFNA(INDEX(Employees[Employment Type],MATCH(Schedule!A28:A28,Employees[Employee Names],0)),"")</f>
        <v/>
      </c>
      <c r="C28" s="101" t="str">
        <f>_xlfn.IFNA(INDEX(Employees[Employee Role],MATCH(Schedule!A28,Employees[Employee Names],0)),"")</f>
        <v/>
      </c>
      <c r="D28" s="102">
        <f>COUNTA(IF(Settings!$D$14 = TRUE,E28:AT28,$E28:$AF28))</f>
        <v>0</v>
      </c>
      <c r="E28" s="90"/>
      <c r="F28" s="91"/>
      <c r="G28" s="91"/>
      <c r="H28" s="91"/>
      <c r="I28" s="91"/>
      <c r="J28" s="91"/>
      <c r="K28" s="92"/>
      <c r="L28" s="90"/>
      <c r="M28" s="91"/>
      <c r="N28" s="91"/>
      <c r="O28" s="91"/>
      <c r="P28" s="91"/>
      <c r="Q28" s="91"/>
      <c r="R28" s="92"/>
      <c r="S28" s="90"/>
      <c r="T28" s="91"/>
      <c r="U28" s="91"/>
      <c r="V28" s="91"/>
      <c r="W28" s="91"/>
      <c r="X28" s="91"/>
      <c r="Y28" s="92"/>
      <c r="Z28" s="90"/>
      <c r="AA28" s="91"/>
      <c r="AB28" s="91"/>
      <c r="AC28" s="91"/>
      <c r="AD28" s="91"/>
      <c r="AE28" s="91"/>
      <c r="AF28" s="93"/>
      <c r="AG28" s="90"/>
      <c r="AH28" s="91"/>
      <c r="AI28" s="91"/>
      <c r="AJ28" s="91"/>
      <c r="AK28" s="91"/>
      <c r="AL28" s="91"/>
      <c r="AM28" s="93"/>
      <c r="AN28" s="90"/>
      <c r="AO28" s="91"/>
      <c r="AP28" s="91"/>
      <c r="AQ28" s="91"/>
      <c r="AR28" s="91"/>
      <c r="AS28" s="91"/>
      <c r="AT28" s="93"/>
      <c r="AU28" s="37">
        <f t="shared" si="5"/>
        <v>0</v>
      </c>
      <c r="AV28" s="37">
        <f t="shared" si="6"/>
        <v>0</v>
      </c>
      <c r="AW28" s="37">
        <f t="shared" si="7"/>
        <v>0</v>
      </c>
      <c r="AX28" s="37">
        <f t="shared" si="8"/>
        <v>0</v>
      </c>
      <c r="AY28" s="37">
        <f t="shared" si="9"/>
        <v>0</v>
      </c>
      <c r="AZ28" s="37">
        <f t="shared" si="10"/>
        <v>0</v>
      </c>
      <c r="BA28" s="20"/>
    </row>
    <row r="29" spans="1:53" ht="14.1" hidden="1" customHeight="1" x14ac:dyDescent="0.25">
      <c r="A29" s="89"/>
      <c r="B29" s="101" t="str" cm="1">
        <f t="array" ref="B29">_xlfn.IFNA(INDEX(Employees[Employment Type],MATCH(Schedule!A29:A29,Employees[Employee Names],0)),"")</f>
        <v/>
      </c>
      <c r="C29" s="101" t="str">
        <f>_xlfn.IFNA(INDEX(Employees[Employee Role],MATCH(Schedule!A29,Employees[Employee Names],0)),"")</f>
        <v/>
      </c>
      <c r="D29" s="102">
        <f>COUNTA(IF(Settings!$D$14 = TRUE,E29:AT29,$E29:$AF29))</f>
        <v>0</v>
      </c>
      <c r="E29" s="90"/>
      <c r="F29" s="91"/>
      <c r="G29" s="91"/>
      <c r="H29" s="91"/>
      <c r="I29" s="91"/>
      <c r="J29" s="91"/>
      <c r="K29" s="92"/>
      <c r="L29" s="90"/>
      <c r="M29" s="91"/>
      <c r="N29" s="91"/>
      <c r="O29" s="91"/>
      <c r="P29" s="91"/>
      <c r="Q29" s="91"/>
      <c r="R29" s="92"/>
      <c r="S29" s="90"/>
      <c r="T29" s="91"/>
      <c r="U29" s="91"/>
      <c r="V29" s="91"/>
      <c r="W29" s="91"/>
      <c r="X29" s="91"/>
      <c r="Y29" s="92"/>
      <c r="Z29" s="90"/>
      <c r="AA29" s="91"/>
      <c r="AB29" s="91"/>
      <c r="AC29" s="91"/>
      <c r="AD29" s="91"/>
      <c r="AE29" s="91"/>
      <c r="AF29" s="93"/>
      <c r="AG29" s="90"/>
      <c r="AH29" s="91"/>
      <c r="AI29" s="91"/>
      <c r="AJ29" s="91"/>
      <c r="AK29" s="91"/>
      <c r="AL29" s="91"/>
      <c r="AM29" s="93"/>
      <c r="AN29" s="90"/>
      <c r="AO29" s="91"/>
      <c r="AP29" s="91"/>
      <c r="AQ29" s="91"/>
      <c r="AR29" s="91"/>
      <c r="AS29" s="91"/>
      <c r="AT29" s="93"/>
      <c r="AU29" s="37">
        <f t="shared" si="5"/>
        <v>0</v>
      </c>
      <c r="AV29" s="37">
        <f t="shared" si="6"/>
        <v>0</v>
      </c>
      <c r="AW29" s="37">
        <f t="shared" si="7"/>
        <v>0</v>
      </c>
      <c r="AX29" s="37">
        <f t="shared" si="8"/>
        <v>0</v>
      </c>
      <c r="AY29" s="37">
        <f t="shared" si="9"/>
        <v>0</v>
      </c>
      <c r="AZ29" s="37">
        <f t="shared" si="10"/>
        <v>0</v>
      </c>
      <c r="BA29" s="20"/>
    </row>
    <row r="30" spans="1:53" ht="14.1" hidden="1" customHeight="1" x14ac:dyDescent="0.25">
      <c r="A30" s="89"/>
      <c r="B30" s="101" t="str" cm="1">
        <f t="array" ref="B30">_xlfn.IFNA(INDEX(Employees[Employment Type],MATCH(Schedule!A30:A30,Employees[Employee Names],0)),"")</f>
        <v/>
      </c>
      <c r="C30" s="101" t="str">
        <f>_xlfn.IFNA(INDEX(Employees[Employee Role],MATCH(Schedule!A30,Employees[Employee Names],0)),"")</f>
        <v/>
      </c>
      <c r="D30" s="102">
        <f>COUNTA(IF(Settings!$D$14 = TRUE,E30:AT30,$E30:$AF30))</f>
        <v>0</v>
      </c>
      <c r="E30" s="90"/>
      <c r="F30" s="91"/>
      <c r="G30" s="91"/>
      <c r="H30" s="91"/>
      <c r="I30" s="91"/>
      <c r="J30" s="91"/>
      <c r="K30" s="92"/>
      <c r="L30" s="90"/>
      <c r="M30" s="91"/>
      <c r="N30" s="91"/>
      <c r="O30" s="91"/>
      <c r="P30" s="91"/>
      <c r="Q30" s="91"/>
      <c r="R30" s="92"/>
      <c r="S30" s="90"/>
      <c r="T30" s="91"/>
      <c r="U30" s="91"/>
      <c r="V30" s="91"/>
      <c r="W30" s="91"/>
      <c r="X30" s="91"/>
      <c r="Y30" s="92"/>
      <c r="Z30" s="90"/>
      <c r="AA30" s="91"/>
      <c r="AB30" s="91"/>
      <c r="AC30" s="91"/>
      <c r="AD30" s="91"/>
      <c r="AE30" s="91"/>
      <c r="AF30" s="93"/>
      <c r="AG30" s="90"/>
      <c r="AH30" s="91"/>
      <c r="AI30" s="91"/>
      <c r="AJ30" s="91"/>
      <c r="AK30" s="91"/>
      <c r="AL30" s="91"/>
      <c r="AM30" s="93"/>
      <c r="AN30" s="90"/>
      <c r="AO30" s="91"/>
      <c r="AP30" s="91"/>
      <c r="AQ30" s="91"/>
      <c r="AR30" s="91"/>
      <c r="AS30" s="91"/>
      <c r="AT30" s="93"/>
      <c r="AU30" s="37">
        <f t="shared" si="5"/>
        <v>0</v>
      </c>
      <c r="AV30" s="37">
        <f t="shared" si="6"/>
        <v>0</v>
      </c>
      <c r="AW30" s="37">
        <f t="shared" si="7"/>
        <v>0</v>
      </c>
      <c r="AX30" s="37">
        <f t="shared" si="8"/>
        <v>0</v>
      </c>
      <c r="AY30" s="37">
        <f t="shared" si="9"/>
        <v>0</v>
      </c>
      <c r="AZ30" s="37">
        <f t="shared" si="10"/>
        <v>0</v>
      </c>
      <c r="BA30" s="20"/>
    </row>
    <row r="31" spans="1:53" ht="14.1" hidden="1" customHeight="1" x14ac:dyDescent="0.25">
      <c r="A31" s="89"/>
      <c r="B31" s="101" t="str" cm="1">
        <f t="array" ref="B31">_xlfn.IFNA(INDEX(Employees[Employment Type],MATCH(Schedule!A31:A31,Employees[Employee Names],0)),"")</f>
        <v/>
      </c>
      <c r="C31" s="101" t="str">
        <f>_xlfn.IFNA(INDEX(Employees[Employee Role],MATCH(Schedule!A31,Employees[Employee Names],0)),"")</f>
        <v/>
      </c>
      <c r="D31" s="102">
        <f>COUNTA(IF(Settings!$D$14 = TRUE,E31:AT31,$E31:$AF31))</f>
        <v>0</v>
      </c>
      <c r="E31" s="90"/>
      <c r="F31" s="91"/>
      <c r="G31" s="91"/>
      <c r="H31" s="91"/>
      <c r="I31" s="91"/>
      <c r="J31" s="91"/>
      <c r="K31" s="92"/>
      <c r="L31" s="90"/>
      <c r="M31" s="91"/>
      <c r="N31" s="91"/>
      <c r="O31" s="91"/>
      <c r="P31" s="91"/>
      <c r="Q31" s="91"/>
      <c r="R31" s="92"/>
      <c r="S31" s="90"/>
      <c r="T31" s="91"/>
      <c r="U31" s="91"/>
      <c r="V31" s="91"/>
      <c r="W31" s="91"/>
      <c r="X31" s="91"/>
      <c r="Y31" s="92"/>
      <c r="Z31" s="90"/>
      <c r="AA31" s="91"/>
      <c r="AB31" s="91"/>
      <c r="AC31" s="91"/>
      <c r="AD31" s="91"/>
      <c r="AE31" s="91"/>
      <c r="AF31" s="93"/>
      <c r="AG31" s="90"/>
      <c r="AH31" s="91"/>
      <c r="AI31" s="91"/>
      <c r="AJ31" s="91"/>
      <c r="AK31" s="91"/>
      <c r="AL31" s="91"/>
      <c r="AM31" s="93"/>
      <c r="AN31" s="90"/>
      <c r="AO31" s="91"/>
      <c r="AP31" s="91"/>
      <c r="AQ31" s="91"/>
      <c r="AR31" s="91"/>
      <c r="AS31" s="91"/>
      <c r="AT31" s="93"/>
      <c r="AU31" s="37">
        <f t="shared" si="5"/>
        <v>0</v>
      </c>
      <c r="AV31" s="37">
        <f t="shared" si="6"/>
        <v>0</v>
      </c>
      <c r="AW31" s="37">
        <f t="shared" si="7"/>
        <v>0</v>
      </c>
      <c r="AX31" s="37">
        <f t="shared" si="8"/>
        <v>0</v>
      </c>
      <c r="AY31" s="37">
        <f t="shared" si="9"/>
        <v>0</v>
      </c>
      <c r="AZ31" s="37">
        <f t="shared" si="10"/>
        <v>0</v>
      </c>
      <c r="BA31" s="20"/>
    </row>
    <row r="32" spans="1:53" ht="14.1" hidden="1" customHeight="1" x14ac:dyDescent="0.25">
      <c r="A32" s="89"/>
      <c r="B32" s="101" t="str" cm="1">
        <f t="array" ref="B32">_xlfn.IFNA(INDEX(Employees[Employment Type],MATCH(Schedule!A32:A32,Employees[Employee Names],0)),"")</f>
        <v/>
      </c>
      <c r="C32" s="101" t="str">
        <f>_xlfn.IFNA(INDEX(Employees[Employee Role],MATCH(Schedule!A32,Employees[Employee Names],0)),"")</f>
        <v/>
      </c>
      <c r="D32" s="102">
        <f>COUNTA(IF(Settings!$D$14 = TRUE,E32:AT32,$E32:$AF32))</f>
        <v>0</v>
      </c>
      <c r="E32" s="90"/>
      <c r="F32" s="91"/>
      <c r="G32" s="91"/>
      <c r="H32" s="91"/>
      <c r="I32" s="91"/>
      <c r="J32" s="91"/>
      <c r="K32" s="92"/>
      <c r="L32" s="90"/>
      <c r="M32" s="91"/>
      <c r="N32" s="91"/>
      <c r="O32" s="91"/>
      <c r="P32" s="91"/>
      <c r="Q32" s="91"/>
      <c r="R32" s="92"/>
      <c r="S32" s="90"/>
      <c r="T32" s="91"/>
      <c r="U32" s="91"/>
      <c r="V32" s="91"/>
      <c r="W32" s="91"/>
      <c r="X32" s="91"/>
      <c r="Y32" s="92"/>
      <c r="Z32" s="90"/>
      <c r="AA32" s="91"/>
      <c r="AB32" s="91"/>
      <c r="AC32" s="91"/>
      <c r="AD32" s="91"/>
      <c r="AE32" s="91"/>
      <c r="AF32" s="93"/>
      <c r="AG32" s="90"/>
      <c r="AH32" s="91"/>
      <c r="AI32" s="91"/>
      <c r="AJ32" s="91"/>
      <c r="AK32" s="91"/>
      <c r="AL32" s="91"/>
      <c r="AM32" s="93"/>
      <c r="AN32" s="90"/>
      <c r="AO32" s="91"/>
      <c r="AP32" s="91"/>
      <c r="AQ32" s="91"/>
      <c r="AR32" s="91"/>
      <c r="AS32" s="91"/>
      <c r="AT32" s="93"/>
      <c r="AU32" s="37">
        <f t="shared" si="5"/>
        <v>0</v>
      </c>
      <c r="AV32" s="37">
        <f t="shared" si="6"/>
        <v>0</v>
      </c>
      <c r="AW32" s="37">
        <f t="shared" si="7"/>
        <v>0</v>
      </c>
      <c r="AX32" s="37">
        <f t="shared" si="8"/>
        <v>0</v>
      </c>
      <c r="AY32" s="37">
        <f t="shared" si="9"/>
        <v>0</v>
      </c>
      <c r="AZ32" s="37">
        <f t="shared" si="10"/>
        <v>0</v>
      </c>
      <c r="BA32" s="20"/>
    </row>
    <row r="33" spans="1:53" ht="14.1" hidden="1" customHeight="1" x14ac:dyDescent="0.25">
      <c r="A33" s="89"/>
      <c r="B33" s="101" t="str" cm="1">
        <f t="array" ref="B33">_xlfn.IFNA(INDEX(Employees[Employment Type],MATCH(Schedule!A33:A33,Employees[Employee Names],0)),"")</f>
        <v/>
      </c>
      <c r="C33" s="101" t="str">
        <f>_xlfn.IFNA(INDEX(Employees[Employee Role],MATCH(Schedule!A33,Employees[Employee Names],0)),"")</f>
        <v/>
      </c>
      <c r="D33" s="102">
        <f>COUNTA(IF(Settings!$D$14 = TRUE,E33:AT33,$E33:$AF33))</f>
        <v>0</v>
      </c>
      <c r="E33" s="90"/>
      <c r="F33" s="91"/>
      <c r="G33" s="91"/>
      <c r="H33" s="91"/>
      <c r="I33" s="91"/>
      <c r="J33" s="91"/>
      <c r="K33" s="92"/>
      <c r="L33" s="90"/>
      <c r="M33" s="91"/>
      <c r="N33" s="91"/>
      <c r="O33" s="91"/>
      <c r="P33" s="91"/>
      <c r="Q33" s="91"/>
      <c r="R33" s="92"/>
      <c r="S33" s="90"/>
      <c r="T33" s="91"/>
      <c r="U33" s="91"/>
      <c r="V33" s="91"/>
      <c r="W33" s="91"/>
      <c r="X33" s="91"/>
      <c r="Y33" s="92"/>
      <c r="Z33" s="90"/>
      <c r="AA33" s="91"/>
      <c r="AB33" s="91"/>
      <c r="AC33" s="91"/>
      <c r="AD33" s="91"/>
      <c r="AE33" s="91"/>
      <c r="AF33" s="93"/>
      <c r="AG33" s="90"/>
      <c r="AH33" s="91"/>
      <c r="AI33" s="91"/>
      <c r="AJ33" s="91"/>
      <c r="AK33" s="91"/>
      <c r="AL33" s="91"/>
      <c r="AM33" s="93"/>
      <c r="AN33" s="90"/>
      <c r="AO33" s="91"/>
      <c r="AP33" s="91"/>
      <c r="AQ33" s="91"/>
      <c r="AR33" s="91"/>
      <c r="AS33" s="91"/>
      <c r="AT33" s="93"/>
      <c r="AU33" s="37">
        <f t="shared" si="5"/>
        <v>0</v>
      </c>
      <c r="AV33" s="37">
        <f t="shared" si="6"/>
        <v>0</v>
      </c>
      <c r="AW33" s="37">
        <f t="shared" si="7"/>
        <v>0</v>
      </c>
      <c r="AX33" s="37">
        <f t="shared" si="8"/>
        <v>0</v>
      </c>
      <c r="AY33" s="37">
        <f t="shared" si="9"/>
        <v>0</v>
      </c>
      <c r="AZ33" s="37">
        <f t="shared" si="10"/>
        <v>0</v>
      </c>
      <c r="BA33" s="20"/>
    </row>
    <row r="34" spans="1:53" ht="14.1" hidden="1" customHeight="1" x14ac:dyDescent="0.25">
      <c r="A34" s="89"/>
      <c r="B34" s="101" t="str" cm="1">
        <f t="array" ref="B34">_xlfn.IFNA(INDEX(Employees[Employment Type],MATCH(Schedule!A34:A34,Employees[Employee Names],0)),"")</f>
        <v/>
      </c>
      <c r="C34" s="101" t="str">
        <f>_xlfn.IFNA(INDEX(Employees[Employee Role],MATCH(Schedule!A34,Employees[Employee Names],0)),"")</f>
        <v/>
      </c>
      <c r="D34" s="102">
        <f>COUNTA(IF(Settings!$D$14 = TRUE,E34:AT34,$E34:$AF34))</f>
        <v>0</v>
      </c>
      <c r="E34" s="90"/>
      <c r="F34" s="91"/>
      <c r="G34" s="91"/>
      <c r="H34" s="91"/>
      <c r="I34" s="91"/>
      <c r="J34" s="91"/>
      <c r="K34" s="92"/>
      <c r="L34" s="90"/>
      <c r="M34" s="91"/>
      <c r="N34" s="91"/>
      <c r="O34" s="91"/>
      <c r="P34" s="91"/>
      <c r="Q34" s="91"/>
      <c r="R34" s="92"/>
      <c r="S34" s="90"/>
      <c r="T34" s="91"/>
      <c r="U34" s="91"/>
      <c r="V34" s="91"/>
      <c r="W34" s="91"/>
      <c r="X34" s="91"/>
      <c r="Y34" s="92"/>
      <c r="Z34" s="90"/>
      <c r="AA34" s="91"/>
      <c r="AB34" s="91"/>
      <c r="AC34" s="91"/>
      <c r="AD34" s="91"/>
      <c r="AE34" s="91"/>
      <c r="AF34" s="93"/>
      <c r="AG34" s="90"/>
      <c r="AH34" s="91"/>
      <c r="AI34" s="91"/>
      <c r="AJ34" s="91"/>
      <c r="AK34" s="91"/>
      <c r="AL34" s="91"/>
      <c r="AM34" s="93"/>
      <c r="AN34" s="90"/>
      <c r="AO34" s="91"/>
      <c r="AP34" s="91"/>
      <c r="AQ34" s="91"/>
      <c r="AR34" s="91"/>
      <c r="AS34" s="91"/>
      <c r="AT34" s="93"/>
      <c r="AU34" s="37">
        <f t="shared" si="5"/>
        <v>0</v>
      </c>
      <c r="AV34" s="37">
        <f t="shared" si="6"/>
        <v>0</v>
      </c>
      <c r="AW34" s="37">
        <f t="shared" si="7"/>
        <v>0</v>
      </c>
      <c r="AX34" s="37">
        <f t="shared" si="8"/>
        <v>0</v>
      </c>
      <c r="AY34" s="37">
        <f t="shared" si="9"/>
        <v>0</v>
      </c>
      <c r="AZ34" s="37">
        <f t="shared" si="10"/>
        <v>0</v>
      </c>
      <c r="BA34" s="20"/>
    </row>
    <row r="35" spans="1:53" ht="14.1" hidden="1" customHeight="1" x14ac:dyDescent="0.25">
      <c r="A35" s="89"/>
      <c r="B35" s="101" t="str" cm="1">
        <f t="array" ref="B35">_xlfn.IFNA(INDEX(Employees[Employment Type],MATCH(Schedule!A35:A35,Employees[Employee Names],0)),"")</f>
        <v/>
      </c>
      <c r="C35" s="101" t="str">
        <f>_xlfn.IFNA(INDEX(Employees[Employee Role],MATCH(Schedule!A35,Employees[Employee Names],0)),"")</f>
        <v/>
      </c>
      <c r="D35" s="102">
        <f>COUNTA(IF(Settings!$D$14 = TRUE,E35:AT35,$E35:$AF35))</f>
        <v>0</v>
      </c>
      <c r="E35" s="90"/>
      <c r="F35" s="91"/>
      <c r="G35" s="91"/>
      <c r="H35" s="91"/>
      <c r="I35" s="91"/>
      <c r="J35" s="91"/>
      <c r="K35" s="92"/>
      <c r="L35" s="90"/>
      <c r="M35" s="91"/>
      <c r="N35" s="91"/>
      <c r="O35" s="91"/>
      <c r="P35" s="91"/>
      <c r="Q35" s="91"/>
      <c r="R35" s="92"/>
      <c r="S35" s="90"/>
      <c r="T35" s="91"/>
      <c r="U35" s="91"/>
      <c r="V35" s="91"/>
      <c r="W35" s="91"/>
      <c r="X35" s="91"/>
      <c r="Y35" s="92"/>
      <c r="Z35" s="90"/>
      <c r="AA35" s="91"/>
      <c r="AB35" s="91"/>
      <c r="AC35" s="91"/>
      <c r="AD35" s="91"/>
      <c r="AE35" s="91"/>
      <c r="AF35" s="93"/>
      <c r="AG35" s="90"/>
      <c r="AH35" s="91"/>
      <c r="AI35" s="91"/>
      <c r="AJ35" s="91"/>
      <c r="AK35" s="91"/>
      <c r="AL35" s="91"/>
      <c r="AM35" s="93"/>
      <c r="AN35" s="90"/>
      <c r="AO35" s="91"/>
      <c r="AP35" s="91"/>
      <c r="AQ35" s="91"/>
      <c r="AR35" s="91"/>
      <c r="AS35" s="91"/>
      <c r="AT35" s="93"/>
      <c r="AU35" s="37">
        <f t="shared" si="5"/>
        <v>0</v>
      </c>
      <c r="AV35" s="37">
        <f t="shared" si="6"/>
        <v>0</v>
      </c>
      <c r="AW35" s="37">
        <f t="shared" si="7"/>
        <v>0</v>
      </c>
      <c r="AX35" s="37">
        <f t="shared" si="8"/>
        <v>0</v>
      </c>
      <c r="AY35" s="37">
        <f t="shared" si="9"/>
        <v>0</v>
      </c>
      <c r="AZ35" s="37">
        <f t="shared" si="10"/>
        <v>0</v>
      </c>
      <c r="BA35" s="20"/>
    </row>
    <row r="36" spans="1:53" ht="14.1" hidden="1" customHeight="1" x14ac:dyDescent="0.25">
      <c r="A36" s="89"/>
      <c r="B36" s="101" t="str" cm="1">
        <f t="array" ref="B36">_xlfn.IFNA(INDEX(Employees[Employment Type],MATCH(Schedule!A36:A36,Employees[Employee Names],0)),"")</f>
        <v/>
      </c>
      <c r="C36" s="101" t="str">
        <f>_xlfn.IFNA(INDEX(Employees[Employee Role],MATCH(Schedule!A36,Employees[Employee Names],0)),"")</f>
        <v/>
      </c>
      <c r="D36" s="102">
        <f>COUNTA(IF(Settings!$D$14 = TRUE,E36:AT36,$E36:$AF36))</f>
        <v>0</v>
      </c>
      <c r="E36" s="90"/>
      <c r="F36" s="91"/>
      <c r="G36" s="91"/>
      <c r="H36" s="91"/>
      <c r="I36" s="91"/>
      <c r="J36" s="91"/>
      <c r="K36" s="92"/>
      <c r="L36" s="90"/>
      <c r="M36" s="91"/>
      <c r="N36" s="91"/>
      <c r="O36" s="91"/>
      <c r="P36" s="91"/>
      <c r="Q36" s="91"/>
      <c r="R36" s="92"/>
      <c r="S36" s="90"/>
      <c r="T36" s="91"/>
      <c r="U36" s="91"/>
      <c r="V36" s="91"/>
      <c r="W36" s="91"/>
      <c r="X36" s="91"/>
      <c r="Y36" s="92"/>
      <c r="Z36" s="90"/>
      <c r="AA36" s="91"/>
      <c r="AB36" s="91"/>
      <c r="AC36" s="91"/>
      <c r="AD36" s="91"/>
      <c r="AE36" s="91"/>
      <c r="AF36" s="93"/>
      <c r="AG36" s="90"/>
      <c r="AH36" s="91"/>
      <c r="AI36" s="91"/>
      <c r="AJ36" s="91"/>
      <c r="AK36" s="91"/>
      <c r="AL36" s="91"/>
      <c r="AM36" s="93"/>
      <c r="AN36" s="90"/>
      <c r="AO36" s="91"/>
      <c r="AP36" s="91"/>
      <c r="AQ36" s="91"/>
      <c r="AR36" s="91"/>
      <c r="AS36" s="91"/>
      <c r="AT36" s="93"/>
      <c r="AU36" s="37">
        <f t="shared" si="5"/>
        <v>0</v>
      </c>
      <c r="AV36" s="37">
        <f t="shared" si="6"/>
        <v>0</v>
      </c>
      <c r="AW36" s="37">
        <f t="shared" si="7"/>
        <v>0</v>
      </c>
      <c r="AX36" s="37">
        <f t="shared" si="8"/>
        <v>0</v>
      </c>
      <c r="AY36" s="37">
        <f t="shared" si="9"/>
        <v>0</v>
      </c>
      <c r="AZ36" s="37">
        <f t="shared" si="10"/>
        <v>0</v>
      </c>
      <c r="BA36" s="20"/>
    </row>
    <row r="37" spans="1:53" ht="14.1" hidden="1" customHeight="1" x14ac:dyDescent="0.25">
      <c r="A37" s="89"/>
      <c r="B37" s="101" t="str" cm="1">
        <f t="array" ref="B37">_xlfn.IFNA(INDEX(Employees[Employment Type],MATCH(Schedule!A37:A37,Employees[Employee Names],0)),"")</f>
        <v/>
      </c>
      <c r="C37" s="101" t="str">
        <f>_xlfn.IFNA(INDEX(Employees[Employee Role],MATCH(Schedule!A37,Employees[Employee Names],0)),"")</f>
        <v/>
      </c>
      <c r="D37" s="102">
        <f>COUNTA(IF(Settings!$D$14 = TRUE,E37:AT37,$E37:$AF37))</f>
        <v>0</v>
      </c>
      <c r="E37" s="90"/>
      <c r="F37" s="91"/>
      <c r="G37" s="91"/>
      <c r="H37" s="91"/>
      <c r="I37" s="91"/>
      <c r="J37" s="91"/>
      <c r="K37" s="92"/>
      <c r="L37" s="90"/>
      <c r="M37" s="91"/>
      <c r="N37" s="91"/>
      <c r="O37" s="91"/>
      <c r="P37" s="91"/>
      <c r="Q37" s="91"/>
      <c r="R37" s="92"/>
      <c r="S37" s="90"/>
      <c r="T37" s="91"/>
      <c r="U37" s="91"/>
      <c r="V37" s="91"/>
      <c r="W37" s="91"/>
      <c r="X37" s="91"/>
      <c r="Y37" s="92"/>
      <c r="Z37" s="90"/>
      <c r="AA37" s="91"/>
      <c r="AB37" s="91"/>
      <c r="AC37" s="91"/>
      <c r="AD37" s="91"/>
      <c r="AE37" s="91"/>
      <c r="AF37" s="93"/>
      <c r="AG37" s="90"/>
      <c r="AH37" s="91"/>
      <c r="AI37" s="91"/>
      <c r="AJ37" s="91"/>
      <c r="AK37" s="91"/>
      <c r="AL37" s="91"/>
      <c r="AM37" s="93"/>
      <c r="AN37" s="90"/>
      <c r="AO37" s="91"/>
      <c r="AP37" s="91"/>
      <c r="AQ37" s="91"/>
      <c r="AR37" s="91"/>
      <c r="AS37" s="91"/>
      <c r="AT37" s="93"/>
      <c r="AU37" s="37">
        <f t="shared" si="5"/>
        <v>0</v>
      </c>
      <c r="AV37" s="37">
        <f t="shared" si="6"/>
        <v>0</v>
      </c>
      <c r="AW37" s="37">
        <f t="shared" si="7"/>
        <v>0</v>
      </c>
      <c r="AX37" s="37">
        <f t="shared" si="8"/>
        <v>0</v>
      </c>
      <c r="AY37" s="37">
        <f t="shared" si="9"/>
        <v>0</v>
      </c>
      <c r="AZ37" s="37">
        <f t="shared" si="10"/>
        <v>0</v>
      </c>
      <c r="BA37" s="20"/>
    </row>
    <row r="38" spans="1:53" ht="14.1" hidden="1" customHeight="1" x14ac:dyDescent="0.25">
      <c r="A38" s="89"/>
      <c r="B38" s="101" t="str" cm="1">
        <f t="array" ref="B38">_xlfn.IFNA(INDEX(Employees[Employment Type],MATCH(Schedule!A38:A38,Employees[Employee Names],0)),"")</f>
        <v/>
      </c>
      <c r="C38" s="101" t="str">
        <f>_xlfn.IFNA(INDEX(Employees[Employee Role],MATCH(Schedule!A38,Employees[Employee Names],0)),"")</f>
        <v/>
      </c>
      <c r="D38" s="102">
        <f>COUNTA(IF(Settings!$D$14 = TRUE,E38:AT38,$E38:$AF38))</f>
        <v>0</v>
      </c>
      <c r="E38" s="90"/>
      <c r="F38" s="91"/>
      <c r="G38" s="91"/>
      <c r="H38" s="91"/>
      <c r="I38" s="91"/>
      <c r="J38" s="91"/>
      <c r="K38" s="92"/>
      <c r="L38" s="90"/>
      <c r="M38" s="91"/>
      <c r="N38" s="91"/>
      <c r="O38" s="91"/>
      <c r="P38" s="91"/>
      <c r="Q38" s="91"/>
      <c r="R38" s="92"/>
      <c r="S38" s="90"/>
      <c r="T38" s="91"/>
      <c r="U38" s="91"/>
      <c r="V38" s="91"/>
      <c r="W38" s="91"/>
      <c r="X38" s="91"/>
      <c r="Y38" s="92"/>
      <c r="Z38" s="90"/>
      <c r="AA38" s="91"/>
      <c r="AB38" s="91"/>
      <c r="AC38" s="91"/>
      <c r="AD38" s="91"/>
      <c r="AE38" s="91"/>
      <c r="AF38" s="93"/>
      <c r="AG38" s="90"/>
      <c r="AH38" s="91"/>
      <c r="AI38" s="91"/>
      <c r="AJ38" s="91"/>
      <c r="AK38" s="91"/>
      <c r="AL38" s="91"/>
      <c r="AM38" s="93"/>
      <c r="AN38" s="90"/>
      <c r="AO38" s="91"/>
      <c r="AP38" s="91"/>
      <c r="AQ38" s="91"/>
      <c r="AR38" s="91"/>
      <c r="AS38" s="91"/>
      <c r="AT38" s="93"/>
      <c r="AU38" s="37">
        <f t="shared" si="5"/>
        <v>0</v>
      </c>
      <c r="AV38" s="37">
        <f t="shared" si="6"/>
        <v>0</v>
      </c>
      <c r="AW38" s="37">
        <f t="shared" si="7"/>
        <v>0</v>
      </c>
      <c r="AX38" s="37">
        <f t="shared" si="8"/>
        <v>0</v>
      </c>
      <c r="AY38" s="37">
        <f t="shared" si="9"/>
        <v>0</v>
      </c>
      <c r="AZ38" s="37">
        <f t="shared" si="10"/>
        <v>0</v>
      </c>
      <c r="BA38" s="20"/>
    </row>
    <row r="39" spans="1:53" ht="14.1" hidden="1" customHeight="1" x14ac:dyDescent="0.25">
      <c r="A39" s="89"/>
      <c r="B39" s="101" t="str" cm="1">
        <f t="array" ref="B39">_xlfn.IFNA(INDEX(Employees[Employment Type],MATCH(Schedule!A39:A39,Employees[Employee Names],0)),"")</f>
        <v/>
      </c>
      <c r="C39" s="101" t="str">
        <f>_xlfn.IFNA(INDEX(Employees[Employee Role],MATCH(Schedule!A39,Employees[Employee Names],0)),"")</f>
        <v/>
      </c>
      <c r="D39" s="102">
        <f>COUNTA(IF(Settings!$D$14 = TRUE,E39:AT39,$E39:$AF39))</f>
        <v>0</v>
      </c>
      <c r="E39" s="90"/>
      <c r="F39" s="91"/>
      <c r="G39" s="91"/>
      <c r="H39" s="91"/>
      <c r="I39" s="91"/>
      <c r="J39" s="91"/>
      <c r="K39" s="92"/>
      <c r="L39" s="90"/>
      <c r="M39" s="91"/>
      <c r="N39" s="91"/>
      <c r="O39" s="91"/>
      <c r="P39" s="91"/>
      <c r="Q39" s="91"/>
      <c r="R39" s="92"/>
      <c r="S39" s="90"/>
      <c r="T39" s="91"/>
      <c r="U39" s="91"/>
      <c r="V39" s="91"/>
      <c r="W39" s="91"/>
      <c r="X39" s="91"/>
      <c r="Y39" s="92"/>
      <c r="Z39" s="90"/>
      <c r="AA39" s="91"/>
      <c r="AB39" s="91"/>
      <c r="AC39" s="91"/>
      <c r="AD39" s="91"/>
      <c r="AE39" s="91"/>
      <c r="AF39" s="93"/>
      <c r="AG39" s="90"/>
      <c r="AH39" s="91"/>
      <c r="AI39" s="91"/>
      <c r="AJ39" s="91"/>
      <c r="AK39" s="91"/>
      <c r="AL39" s="91"/>
      <c r="AM39" s="93"/>
      <c r="AN39" s="90"/>
      <c r="AO39" s="91"/>
      <c r="AP39" s="91"/>
      <c r="AQ39" s="91"/>
      <c r="AR39" s="91"/>
      <c r="AS39" s="91"/>
      <c r="AT39" s="93"/>
      <c r="AU39" s="37">
        <f t="shared" si="5"/>
        <v>0</v>
      </c>
      <c r="AV39" s="37">
        <f t="shared" si="6"/>
        <v>0</v>
      </c>
      <c r="AW39" s="37">
        <f t="shared" si="7"/>
        <v>0</v>
      </c>
      <c r="AX39" s="37">
        <f t="shared" si="8"/>
        <v>0</v>
      </c>
      <c r="AY39" s="37">
        <f t="shared" si="9"/>
        <v>0</v>
      </c>
      <c r="AZ39" s="37">
        <f t="shared" si="10"/>
        <v>0</v>
      </c>
      <c r="BA39" s="20"/>
    </row>
    <row r="40" spans="1:53" ht="14.1" hidden="1" customHeight="1" x14ac:dyDescent="0.25">
      <c r="A40" s="89"/>
      <c r="B40" s="101" t="str" cm="1">
        <f t="array" ref="B40">_xlfn.IFNA(INDEX(Employees[Employment Type],MATCH(Schedule!A40:A40,Employees[Employee Names],0)),"")</f>
        <v/>
      </c>
      <c r="C40" s="101" t="str">
        <f>_xlfn.IFNA(INDEX(Employees[Employee Role],MATCH(Schedule!A40,Employees[Employee Names],0)),"")</f>
        <v/>
      </c>
      <c r="D40" s="102">
        <f>COUNTA(IF(Settings!$D$14 = TRUE,E40:AT40,$E40:$AF40))</f>
        <v>0</v>
      </c>
      <c r="E40" s="90"/>
      <c r="F40" s="91"/>
      <c r="G40" s="91"/>
      <c r="H40" s="91"/>
      <c r="I40" s="91"/>
      <c r="J40" s="91"/>
      <c r="K40" s="92"/>
      <c r="L40" s="90"/>
      <c r="M40" s="91"/>
      <c r="N40" s="91"/>
      <c r="O40" s="91"/>
      <c r="P40" s="91"/>
      <c r="Q40" s="91"/>
      <c r="R40" s="92"/>
      <c r="S40" s="90"/>
      <c r="T40" s="91"/>
      <c r="U40" s="91"/>
      <c r="V40" s="91"/>
      <c r="W40" s="91"/>
      <c r="X40" s="91"/>
      <c r="Y40" s="92"/>
      <c r="Z40" s="90"/>
      <c r="AA40" s="91"/>
      <c r="AB40" s="91"/>
      <c r="AC40" s="91"/>
      <c r="AD40" s="91"/>
      <c r="AE40" s="91"/>
      <c r="AF40" s="93"/>
      <c r="AG40" s="90"/>
      <c r="AH40" s="91"/>
      <c r="AI40" s="91"/>
      <c r="AJ40" s="91"/>
      <c r="AK40" s="91"/>
      <c r="AL40" s="91"/>
      <c r="AM40" s="93"/>
      <c r="AN40" s="90"/>
      <c r="AO40" s="91"/>
      <c r="AP40" s="91"/>
      <c r="AQ40" s="91"/>
      <c r="AR40" s="91"/>
      <c r="AS40" s="91"/>
      <c r="AT40" s="93"/>
      <c r="AU40" s="37">
        <f t="shared" si="5"/>
        <v>0</v>
      </c>
      <c r="AV40" s="37">
        <f t="shared" si="6"/>
        <v>0</v>
      </c>
      <c r="AW40" s="37">
        <f t="shared" si="7"/>
        <v>0</v>
      </c>
      <c r="AX40" s="37">
        <f t="shared" si="8"/>
        <v>0</v>
      </c>
      <c r="AY40" s="37">
        <f t="shared" si="9"/>
        <v>0</v>
      </c>
      <c r="AZ40" s="37">
        <f t="shared" si="10"/>
        <v>0</v>
      </c>
      <c r="BA40" s="20"/>
    </row>
    <row r="41" spans="1:53" ht="14.1" hidden="1" customHeight="1" x14ac:dyDescent="0.25">
      <c r="A41" s="89"/>
      <c r="B41" s="101" t="str" cm="1">
        <f t="array" ref="B41">_xlfn.IFNA(INDEX(Employees[Employment Type],MATCH(Schedule!A41:A41,Employees[Employee Names],0)),"")</f>
        <v/>
      </c>
      <c r="C41" s="101" t="str">
        <f>_xlfn.IFNA(INDEX(Employees[Employee Role],MATCH(Schedule!A41,Employees[Employee Names],0)),"")</f>
        <v/>
      </c>
      <c r="D41" s="102">
        <f>COUNTA(IF(Settings!$D$14 = TRUE,E41:AT41,$E41:$AF41))</f>
        <v>0</v>
      </c>
      <c r="E41" s="90"/>
      <c r="F41" s="91"/>
      <c r="G41" s="91"/>
      <c r="H41" s="91"/>
      <c r="I41" s="91"/>
      <c r="J41" s="91"/>
      <c r="K41" s="92"/>
      <c r="L41" s="90"/>
      <c r="M41" s="91"/>
      <c r="N41" s="91"/>
      <c r="O41" s="91"/>
      <c r="P41" s="91"/>
      <c r="Q41" s="91"/>
      <c r="R41" s="92"/>
      <c r="S41" s="90"/>
      <c r="T41" s="91"/>
      <c r="U41" s="91"/>
      <c r="V41" s="91"/>
      <c r="W41" s="91"/>
      <c r="X41" s="91"/>
      <c r="Y41" s="92"/>
      <c r="Z41" s="90"/>
      <c r="AA41" s="91"/>
      <c r="AB41" s="91"/>
      <c r="AC41" s="91"/>
      <c r="AD41" s="91"/>
      <c r="AE41" s="91"/>
      <c r="AF41" s="93"/>
      <c r="AG41" s="90"/>
      <c r="AH41" s="91"/>
      <c r="AI41" s="91"/>
      <c r="AJ41" s="91"/>
      <c r="AK41" s="91"/>
      <c r="AL41" s="91"/>
      <c r="AM41" s="93"/>
      <c r="AN41" s="90"/>
      <c r="AO41" s="91"/>
      <c r="AP41" s="91"/>
      <c r="AQ41" s="91"/>
      <c r="AR41" s="91"/>
      <c r="AS41" s="91"/>
      <c r="AT41" s="93"/>
      <c r="AU41" s="37">
        <f t="shared" si="5"/>
        <v>0</v>
      </c>
      <c r="AV41" s="37">
        <f t="shared" si="6"/>
        <v>0</v>
      </c>
      <c r="AW41" s="37">
        <f t="shared" si="7"/>
        <v>0</v>
      </c>
      <c r="AX41" s="37">
        <f t="shared" si="8"/>
        <v>0</v>
      </c>
      <c r="AY41" s="37">
        <f t="shared" si="9"/>
        <v>0</v>
      </c>
      <c r="AZ41" s="37">
        <f t="shared" si="10"/>
        <v>0</v>
      </c>
      <c r="BA41" s="20"/>
    </row>
    <row r="42" spans="1:53" ht="14.1" hidden="1" customHeight="1" x14ac:dyDescent="0.25">
      <c r="A42" s="89"/>
      <c r="B42" s="101" t="str" cm="1">
        <f t="array" ref="B42">_xlfn.IFNA(INDEX(Employees[Employment Type],MATCH(Schedule!A42:A42,Employees[Employee Names],0)),"")</f>
        <v/>
      </c>
      <c r="C42" s="101" t="str">
        <f>_xlfn.IFNA(INDEX(Employees[Employee Role],MATCH(Schedule!A42,Employees[Employee Names],0)),"")</f>
        <v/>
      </c>
      <c r="D42" s="102">
        <f>COUNTA(IF(Settings!$D$14 = TRUE,E42:AT42,$E42:$AF42))</f>
        <v>0</v>
      </c>
      <c r="E42" s="90"/>
      <c r="F42" s="91"/>
      <c r="G42" s="91"/>
      <c r="H42" s="91"/>
      <c r="I42" s="91"/>
      <c r="J42" s="91"/>
      <c r="K42" s="92"/>
      <c r="L42" s="90"/>
      <c r="M42" s="91"/>
      <c r="N42" s="91"/>
      <c r="O42" s="91"/>
      <c r="P42" s="91"/>
      <c r="Q42" s="91"/>
      <c r="R42" s="92"/>
      <c r="S42" s="90"/>
      <c r="T42" s="91"/>
      <c r="U42" s="91"/>
      <c r="V42" s="91"/>
      <c r="W42" s="91"/>
      <c r="X42" s="91"/>
      <c r="Y42" s="92"/>
      <c r="Z42" s="90"/>
      <c r="AA42" s="91"/>
      <c r="AB42" s="91"/>
      <c r="AC42" s="91"/>
      <c r="AD42" s="91"/>
      <c r="AE42" s="91"/>
      <c r="AF42" s="93"/>
      <c r="AG42" s="90"/>
      <c r="AH42" s="91"/>
      <c r="AI42" s="91"/>
      <c r="AJ42" s="91"/>
      <c r="AK42" s="91"/>
      <c r="AL42" s="91"/>
      <c r="AM42" s="93"/>
      <c r="AN42" s="90"/>
      <c r="AO42" s="91"/>
      <c r="AP42" s="91"/>
      <c r="AQ42" s="91"/>
      <c r="AR42" s="91"/>
      <c r="AS42" s="91"/>
      <c r="AT42" s="93"/>
      <c r="AU42" s="37">
        <f t="shared" si="5"/>
        <v>0</v>
      </c>
      <c r="AV42" s="37">
        <f t="shared" si="6"/>
        <v>0</v>
      </c>
      <c r="AW42" s="37">
        <f t="shared" si="7"/>
        <v>0</v>
      </c>
      <c r="AX42" s="37">
        <f t="shared" si="8"/>
        <v>0</v>
      </c>
      <c r="AY42" s="37">
        <f t="shared" si="9"/>
        <v>0</v>
      </c>
      <c r="AZ42" s="37">
        <f t="shared" si="10"/>
        <v>0</v>
      </c>
      <c r="BA42" s="20"/>
    </row>
    <row r="43" spans="1:53" ht="14.1" hidden="1" customHeight="1" x14ac:dyDescent="0.25">
      <c r="A43" s="89"/>
      <c r="B43" s="101" t="str" cm="1">
        <f t="array" ref="B43">_xlfn.IFNA(INDEX(Employees[Employment Type],MATCH(Schedule!A43:A43,Employees[Employee Names],0)),"")</f>
        <v/>
      </c>
      <c r="C43" s="101" t="str">
        <f>_xlfn.IFNA(INDEX(Employees[Employee Role],MATCH(Schedule!A43,Employees[Employee Names],0)),"")</f>
        <v/>
      </c>
      <c r="D43" s="102">
        <f>COUNTA(IF(Settings!$D$14 = TRUE,E43:AT43,$E43:$AF43))</f>
        <v>0</v>
      </c>
      <c r="E43" s="90"/>
      <c r="F43" s="91"/>
      <c r="G43" s="91"/>
      <c r="H43" s="91"/>
      <c r="I43" s="91"/>
      <c r="J43" s="91"/>
      <c r="K43" s="92"/>
      <c r="L43" s="90"/>
      <c r="M43" s="91"/>
      <c r="N43" s="91"/>
      <c r="O43" s="91"/>
      <c r="P43" s="91"/>
      <c r="Q43" s="91"/>
      <c r="R43" s="92"/>
      <c r="S43" s="90"/>
      <c r="T43" s="91"/>
      <c r="U43" s="91"/>
      <c r="V43" s="91"/>
      <c r="W43" s="91"/>
      <c r="X43" s="91"/>
      <c r="Y43" s="92"/>
      <c r="Z43" s="90"/>
      <c r="AA43" s="91"/>
      <c r="AB43" s="91"/>
      <c r="AC43" s="91"/>
      <c r="AD43" s="91"/>
      <c r="AE43" s="91"/>
      <c r="AF43" s="93"/>
      <c r="AG43" s="90"/>
      <c r="AH43" s="91"/>
      <c r="AI43" s="91"/>
      <c r="AJ43" s="91"/>
      <c r="AK43" s="91"/>
      <c r="AL43" s="91"/>
      <c r="AM43" s="93"/>
      <c r="AN43" s="90"/>
      <c r="AO43" s="91"/>
      <c r="AP43" s="91"/>
      <c r="AQ43" s="91"/>
      <c r="AR43" s="91"/>
      <c r="AS43" s="91"/>
      <c r="AT43" s="93"/>
      <c r="AU43" s="37">
        <f t="shared" si="5"/>
        <v>0</v>
      </c>
      <c r="AV43" s="37">
        <f t="shared" si="6"/>
        <v>0</v>
      </c>
      <c r="AW43" s="37">
        <f t="shared" si="7"/>
        <v>0</v>
      </c>
      <c r="AX43" s="37">
        <f t="shared" si="8"/>
        <v>0</v>
      </c>
      <c r="AY43" s="37">
        <f t="shared" si="9"/>
        <v>0</v>
      </c>
      <c r="AZ43" s="37">
        <f t="shared" si="10"/>
        <v>0</v>
      </c>
      <c r="BA43" s="20"/>
    </row>
    <row r="44" spans="1:53" ht="14.1" hidden="1" customHeight="1" x14ac:dyDescent="0.25">
      <c r="A44" s="89"/>
      <c r="B44" s="101" t="str" cm="1">
        <f t="array" ref="B44">_xlfn.IFNA(INDEX(Employees[Employment Type],MATCH(Schedule!A44:A44,Employees[Employee Names],0)),"")</f>
        <v/>
      </c>
      <c r="C44" s="101" t="str">
        <f>_xlfn.IFNA(INDEX(Employees[Employee Role],MATCH(Schedule!A44,Employees[Employee Names],0)),"")</f>
        <v/>
      </c>
      <c r="D44" s="102">
        <f>COUNTA(IF(Settings!$D$14 = TRUE,E44:AT44,$E44:$AF44))</f>
        <v>0</v>
      </c>
      <c r="E44" s="90"/>
      <c r="F44" s="91"/>
      <c r="G44" s="91"/>
      <c r="H44" s="91"/>
      <c r="I44" s="91"/>
      <c r="J44" s="91"/>
      <c r="K44" s="92"/>
      <c r="L44" s="90"/>
      <c r="M44" s="91"/>
      <c r="N44" s="91"/>
      <c r="O44" s="91"/>
      <c r="P44" s="91"/>
      <c r="Q44" s="91"/>
      <c r="R44" s="92"/>
      <c r="S44" s="90"/>
      <c r="T44" s="91"/>
      <c r="U44" s="91"/>
      <c r="V44" s="91"/>
      <c r="W44" s="91"/>
      <c r="X44" s="91"/>
      <c r="Y44" s="92"/>
      <c r="Z44" s="90"/>
      <c r="AA44" s="91"/>
      <c r="AB44" s="91"/>
      <c r="AC44" s="91"/>
      <c r="AD44" s="91"/>
      <c r="AE44" s="91"/>
      <c r="AF44" s="93"/>
      <c r="AG44" s="90"/>
      <c r="AH44" s="91"/>
      <c r="AI44" s="91"/>
      <c r="AJ44" s="91"/>
      <c r="AK44" s="91"/>
      <c r="AL44" s="91"/>
      <c r="AM44" s="93"/>
      <c r="AN44" s="90"/>
      <c r="AO44" s="91"/>
      <c r="AP44" s="91"/>
      <c r="AQ44" s="91"/>
      <c r="AR44" s="91"/>
      <c r="AS44" s="91"/>
      <c r="AT44" s="93"/>
      <c r="AU44" s="37">
        <f t="shared" si="5"/>
        <v>0</v>
      </c>
      <c r="AV44" s="37">
        <f t="shared" si="6"/>
        <v>0</v>
      </c>
      <c r="AW44" s="37">
        <f t="shared" si="7"/>
        <v>0</v>
      </c>
      <c r="AX44" s="37">
        <f t="shared" si="8"/>
        <v>0</v>
      </c>
      <c r="AY44" s="37">
        <f t="shared" si="9"/>
        <v>0</v>
      </c>
      <c r="AZ44" s="37">
        <f t="shared" si="10"/>
        <v>0</v>
      </c>
      <c r="BA44" s="20"/>
    </row>
    <row r="45" spans="1:53" ht="14.1" hidden="1" customHeight="1" x14ac:dyDescent="0.25">
      <c r="A45" s="89"/>
      <c r="B45" s="101" t="str" cm="1">
        <f t="array" ref="B45">_xlfn.IFNA(INDEX(Employees[Employment Type],MATCH(Schedule!A45:A45,Employees[Employee Names],0)),"")</f>
        <v/>
      </c>
      <c r="C45" s="101" t="str">
        <f>_xlfn.IFNA(INDEX(Employees[Employee Role],MATCH(Schedule!A45,Employees[Employee Names],0)),"")</f>
        <v/>
      </c>
      <c r="D45" s="102">
        <f>COUNTA(IF(Settings!$D$14 = TRUE,E45:AT45,$E45:$AF45))</f>
        <v>0</v>
      </c>
      <c r="E45" s="90"/>
      <c r="F45" s="91"/>
      <c r="G45" s="91"/>
      <c r="H45" s="91"/>
      <c r="I45" s="91"/>
      <c r="J45" s="91"/>
      <c r="K45" s="92"/>
      <c r="L45" s="90"/>
      <c r="M45" s="91"/>
      <c r="N45" s="91"/>
      <c r="O45" s="91"/>
      <c r="P45" s="91"/>
      <c r="Q45" s="91"/>
      <c r="R45" s="92"/>
      <c r="S45" s="90"/>
      <c r="T45" s="91"/>
      <c r="U45" s="91"/>
      <c r="V45" s="91"/>
      <c r="W45" s="91"/>
      <c r="X45" s="91"/>
      <c r="Y45" s="92"/>
      <c r="Z45" s="90"/>
      <c r="AA45" s="91"/>
      <c r="AB45" s="91"/>
      <c r="AC45" s="91"/>
      <c r="AD45" s="91"/>
      <c r="AE45" s="91"/>
      <c r="AF45" s="93"/>
      <c r="AG45" s="90"/>
      <c r="AH45" s="91"/>
      <c r="AI45" s="91"/>
      <c r="AJ45" s="91"/>
      <c r="AK45" s="91"/>
      <c r="AL45" s="91"/>
      <c r="AM45" s="93"/>
      <c r="AN45" s="90"/>
      <c r="AO45" s="91"/>
      <c r="AP45" s="91"/>
      <c r="AQ45" s="91"/>
      <c r="AR45" s="91"/>
      <c r="AS45" s="91"/>
      <c r="AT45" s="93"/>
      <c r="AU45" s="37">
        <f t="shared" si="5"/>
        <v>0</v>
      </c>
      <c r="AV45" s="37">
        <f t="shared" si="6"/>
        <v>0</v>
      </c>
      <c r="AW45" s="37">
        <f t="shared" si="7"/>
        <v>0</v>
      </c>
      <c r="AX45" s="37">
        <f t="shared" si="8"/>
        <v>0</v>
      </c>
      <c r="AY45" s="37">
        <f t="shared" si="9"/>
        <v>0</v>
      </c>
      <c r="AZ45" s="37">
        <f t="shared" si="10"/>
        <v>0</v>
      </c>
      <c r="BA45" s="20"/>
    </row>
    <row r="46" spans="1:53" ht="14.1" hidden="1" customHeight="1" x14ac:dyDescent="0.25">
      <c r="A46" s="89"/>
      <c r="B46" s="101" t="str" cm="1">
        <f t="array" ref="B46">_xlfn.IFNA(INDEX(Employees[Employment Type],MATCH(Schedule!A46:A46,Employees[Employee Names],0)),"")</f>
        <v/>
      </c>
      <c r="C46" s="101" t="str">
        <f>_xlfn.IFNA(INDEX(Employees[Employee Role],MATCH(Schedule!A46,Employees[Employee Names],0)),"")</f>
        <v/>
      </c>
      <c r="D46" s="102">
        <f>COUNTA(IF(Settings!$D$14 = TRUE,E46:AT46,$E46:$AF46))</f>
        <v>0</v>
      </c>
      <c r="E46" s="90"/>
      <c r="F46" s="91"/>
      <c r="G46" s="91"/>
      <c r="H46" s="91"/>
      <c r="I46" s="91"/>
      <c r="J46" s="91"/>
      <c r="K46" s="92"/>
      <c r="L46" s="90"/>
      <c r="M46" s="91"/>
      <c r="N46" s="91"/>
      <c r="O46" s="91"/>
      <c r="P46" s="91"/>
      <c r="Q46" s="91"/>
      <c r="R46" s="92"/>
      <c r="S46" s="90"/>
      <c r="T46" s="91"/>
      <c r="U46" s="91"/>
      <c r="V46" s="91"/>
      <c r="W46" s="91"/>
      <c r="X46" s="91"/>
      <c r="Y46" s="92"/>
      <c r="Z46" s="90"/>
      <c r="AA46" s="91"/>
      <c r="AB46" s="91"/>
      <c r="AC46" s="91"/>
      <c r="AD46" s="91"/>
      <c r="AE46" s="91"/>
      <c r="AF46" s="93"/>
      <c r="AG46" s="90"/>
      <c r="AH46" s="91"/>
      <c r="AI46" s="91"/>
      <c r="AJ46" s="91"/>
      <c r="AK46" s="91"/>
      <c r="AL46" s="91"/>
      <c r="AM46" s="93"/>
      <c r="AN46" s="90"/>
      <c r="AO46" s="91"/>
      <c r="AP46" s="91"/>
      <c r="AQ46" s="91"/>
      <c r="AR46" s="91"/>
      <c r="AS46" s="91"/>
      <c r="AT46" s="93"/>
      <c r="AU46" s="37">
        <f t="shared" si="5"/>
        <v>0</v>
      </c>
      <c r="AV46" s="37">
        <f t="shared" si="6"/>
        <v>0</v>
      </c>
      <c r="AW46" s="37">
        <f t="shared" si="7"/>
        <v>0</v>
      </c>
      <c r="AX46" s="37">
        <f t="shared" si="8"/>
        <v>0</v>
      </c>
      <c r="AY46" s="37">
        <f t="shared" si="9"/>
        <v>0</v>
      </c>
      <c r="AZ46" s="37">
        <f t="shared" si="10"/>
        <v>0</v>
      </c>
      <c r="BA46" s="20"/>
    </row>
    <row r="47" spans="1:53" ht="14.1" hidden="1" customHeight="1" x14ac:dyDescent="0.25">
      <c r="A47" s="89"/>
      <c r="B47" s="101" t="str" cm="1">
        <f t="array" ref="B47">_xlfn.IFNA(INDEX(Employees[Employment Type],MATCH(Schedule!A47:A47,Employees[Employee Names],0)),"")</f>
        <v/>
      </c>
      <c r="C47" s="101" t="str">
        <f>_xlfn.IFNA(INDEX(Employees[Employee Role],MATCH(Schedule!A47,Employees[Employee Names],0)),"")</f>
        <v/>
      </c>
      <c r="D47" s="102">
        <f>COUNTA(IF(Settings!$D$14 = TRUE,E47:AT47,$E47:$AF47))</f>
        <v>0</v>
      </c>
      <c r="E47" s="90"/>
      <c r="F47" s="91"/>
      <c r="G47" s="91"/>
      <c r="H47" s="91"/>
      <c r="I47" s="91"/>
      <c r="J47" s="91"/>
      <c r="K47" s="92"/>
      <c r="L47" s="90"/>
      <c r="M47" s="91"/>
      <c r="N47" s="91"/>
      <c r="O47" s="91"/>
      <c r="P47" s="91"/>
      <c r="Q47" s="91"/>
      <c r="R47" s="92"/>
      <c r="S47" s="90"/>
      <c r="T47" s="91"/>
      <c r="U47" s="91"/>
      <c r="V47" s="91"/>
      <c r="W47" s="91"/>
      <c r="X47" s="91"/>
      <c r="Y47" s="92"/>
      <c r="Z47" s="90"/>
      <c r="AA47" s="91"/>
      <c r="AB47" s="91"/>
      <c r="AC47" s="91"/>
      <c r="AD47" s="91"/>
      <c r="AE47" s="91"/>
      <c r="AF47" s="93"/>
      <c r="AG47" s="90"/>
      <c r="AH47" s="91"/>
      <c r="AI47" s="91"/>
      <c r="AJ47" s="91"/>
      <c r="AK47" s="91"/>
      <c r="AL47" s="91"/>
      <c r="AM47" s="93"/>
      <c r="AN47" s="90"/>
      <c r="AO47" s="91"/>
      <c r="AP47" s="91"/>
      <c r="AQ47" s="91"/>
      <c r="AR47" s="91"/>
      <c r="AS47" s="91"/>
      <c r="AT47" s="93"/>
      <c r="AU47" s="37">
        <f t="shared" si="5"/>
        <v>0</v>
      </c>
      <c r="AV47" s="37">
        <f t="shared" si="6"/>
        <v>0</v>
      </c>
      <c r="AW47" s="37">
        <f t="shared" si="7"/>
        <v>0</v>
      </c>
      <c r="AX47" s="37">
        <f t="shared" si="8"/>
        <v>0</v>
      </c>
      <c r="AY47" s="37">
        <f t="shared" si="9"/>
        <v>0</v>
      </c>
      <c r="AZ47" s="37">
        <f t="shared" si="10"/>
        <v>0</v>
      </c>
      <c r="BA47" s="20"/>
    </row>
    <row r="48" spans="1:53" ht="14.1" hidden="1" customHeight="1" x14ac:dyDescent="0.25">
      <c r="A48" s="89"/>
      <c r="B48" s="101" t="str" cm="1">
        <f t="array" ref="B48">_xlfn.IFNA(INDEX(Employees[Employment Type],MATCH(Schedule!A48:A48,Employees[Employee Names],0)),"")</f>
        <v/>
      </c>
      <c r="C48" s="101" t="str">
        <f>_xlfn.IFNA(INDEX(Employees[Employee Role],MATCH(Schedule!A48,Employees[Employee Names],0)),"")</f>
        <v/>
      </c>
      <c r="D48" s="102">
        <f>COUNTA(IF(Settings!$D$14 = TRUE,E48:AT48,$E48:$AF48))</f>
        <v>0</v>
      </c>
      <c r="E48" s="90"/>
      <c r="F48" s="91"/>
      <c r="G48" s="91"/>
      <c r="H48" s="91"/>
      <c r="I48" s="91"/>
      <c r="J48" s="91"/>
      <c r="K48" s="92"/>
      <c r="L48" s="90"/>
      <c r="M48" s="91"/>
      <c r="N48" s="91"/>
      <c r="O48" s="91"/>
      <c r="P48" s="91"/>
      <c r="Q48" s="91"/>
      <c r="R48" s="92"/>
      <c r="S48" s="90"/>
      <c r="T48" s="91"/>
      <c r="U48" s="91"/>
      <c r="V48" s="91"/>
      <c r="W48" s="91"/>
      <c r="X48" s="91"/>
      <c r="Y48" s="92"/>
      <c r="Z48" s="90"/>
      <c r="AA48" s="91"/>
      <c r="AB48" s="91"/>
      <c r="AC48" s="91"/>
      <c r="AD48" s="91"/>
      <c r="AE48" s="91"/>
      <c r="AF48" s="93"/>
      <c r="AG48" s="90"/>
      <c r="AH48" s="91"/>
      <c r="AI48" s="91"/>
      <c r="AJ48" s="91"/>
      <c r="AK48" s="91"/>
      <c r="AL48" s="91"/>
      <c r="AM48" s="93"/>
      <c r="AN48" s="90"/>
      <c r="AO48" s="91"/>
      <c r="AP48" s="91"/>
      <c r="AQ48" s="91"/>
      <c r="AR48" s="91"/>
      <c r="AS48" s="91"/>
      <c r="AT48" s="93"/>
      <c r="AU48" s="37">
        <f t="shared" si="5"/>
        <v>0</v>
      </c>
      <c r="AV48" s="37">
        <f t="shared" si="6"/>
        <v>0</v>
      </c>
      <c r="AW48" s="37">
        <f t="shared" si="7"/>
        <v>0</v>
      </c>
      <c r="AX48" s="37">
        <f t="shared" si="8"/>
        <v>0</v>
      </c>
      <c r="AY48" s="37">
        <f t="shared" si="9"/>
        <v>0</v>
      </c>
      <c r="AZ48" s="37">
        <f t="shared" si="10"/>
        <v>0</v>
      </c>
      <c r="BA48" s="20"/>
    </row>
    <row r="49" spans="1:53" ht="14.1" hidden="1" customHeight="1" x14ac:dyDescent="0.25">
      <c r="A49" s="89"/>
      <c r="B49" s="101" t="str" cm="1">
        <f t="array" ref="B49">_xlfn.IFNA(INDEX(Employees[Employment Type],MATCH(Schedule!A49:A49,Employees[Employee Names],0)),"")</f>
        <v/>
      </c>
      <c r="C49" s="101" t="str">
        <f>_xlfn.IFNA(INDEX(Employees[Employee Role],MATCH(Schedule!A49,Employees[Employee Names],0)),"")</f>
        <v/>
      </c>
      <c r="D49" s="102">
        <f>COUNTA(IF(Settings!$D$14 = TRUE,E49:AT49,$E49:$AF49))</f>
        <v>0</v>
      </c>
      <c r="E49" s="90"/>
      <c r="F49" s="91"/>
      <c r="G49" s="91"/>
      <c r="H49" s="91"/>
      <c r="I49" s="91"/>
      <c r="J49" s="91"/>
      <c r="K49" s="92"/>
      <c r="L49" s="90"/>
      <c r="M49" s="91"/>
      <c r="N49" s="91"/>
      <c r="O49" s="91"/>
      <c r="P49" s="91"/>
      <c r="Q49" s="91"/>
      <c r="R49" s="92"/>
      <c r="S49" s="90"/>
      <c r="T49" s="91"/>
      <c r="U49" s="91"/>
      <c r="V49" s="91"/>
      <c r="W49" s="91"/>
      <c r="X49" s="91"/>
      <c r="Y49" s="92"/>
      <c r="Z49" s="90"/>
      <c r="AA49" s="91"/>
      <c r="AB49" s="91"/>
      <c r="AC49" s="91"/>
      <c r="AD49" s="91"/>
      <c r="AE49" s="91"/>
      <c r="AF49" s="93"/>
      <c r="AG49" s="90"/>
      <c r="AH49" s="91"/>
      <c r="AI49" s="91"/>
      <c r="AJ49" s="91"/>
      <c r="AK49" s="91"/>
      <c r="AL49" s="91"/>
      <c r="AM49" s="93"/>
      <c r="AN49" s="90"/>
      <c r="AO49" s="91"/>
      <c r="AP49" s="91"/>
      <c r="AQ49" s="91"/>
      <c r="AR49" s="91"/>
      <c r="AS49" s="91"/>
      <c r="AT49" s="93"/>
      <c r="AU49" s="37">
        <f t="shared" si="5"/>
        <v>0</v>
      </c>
      <c r="AV49" s="37">
        <f t="shared" si="6"/>
        <v>0</v>
      </c>
      <c r="AW49" s="37">
        <f t="shared" si="7"/>
        <v>0</v>
      </c>
      <c r="AX49" s="37">
        <f t="shared" si="8"/>
        <v>0</v>
      </c>
      <c r="AY49" s="37">
        <f t="shared" si="9"/>
        <v>0</v>
      </c>
      <c r="AZ49" s="37">
        <f t="shared" si="10"/>
        <v>0</v>
      </c>
      <c r="BA49" s="20"/>
    </row>
    <row r="50" spans="1:53" ht="14.1" hidden="1" customHeight="1" x14ac:dyDescent="0.25">
      <c r="A50" s="89"/>
      <c r="B50" s="101" t="str" cm="1">
        <f t="array" ref="B50">_xlfn.IFNA(INDEX(Employees[Employment Type],MATCH(Schedule!A50:A50,Employees[Employee Names],0)),"")</f>
        <v/>
      </c>
      <c r="C50" s="101" t="str">
        <f>_xlfn.IFNA(INDEX(Employees[Employee Role],MATCH(Schedule!A50,Employees[Employee Names],0)),"")</f>
        <v/>
      </c>
      <c r="D50" s="102">
        <f>COUNTA(IF(Settings!$D$14 = TRUE,E50:AT50,$E50:$AF50))</f>
        <v>0</v>
      </c>
      <c r="E50" s="90"/>
      <c r="F50" s="91"/>
      <c r="G50" s="91"/>
      <c r="H50" s="91"/>
      <c r="I50" s="91"/>
      <c r="J50" s="91"/>
      <c r="K50" s="92"/>
      <c r="L50" s="90"/>
      <c r="M50" s="91"/>
      <c r="N50" s="91"/>
      <c r="O50" s="91"/>
      <c r="P50" s="91"/>
      <c r="Q50" s="91"/>
      <c r="R50" s="92"/>
      <c r="S50" s="90"/>
      <c r="T50" s="91"/>
      <c r="U50" s="91"/>
      <c r="V50" s="91"/>
      <c r="W50" s="91"/>
      <c r="X50" s="91"/>
      <c r="Y50" s="92"/>
      <c r="Z50" s="90"/>
      <c r="AA50" s="91"/>
      <c r="AB50" s="91"/>
      <c r="AC50" s="91"/>
      <c r="AD50" s="91"/>
      <c r="AE50" s="91"/>
      <c r="AF50" s="93"/>
      <c r="AG50" s="90"/>
      <c r="AH50" s="91"/>
      <c r="AI50" s="91"/>
      <c r="AJ50" s="91"/>
      <c r="AK50" s="91"/>
      <c r="AL50" s="91"/>
      <c r="AM50" s="93"/>
      <c r="AN50" s="90"/>
      <c r="AO50" s="91"/>
      <c r="AP50" s="91"/>
      <c r="AQ50" s="91"/>
      <c r="AR50" s="91"/>
      <c r="AS50" s="91"/>
      <c r="AT50" s="93"/>
      <c r="AU50" s="37">
        <f t="shared" si="5"/>
        <v>0</v>
      </c>
      <c r="AV50" s="37">
        <f t="shared" si="6"/>
        <v>0</v>
      </c>
      <c r="AW50" s="37">
        <f t="shared" si="7"/>
        <v>0</v>
      </c>
      <c r="AX50" s="37">
        <f t="shared" si="8"/>
        <v>0</v>
      </c>
      <c r="AY50" s="37">
        <f t="shared" si="9"/>
        <v>0</v>
      </c>
      <c r="AZ50" s="37">
        <f t="shared" si="10"/>
        <v>0</v>
      </c>
      <c r="BA50" s="20"/>
    </row>
    <row r="51" spans="1:53" ht="14.1" hidden="1" customHeight="1" x14ac:dyDescent="0.25">
      <c r="A51" s="89"/>
      <c r="B51" s="101" t="str" cm="1">
        <f t="array" ref="B51">_xlfn.IFNA(INDEX(Employees[Employment Type],MATCH(Schedule!A51:A51,Employees[Employee Names],0)),"")</f>
        <v/>
      </c>
      <c r="C51" s="101" t="str">
        <f>_xlfn.IFNA(INDEX(Employees[Employee Role],MATCH(Schedule!A51,Employees[Employee Names],0)),"")</f>
        <v/>
      </c>
      <c r="D51" s="102">
        <f>COUNTA(IF(Settings!$D$14 = TRUE,E51:AT51,$E51:$AF51))</f>
        <v>0</v>
      </c>
      <c r="E51" s="90"/>
      <c r="F51" s="91"/>
      <c r="G51" s="91"/>
      <c r="H51" s="91"/>
      <c r="I51" s="91"/>
      <c r="J51" s="91"/>
      <c r="K51" s="92"/>
      <c r="L51" s="90"/>
      <c r="M51" s="91"/>
      <c r="N51" s="91"/>
      <c r="O51" s="91"/>
      <c r="P51" s="91"/>
      <c r="Q51" s="91"/>
      <c r="R51" s="92"/>
      <c r="S51" s="90"/>
      <c r="T51" s="91"/>
      <c r="U51" s="91"/>
      <c r="V51" s="91"/>
      <c r="W51" s="91"/>
      <c r="X51" s="91"/>
      <c r="Y51" s="92"/>
      <c r="Z51" s="90"/>
      <c r="AA51" s="91"/>
      <c r="AB51" s="91"/>
      <c r="AC51" s="91"/>
      <c r="AD51" s="91"/>
      <c r="AE51" s="91"/>
      <c r="AF51" s="93"/>
      <c r="AG51" s="90"/>
      <c r="AH51" s="91"/>
      <c r="AI51" s="91"/>
      <c r="AJ51" s="91"/>
      <c r="AK51" s="91"/>
      <c r="AL51" s="91"/>
      <c r="AM51" s="93"/>
      <c r="AN51" s="90"/>
      <c r="AO51" s="91"/>
      <c r="AP51" s="91"/>
      <c r="AQ51" s="91"/>
      <c r="AR51" s="91"/>
      <c r="AS51" s="91"/>
      <c r="AT51" s="93"/>
      <c r="AU51" s="37">
        <f t="shared" si="5"/>
        <v>0</v>
      </c>
      <c r="AV51" s="37">
        <f t="shared" si="6"/>
        <v>0</v>
      </c>
      <c r="AW51" s="37">
        <f t="shared" si="7"/>
        <v>0</v>
      </c>
      <c r="AX51" s="37">
        <f t="shared" si="8"/>
        <v>0</v>
      </c>
      <c r="AY51" s="37">
        <f t="shared" si="9"/>
        <v>0</v>
      </c>
      <c r="AZ51" s="37">
        <f t="shared" si="10"/>
        <v>0</v>
      </c>
      <c r="BA51" s="20"/>
    </row>
    <row r="52" spans="1:53" ht="14.1" hidden="1" customHeight="1" x14ac:dyDescent="0.25">
      <c r="A52" s="89"/>
      <c r="B52" s="101" t="str" cm="1">
        <f t="array" ref="B52">_xlfn.IFNA(INDEX(Employees[Employment Type],MATCH(Schedule!A52:A52,Employees[Employee Names],0)),"")</f>
        <v/>
      </c>
      <c r="C52" s="101" t="str">
        <f>_xlfn.IFNA(INDEX(Employees[Employee Role],MATCH(Schedule!A52,Employees[Employee Names],0)),"")</f>
        <v/>
      </c>
      <c r="D52" s="102">
        <f>COUNTA(IF(Settings!$D$14 = TRUE,E52:AT52,$E52:$AF52))</f>
        <v>0</v>
      </c>
      <c r="E52" s="90"/>
      <c r="F52" s="91"/>
      <c r="G52" s="91"/>
      <c r="H52" s="91"/>
      <c r="I52" s="91"/>
      <c r="J52" s="91"/>
      <c r="K52" s="92"/>
      <c r="L52" s="90"/>
      <c r="M52" s="91"/>
      <c r="N52" s="91"/>
      <c r="O52" s="91"/>
      <c r="P52" s="91"/>
      <c r="Q52" s="91"/>
      <c r="R52" s="92"/>
      <c r="S52" s="90"/>
      <c r="T52" s="91"/>
      <c r="U52" s="91"/>
      <c r="V52" s="91"/>
      <c r="W52" s="91"/>
      <c r="X52" s="91"/>
      <c r="Y52" s="92"/>
      <c r="Z52" s="90"/>
      <c r="AA52" s="91"/>
      <c r="AB52" s="91"/>
      <c r="AC52" s="91"/>
      <c r="AD52" s="91"/>
      <c r="AE52" s="91"/>
      <c r="AF52" s="93"/>
      <c r="AG52" s="90"/>
      <c r="AH52" s="91"/>
      <c r="AI52" s="91"/>
      <c r="AJ52" s="91"/>
      <c r="AK52" s="91"/>
      <c r="AL52" s="91"/>
      <c r="AM52" s="93"/>
      <c r="AN52" s="90"/>
      <c r="AO52" s="91"/>
      <c r="AP52" s="91"/>
      <c r="AQ52" s="91"/>
      <c r="AR52" s="91"/>
      <c r="AS52" s="91"/>
      <c r="AT52" s="93"/>
      <c r="AU52" s="37">
        <f t="shared" si="5"/>
        <v>0</v>
      </c>
      <c r="AV52" s="37">
        <f t="shared" si="6"/>
        <v>0</v>
      </c>
      <c r="AW52" s="37">
        <f t="shared" si="7"/>
        <v>0</v>
      </c>
      <c r="AX52" s="37">
        <f t="shared" si="8"/>
        <v>0</v>
      </c>
      <c r="AY52" s="37">
        <f t="shared" si="9"/>
        <v>0</v>
      </c>
      <c r="AZ52" s="37">
        <f t="shared" si="10"/>
        <v>0</v>
      </c>
      <c r="BA52" s="20"/>
    </row>
    <row r="53" spans="1:53" ht="14.1" hidden="1" customHeight="1" x14ac:dyDescent="0.25">
      <c r="A53" s="89"/>
      <c r="B53" s="101" t="str" cm="1">
        <f t="array" ref="B53">_xlfn.IFNA(INDEX(Employees[Employment Type],MATCH(Schedule!A53:A53,Employees[Employee Names],0)),"")</f>
        <v/>
      </c>
      <c r="C53" s="101" t="str">
        <f>_xlfn.IFNA(INDEX(Employees[Employee Role],MATCH(Schedule!A53,Employees[Employee Names],0)),"")</f>
        <v/>
      </c>
      <c r="D53" s="102">
        <f>COUNTA(IF(Settings!$D$14 = TRUE,E53:AT53,$E53:$AF53))</f>
        <v>0</v>
      </c>
      <c r="E53" s="90"/>
      <c r="F53" s="91"/>
      <c r="G53" s="91"/>
      <c r="H53" s="91"/>
      <c r="I53" s="91"/>
      <c r="J53" s="91"/>
      <c r="K53" s="92"/>
      <c r="L53" s="90"/>
      <c r="M53" s="91"/>
      <c r="N53" s="91"/>
      <c r="O53" s="91"/>
      <c r="P53" s="91"/>
      <c r="Q53" s="91"/>
      <c r="R53" s="92"/>
      <c r="S53" s="90"/>
      <c r="T53" s="91"/>
      <c r="U53" s="91"/>
      <c r="V53" s="91"/>
      <c r="W53" s="91"/>
      <c r="X53" s="91"/>
      <c r="Y53" s="92"/>
      <c r="Z53" s="90"/>
      <c r="AA53" s="91"/>
      <c r="AB53" s="91"/>
      <c r="AC53" s="91"/>
      <c r="AD53" s="91"/>
      <c r="AE53" s="91"/>
      <c r="AF53" s="93"/>
      <c r="AG53" s="90"/>
      <c r="AH53" s="91"/>
      <c r="AI53" s="91"/>
      <c r="AJ53" s="91"/>
      <c r="AK53" s="91"/>
      <c r="AL53" s="91"/>
      <c r="AM53" s="93"/>
      <c r="AN53" s="90"/>
      <c r="AO53" s="91"/>
      <c r="AP53" s="91"/>
      <c r="AQ53" s="91"/>
      <c r="AR53" s="91"/>
      <c r="AS53" s="91"/>
      <c r="AT53" s="93"/>
      <c r="AU53" s="37">
        <f t="shared" si="5"/>
        <v>0</v>
      </c>
      <c r="AV53" s="37">
        <f t="shared" si="6"/>
        <v>0</v>
      </c>
      <c r="AW53" s="37">
        <f t="shared" si="7"/>
        <v>0</v>
      </c>
      <c r="AX53" s="37">
        <f t="shared" si="8"/>
        <v>0</v>
      </c>
      <c r="AY53" s="37">
        <f t="shared" si="9"/>
        <v>0</v>
      </c>
      <c r="AZ53" s="37">
        <f t="shared" si="10"/>
        <v>0</v>
      </c>
      <c r="BA53" s="20"/>
    </row>
    <row r="54" spans="1:53" ht="14.1" hidden="1" customHeight="1" x14ac:dyDescent="0.25">
      <c r="A54" s="89"/>
      <c r="B54" s="101" t="str" cm="1">
        <f t="array" ref="B54">_xlfn.IFNA(INDEX(Employees[Employment Type],MATCH(Schedule!A54:A54,Employees[Employee Names],0)),"")</f>
        <v/>
      </c>
      <c r="C54" s="101" t="str">
        <f>_xlfn.IFNA(INDEX(Employees[Employee Role],MATCH(Schedule!A54,Employees[Employee Names],0)),"")</f>
        <v/>
      </c>
      <c r="D54" s="102">
        <f>COUNTA(IF(Settings!$D$14 = TRUE,E54:AT54,$E54:$AF54))</f>
        <v>0</v>
      </c>
      <c r="E54" s="90"/>
      <c r="F54" s="91"/>
      <c r="G54" s="91"/>
      <c r="H54" s="91"/>
      <c r="I54" s="91"/>
      <c r="J54" s="91"/>
      <c r="K54" s="92"/>
      <c r="L54" s="90"/>
      <c r="M54" s="91"/>
      <c r="N54" s="91"/>
      <c r="O54" s="91"/>
      <c r="P54" s="91"/>
      <c r="Q54" s="91"/>
      <c r="R54" s="92"/>
      <c r="S54" s="90"/>
      <c r="T54" s="91"/>
      <c r="U54" s="91"/>
      <c r="V54" s="91"/>
      <c r="W54" s="91"/>
      <c r="X54" s="91"/>
      <c r="Y54" s="92"/>
      <c r="Z54" s="90"/>
      <c r="AA54" s="91"/>
      <c r="AB54" s="91"/>
      <c r="AC54" s="91"/>
      <c r="AD54" s="91"/>
      <c r="AE54" s="91"/>
      <c r="AF54" s="93"/>
      <c r="AG54" s="90"/>
      <c r="AH54" s="91"/>
      <c r="AI54" s="91"/>
      <c r="AJ54" s="91"/>
      <c r="AK54" s="91"/>
      <c r="AL54" s="91"/>
      <c r="AM54" s="93"/>
      <c r="AN54" s="90"/>
      <c r="AO54" s="91"/>
      <c r="AP54" s="91"/>
      <c r="AQ54" s="91"/>
      <c r="AR54" s="91"/>
      <c r="AS54" s="91"/>
      <c r="AT54" s="93"/>
      <c r="AU54" s="37">
        <f t="shared" si="5"/>
        <v>0</v>
      </c>
      <c r="AV54" s="37">
        <f t="shared" si="6"/>
        <v>0</v>
      </c>
      <c r="AW54" s="37">
        <f t="shared" si="7"/>
        <v>0</v>
      </c>
      <c r="AX54" s="37">
        <f t="shared" si="8"/>
        <v>0</v>
      </c>
      <c r="AY54" s="37">
        <f t="shared" si="9"/>
        <v>0</v>
      </c>
      <c r="AZ54" s="37">
        <f t="shared" si="10"/>
        <v>0</v>
      </c>
      <c r="BA54" s="20"/>
    </row>
    <row r="55" spans="1:53" ht="14.1" hidden="1" customHeight="1" x14ac:dyDescent="0.25">
      <c r="A55" s="89"/>
      <c r="B55" s="101" t="str" cm="1">
        <f t="array" ref="B55">_xlfn.IFNA(INDEX(Employees[Employment Type],MATCH(Schedule!A55:A55,Employees[Employee Names],0)),"")</f>
        <v/>
      </c>
      <c r="C55" s="101" t="str">
        <f>_xlfn.IFNA(INDEX(Employees[Employee Role],MATCH(Schedule!A55,Employees[Employee Names],0)),"")</f>
        <v/>
      </c>
      <c r="D55" s="102">
        <f>COUNTA(IF(Settings!$D$14 = TRUE,E55:AT55,$E55:$AF55))</f>
        <v>0</v>
      </c>
      <c r="E55" s="90"/>
      <c r="F55" s="91"/>
      <c r="G55" s="91"/>
      <c r="H55" s="91"/>
      <c r="I55" s="91"/>
      <c r="J55" s="91"/>
      <c r="K55" s="92"/>
      <c r="L55" s="90"/>
      <c r="M55" s="91"/>
      <c r="N55" s="91"/>
      <c r="O55" s="91"/>
      <c r="P55" s="91"/>
      <c r="Q55" s="91"/>
      <c r="R55" s="92"/>
      <c r="S55" s="90"/>
      <c r="T55" s="91"/>
      <c r="U55" s="91"/>
      <c r="V55" s="91"/>
      <c r="W55" s="91"/>
      <c r="X55" s="91"/>
      <c r="Y55" s="92"/>
      <c r="Z55" s="90"/>
      <c r="AA55" s="91"/>
      <c r="AB55" s="91"/>
      <c r="AC55" s="91"/>
      <c r="AD55" s="91"/>
      <c r="AE55" s="91"/>
      <c r="AF55" s="93"/>
      <c r="AG55" s="90"/>
      <c r="AH55" s="91"/>
      <c r="AI55" s="91"/>
      <c r="AJ55" s="91"/>
      <c r="AK55" s="91"/>
      <c r="AL55" s="91"/>
      <c r="AM55" s="93"/>
      <c r="AN55" s="90"/>
      <c r="AO55" s="91"/>
      <c r="AP55" s="91"/>
      <c r="AQ55" s="91"/>
      <c r="AR55" s="91"/>
      <c r="AS55" s="91"/>
      <c r="AT55" s="93"/>
      <c r="AU55" s="37">
        <f t="shared" si="5"/>
        <v>0</v>
      </c>
      <c r="AV55" s="37">
        <f t="shared" si="6"/>
        <v>0</v>
      </c>
      <c r="AW55" s="37">
        <f t="shared" si="7"/>
        <v>0</v>
      </c>
      <c r="AX55" s="37">
        <f t="shared" si="8"/>
        <v>0</v>
      </c>
      <c r="AY55" s="37">
        <f t="shared" si="9"/>
        <v>0</v>
      </c>
      <c r="AZ55" s="37">
        <f t="shared" si="10"/>
        <v>0</v>
      </c>
      <c r="BA55" s="20"/>
    </row>
    <row r="56" spans="1:53" ht="14.1" hidden="1" customHeight="1" x14ac:dyDescent="0.25">
      <c r="A56" s="89"/>
      <c r="B56" s="101" t="str" cm="1">
        <f t="array" ref="B56">_xlfn.IFNA(INDEX(Employees[Employment Type],MATCH(Schedule!A56:A56,Employees[Employee Names],0)),"")</f>
        <v/>
      </c>
      <c r="C56" s="101" t="str">
        <f>_xlfn.IFNA(INDEX(Employees[Employee Role],MATCH(Schedule!A56,Employees[Employee Names],0)),"")</f>
        <v/>
      </c>
      <c r="D56" s="102">
        <f>COUNTA(IF(Settings!$D$14 = TRUE,E56:AT56,$E56:$AF56))</f>
        <v>0</v>
      </c>
      <c r="E56" s="90"/>
      <c r="F56" s="91"/>
      <c r="G56" s="91"/>
      <c r="H56" s="91"/>
      <c r="I56" s="91"/>
      <c r="J56" s="91"/>
      <c r="K56" s="92"/>
      <c r="L56" s="90"/>
      <c r="M56" s="91"/>
      <c r="N56" s="91"/>
      <c r="O56" s="91"/>
      <c r="P56" s="91"/>
      <c r="Q56" s="91"/>
      <c r="R56" s="92"/>
      <c r="S56" s="90"/>
      <c r="T56" s="91"/>
      <c r="U56" s="91"/>
      <c r="V56" s="91"/>
      <c r="W56" s="91"/>
      <c r="X56" s="91"/>
      <c r="Y56" s="92"/>
      <c r="Z56" s="90"/>
      <c r="AA56" s="91"/>
      <c r="AB56" s="91"/>
      <c r="AC56" s="91"/>
      <c r="AD56" s="91"/>
      <c r="AE56" s="91"/>
      <c r="AF56" s="93"/>
      <c r="AG56" s="90"/>
      <c r="AH56" s="91"/>
      <c r="AI56" s="91"/>
      <c r="AJ56" s="91"/>
      <c r="AK56" s="91"/>
      <c r="AL56" s="91"/>
      <c r="AM56" s="93"/>
      <c r="AN56" s="90"/>
      <c r="AO56" s="91"/>
      <c r="AP56" s="91"/>
      <c r="AQ56" s="91"/>
      <c r="AR56" s="91"/>
      <c r="AS56" s="91"/>
      <c r="AT56" s="93"/>
      <c r="AU56" s="37">
        <f t="shared" si="5"/>
        <v>0</v>
      </c>
      <c r="AV56" s="37">
        <f t="shared" si="6"/>
        <v>0</v>
      </c>
      <c r="AW56" s="37">
        <f t="shared" si="7"/>
        <v>0</v>
      </c>
      <c r="AX56" s="37">
        <f t="shared" si="8"/>
        <v>0</v>
      </c>
      <c r="AY56" s="37">
        <f t="shared" si="9"/>
        <v>0</v>
      </c>
      <c r="AZ56" s="37">
        <f t="shared" si="10"/>
        <v>0</v>
      </c>
      <c r="BA56" s="20"/>
    </row>
    <row r="57" spans="1:53" ht="14.1" hidden="1" customHeight="1" x14ac:dyDescent="0.25">
      <c r="A57" s="89"/>
      <c r="B57" s="101" t="str" cm="1">
        <f t="array" ref="B57">_xlfn.IFNA(INDEX(Employees[Employment Type],MATCH(Schedule!A57:A57,Employees[Employee Names],0)),"")</f>
        <v/>
      </c>
      <c r="C57" s="101" t="str">
        <f>_xlfn.IFNA(INDEX(Employees[Employee Role],MATCH(Schedule!A57,Employees[Employee Names],0)),"")</f>
        <v/>
      </c>
      <c r="D57" s="102">
        <f>COUNTA(IF(Settings!$D$14 = TRUE,E57:AT57,$E57:$AF57))</f>
        <v>0</v>
      </c>
      <c r="E57" s="90"/>
      <c r="F57" s="91"/>
      <c r="G57" s="91"/>
      <c r="H57" s="91"/>
      <c r="I57" s="91"/>
      <c r="J57" s="91"/>
      <c r="K57" s="92"/>
      <c r="L57" s="90"/>
      <c r="M57" s="91"/>
      <c r="N57" s="91"/>
      <c r="O57" s="91"/>
      <c r="P57" s="91"/>
      <c r="Q57" s="91"/>
      <c r="R57" s="92"/>
      <c r="S57" s="90"/>
      <c r="T57" s="91"/>
      <c r="U57" s="91"/>
      <c r="V57" s="91"/>
      <c r="W57" s="91"/>
      <c r="X57" s="91"/>
      <c r="Y57" s="92"/>
      <c r="Z57" s="90"/>
      <c r="AA57" s="91"/>
      <c r="AB57" s="91"/>
      <c r="AC57" s="91"/>
      <c r="AD57" s="91"/>
      <c r="AE57" s="91"/>
      <c r="AF57" s="93"/>
      <c r="AG57" s="90"/>
      <c r="AH57" s="91"/>
      <c r="AI57" s="91"/>
      <c r="AJ57" s="91"/>
      <c r="AK57" s="91"/>
      <c r="AL57" s="91"/>
      <c r="AM57" s="93"/>
      <c r="AN57" s="90"/>
      <c r="AO57" s="91"/>
      <c r="AP57" s="91"/>
      <c r="AQ57" s="91"/>
      <c r="AR57" s="91"/>
      <c r="AS57" s="91"/>
      <c r="AT57" s="93"/>
      <c r="AU57" s="37">
        <f t="shared" si="5"/>
        <v>0</v>
      </c>
      <c r="AV57" s="37">
        <f t="shared" si="6"/>
        <v>0</v>
      </c>
      <c r="AW57" s="37">
        <f t="shared" si="7"/>
        <v>0</v>
      </c>
      <c r="AX57" s="37">
        <f t="shared" si="8"/>
        <v>0</v>
      </c>
      <c r="AY57" s="37">
        <f t="shared" si="9"/>
        <v>0</v>
      </c>
      <c r="AZ57" s="37">
        <f t="shared" si="10"/>
        <v>0</v>
      </c>
      <c r="BA57" s="20"/>
    </row>
    <row r="58" spans="1:53" ht="14.1" hidden="1" customHeight="1" x14ac:dyDescent="0.25">
      <c r="A58" s="89"/>
      <c r="B58" s="101" t="str" cm="1">
        <f t="array" ref="B58">_xlfn.IFNA(INDEX(Employees[Employment Type],MATCH(Schedule!A58:A58,Employees[Employee Names],0)),"")</f>
        <v/>
      </c>
      <c r="C58" s="101" t="str">
        <f>_xlfn.IFNA(INDEX(Employees[Employee Role],MATCH(Schedule!A58,Employees[Employee Names],0)),"")</f>
        <v/>
      </c>
      <c r="D58" s="102">
        <f>COUNTA(IF(Settings!$D$14 = TRUE,E58:AT58,$E58:$AF58))</f>
        <v>0</v>
      </c>
      <c r="E58" s="90"/>
      <c r="F58" s="91"/>
      <c r="G58" s="91"/>
      <c r="H58" s="91"/>
      <c r="I58" s="91"/>
      <c r="J58" s="91"/>
      <c r="K58" s="92"/>
      <c r="L58" s="90"/>
      <c r="M58" s="91"/>
      <c r="N58" s="91"/>
      <c r="O58" s="91"/>
      <c r="P58" s="91"/>
      <c r="Q58" s="91"/>
      <c r="R58" s="92"/>
      <c r="S58" s="90"/>
      <c r="T58" s="91"/>
      <c r="U58" s="91"/>
      <c r="V58" s="91"/>
      <c r="W58" s="91"/>
      <c r="X58" s="91"/>
      <c r="Y58" s="92"/>
      <c r="Z58" s="90"/>
      <c r="AA58" s="91"/>
      <c r="AB58" s="91"/>
      <c r="AC58" s="91"/>
      <c r="AD58" s="91"/>
      <c r="AE58" s="91"/>
      <c r="AF58" s="93"/>
      <c r="AG58" s="90"/>
      <c r="AH58" s="91"/>
      <c r="AI58" s="91"/>
      <c r="AJ58" s="91"/>
      <c r="AK58" s="91"/>
      <c r="AL58" s="91"/>
      <c r="AM58" s="93"/>
      <c r="AN58" s="90"/>
      <c r="AO58" s="91"/>
      <c r="AP58" s="91"/>
      <c r="AQ58" s="91"/>
      <c r="AR58" s="91"/>
      <c r="AS58" s="91"/>
      <c r="AT58" s="93"/>
      <c r="AU58" s="37">
        <f t="shared" si="5"/>
        <v>0</v>
      </c>
      <c r="AV58" s="37">
        <f t="shared" si="6"/>
        <v>0</v>
      </c>
      <c r="AW58" s="37">
        <f t="shared" si="7"/>
        <v>0</v>
      </c>
      <c r="AX58" s="37">
        <f t="shared" si="8"/>
        <v>0</v>
      </c>
      <c r="AY58" s="37">
        <f t="shared" si="9"/>
        <v>0</v>
      </c>
      <c r="AZ58" s="37">
        <f t="shared" si="10"/>
        <v>0</v>
      </c>
      <c r="BA58" s="20"/>
    </row>
    <row r="59" spans="1:53" ht="14.1" hidden="1" customHeight="1" x14ac:dyDescent="0.25">
      <c r="A59" s="89"/>
      <c r="B59" s="101" t="str" cm="1">
        <f t="array" ref="B59">_xlfn.IFNA(INDEX(Employees[Employment Type],MATCH(Schedule!A59:A59,Employees[Employee Names],0)),"")</f>
        <v/>
      </c>
      <c r="C59" s="101" t="str">
        <f>_xlfn.IFNA(INDEX(Employees[Employee Role],MATCH(Schedule!A59,Employees[Employee Names],0)),"")</f>
        <v/>
      </c>
      <c r="D59" s="102">
        <f>COUNTA(IF(Settings!$D$14 = TRUE,E59:AT59,$E59:$AF59))</f>
        <v>0</v>
      </c>
      <c r="E59" s="90"/>
      <c r="F59" s="91"/>
      <c r="G59" s="91"/>
      <c r="H59" s="91"/>
      <c r="I59" s="91"/>
      <c r="J59" s="91"/>
      <c r="K59" s="92"/>
      <c r="L59" s="90"/>
      <c r="M59" s="91"/>
      <c r="N59" s="91"/>
      <c r="O59" s="91"/>
      <c r="P59" s="91"/>
      <c r="Q59" s="91"/>
      <c r="R59" s="92"/>
      <c r="S59" s="90"/>
      <c r="T59" s="91"/>
      <c r="U59" s="91"/>
      <c r="V59" s="91"/>
      <c r="W59" s="91"/>
      <c r="X59" s="91"/>
      <c r="Y59" s="92"/>
      <c r="Z59" s="90"/>
      <c r="AA59" s="91"/>
      <c r="AB59" s="91"/>
      <c r="AC59" s="91"/>
      <c r="AD59" s="91"/>
      <c r="AE59" s="91"/>
      <c r="AF59" s="93"/>
      <c r="AG59" s="90"/>
      <c r="AH59" s="91"/>
      <c r="AI59" s="91"/>
      <c r="AJ59" s="91"/>
      <c r="AK59" s="91"/>
      <c r="AL59" s="91"/>
      <c r="AM59" s="93"/>
      <c r="AN59" s="90"/>
      <c r="AO59" s="91"/>
      <c r="AP59" s="91"/>
      <c r="AQ59" s="91"/>
      <c r="AR59" s="91"/>
      <c r="AS59" s="91"/>
      <c r="AT59" s="93"/>
      <c r="AU59" s="37">
        <f t="shared" si="5"/>
        <v>0</v>
      </c>
      <c r="AV59" s="37">
        <f t="shared" si="6"/>
        <v>0</v>
      </c>
      <c r="AW59" s="37">
        <f t="shared" si="7"/>
        <v>0</v>
      </c>
      <c r="AX59" s="37">
        <f t="shared" si="8"/>
        <v>0</v>
      </c>
      <c r="AY59" s="37">
        <f t="shared" si="9"/>
        <v>0</v>
      </c>
      <c r="AZ59" s="37">
        <f t="shared" si="10"/>
        <v>0</v>
      </c>
      <c r="BA59" s="20"/>
    </row>
    <row r="60" spans="1:53" ht="14.1" hidden="1" customHeight="1" x14ac:dyDescent="0.25">
      <c r="A60" s="89"/>
      <c r="B60" s="101" t="str" cm="1">
        <f t="array" ref="B60">_xlfn.IFNA(INDEX(Employees[Employment Type],MATCH(Schedule!A60:A60,Employees[Employee Names],0)),"")</f>
        <v/>
      </c>
      <c r="C60" s="101" t="str">
        <f>_xlfn.IFNA(INDEX(Employees[Employee Role],MATCH(Schedule!A60,Employees[Employee Names],0)),"")</f>
        <v/>
      </c>
      <c r="D60" s="102">
        <f>COUNTA(IF(Settings!$D$14 = TRUE,E60:AT60,$E60:$AF60))</f>
        <v>0</v>
      </c>
      <c r="E60" s="90"/>
      <c r="F60" s="91"/>
      <c r="G60" s="91"/>
      <c r="H60" s="91"/>
      <c r="I60" s="91"/>
      <c r="J60" s="91"/>
      <c r="K60" s="92"/>
      <c r="L60" s="90"/>
      <c r="M60" s="91"/>
      <c r="N60" s="91"/>
      <c r="O60" s="91"/>
      <c r="P60" s="91"/>
      <c r="Q60" s="91"/>
      <c r="R60" s="92"/>
      <c r="S60" s="90"/>
      <c r="T60" s="91"/>
      <c r="U60" s="91"/>
      <c r="V60" s="91"/>
      <c r="W60" s="91"/>
      <c r="X60" s="91"/>
      <c r="Y60" s="92"/>
      <c r="Z60" s="90"/>
      <c r="AA60" s="91"/>
      <c r="AB60" s="91"/>
      <c r="AC60" s="91"/>
      <c r="AD60" s="91"/>
      <c r="AE60" s="91"/>
      <c r="AF60" s="93"/>
      <c r="AG60" s="90"/>
      <c r="AH60" s="91"/>
      <c r="AI60" s="91"/>
      <c r="AJ60" s="91"/>
      <c r="AK60" s="91"/>
      <c r="AL60" s="91"/>
      <c r="AM60" s="93"/>
      <c r="AN60" s="90"/>
      <c r="AO60" s="91"/>
      <c r="AP60" s="91"/>
      <c r="AQ60" s="91"/>
      <c r="AR60" s="91"/>
      <c r="AS60" s="91"/>
      <c r="AT60" s="93"/>
      <c r="AU60" s="37">
        <f t="shared" si="5"/>
        <v>0</v>
      </c>
      <c r="AV60" s="37">
        <f t="shared" si="6"/>
        <v>0</v>
      </c>
      <c r="AW60" s="37">
        <f t="shared" si="7"/>
        <v>0</v>
      </c>
      <c r="AX60" s="37">
        <f t="shared" si="8"/>
        <v>0</v>
      </c>
      <c r="AY60" s="37">
        <f t="shared" si="9"/>
        <v>0</v>
      </c>
      <c r="AZ60" s="37">
        <f t="shared" si="10"/>
        <v>0</v>
      </c>
      <c r="BA60" s="20"/>
    </row>
    <row r="61" spans="1:53" ht="14.1" hidden="1" customHeight="1" x14ac:dyDescent="0.25">
      <c r="A61" s="89"/>
      <c r="B61" s="101" t="str" cm="1">
        <f t="array" ref="B61">_xlfn.IFNA(INDEX(Employees[Employment Type],MATCH(Schedule!A61:A61,Employees[Employee Names],0)),"")</f>
        <v/>
      </c>
      <c r="C61" s="101" t="str">
        <f>_xlfn.IFNA(INDEX(Employees[Employee Role],MATCH(Schedule!A61,Employees[Employee Names],0)),"")</f>
        <v/>
      </c>
      <c r="D61" s="102">
        <f>COUNTA(IF(Settings!$D$14 = TRUE,E61:AT61,$E61:$AF61))</f>
        <v>0</v>
      </c>
      <c r="E61" s="90"/>
      <c r="F61" s="91"/>
      <c r="G61" s="91"/>
      <c r="H61" s="91"/>
      <c r="I61" s="91"/>
      <c r="J61" s="91"/>
      <c r="K61" s="92"/>
      <c r="L61" s="90"/>
      <c r="M61" s="91"/>
      <c r="N61" s="91"/>
      <c r="O61" s="91"/>
      <c r="P61" s="91"/>
      <c r="Q61" s="91"/>
      <c r="R61" s="92"/>
      <c r="S61" s="90"/>
      <c r="T61" s="91"/>
      <c r="U61" s="91"/>
      <c r="V61" s="91"/>
      <c r="W61" s="91"/>
      <c r="X61" s="91"/>
      <c r="Y61" s="92"/>
      <c r="Z61" s="90"/>
      <c r="AA61" s="91"/>
      <c r="AB61" s="91"/>
      <c r="AC61" s="91"/>
      <c r="AD61" s="91"/>
      <c r="AE61" s="91"/>
      <c r="AF61" s="93"/>
      <c r="AG61" s="90"/>
      <c r="AH61" s="91"/>
      <c r="AI61" s="91"/>
      <c r="AJ61" s="91"/>
      <c r="AK61" s="91"/>
      <c r="AL61" s="91"/>
      <c r="AM61" s="93"/>
      <c r="AN61" s="90"/>
      <c r="AO61" s="91"/>
      <c r="AP61" s="91"/>
      <c r="AQ61" s="91"/>
      <c r="AR61" s="91"/>
      <c r="AS61" s="91"/>
      <c r="AT61" s="93"/>
      <c r="AU61" s="37">
        <f t="shared" si="5"/>
        <v>0</v>
      </c>
      <c r="AV61" s="37">
        <f t="shared" si="6"/>
        <v>0</v>
      </c>
      <c r="AW61" s="37">
        <f t="shared" si="7"/>
        <v>0</v>
      </c>
      <c r="AX61" s="37">
        <f t="shared" si="8"/>
        <v>0</v>
      </c>
      <c r="AY61" s="37">
        <f t="shared" si="9"/>
        <v>0</v>
      </c>
      <c r="AZ61" s="37">
        <f t="shared" si="10"/>
        <v>0</v>
      </c>
      <c r="BA61" s="20"/>
    </row>
    <row r="62" spans="1:53" ht="14.1" hidden="1" customHeight="1" x14ac:dyDescent="0.25">
      <c r="A62" s="89"/>
      <c r="B62" s="101" t="str" cm="1">
        <f t="array" ref="B62">_xlfn.IFNA(INDEX(Employees[Employment Type],MATCH(Schedule!A62:A62,Employees[Employee Names],0)),"")</f>
        <v/>
      </c>
      <c r="C62" s="101" t="str">
        <f>_xlfn.IFNA(INDEX(Employees[Employee Role],MATCH(Schedule!A62,Employees[Employee Names],0)),"")</f>
        <v/>
      </c>
      <c r="D62" s="102">
        <f>COUNTA(IF(Settings!$D$14 = TRUE,E62:AT62,$E62:$AF62))</f>
        <v>0</v>
      </c>
      <c r="E62" s="90"/>
      <c r="F62" s="91"/>
      <c r="G62" s="91"/>
      <c r="H62" s="91"/>
      <c r="I62" s="91"/>
      <c r="J62" s="91"/>
      <c r="K62" s="92"/>
      <c r="L62" s="90"/>
      <c r="M62" s="91"/>
      <c r="N62" s="91"/>
      <c r="O62" s="91"/>
      <c r="P62" s="91"/>
      <c r="Q62" s="91"/>
      <c r="R62" s="92"/>
      <c r="S62" s="90"/>
      <c r="T62" s="91"/>
      <c r="U62" s="91"/>
      <c r="V62" s="91"/>
      <c r="W62" s="91"/>
      <c r="X62" s="91"/>
      <c r="Y62" s="92"/>
      <c r="Z62" s="90"/>
      <c r="AA62" s="91"/>
      <c r="AB62" s="91"/>
      <c r="AC62" s="91"/>
      <c r="AD62" s="91"/>
      <c r="AE62" s="91"/>
      <c r="AF62" s="93"/>
      <c r="AG62" s="90"/>
      <c r="AH62" s="91"/>
      <c r="AI62" s="91"/>
      <c r="AJ62" s="91"/>
      <c r="AK62" s="91"/>
      <c r="AL62" s="91"/>
      <c r="AM62" s="93"/>
      <c r="AN62" s="90"/>
      <c r="AO62" s="91"/>
      <c r="AP62" s="91"/>
      <c r="AQ62" s="91"/>
      <c r="AR62" s="91"/>
      <c r="AS62" s="91"/>
      <c r="AT62" s="93"/>
      <c r="AU62" s="37">
        <f t="shared" si="5"/>
        <v>0</v>
      </c>
      <c r="AV62" s="37">
        <f t="shared" si="6"/>
        <v>0</v>
      </c>
      <c r="AW62" s="37">
        <f t="shared" si="7"/>
        <v>0</v>
      </c>
      <c r="AX62" s="37">
        <f t="shared" si="8"/>
        <v>0</v>
      </c>
      <c r="AY62" s="37">
        <f t="shared" si="9"/>
        <v>0</v>
      </c>
      <c r="AZ62" s="37">
        <f t="shared" si="10"/>
        <v>0</v>
      </c>
      <c r="BA62" s="20"/>
    </row>
    <row r="63" spans="1:53" ht="14.1" hidden="1" customHeight="1" x14ac:dyDescent="0.25">
      <c r="A63" s="89"/>
      <c r="B63" s="101" t="str" cm="1">
        <f t="array" ref="B63">_xlfn.IFNA(INDEX(Employees[Employment Type],MATCH(Schedule!A63:A63,Employees[Employee Names],0)),"")</f>
        <v/>
      </c>
      <c r="C63" s="101" t="str">
        <f>_xlfn.IFNA(INDEX(Employees[Employee Role],MATCH(Schedule!A63,Employees[Employee Names],0)),"")</f>
        <v/>
      </c>
      <c r="D63" s="102">
        <f>COUNTA(IF(Settings!$D$14 = TRUE,E63:AT63,$E63:$AF63))</f>
        <v>0</v>
      </c>
      <c r="E63" s="90"/>
      <c r="F63" s="91"/>
      <c r="G63" s="91"/>
      <c r="H63" s="91"/>
      <c r="I63" s="91"/>
      <c r="J63" s="91"/>
      <c r="K63" s="92"/>
      <c r="L63" s="90"/>
      <c r="M63" s="91"/>
      <c r="N63" s="91"/>
      <c r="O63" s="91"/>
      <c r="P63" s="91"/>
      <c r="Q63" s="91"/>
      <c r="R63" s="92"/>
      <c r="S63" s="90"/>
      <c r="T63" s="91"/>
      <c r="U63" s="91"/>
      <c r="V63" s="91"/>
      <c r="W63" s="91"/>
      <c r="X63" s="91"/>
      <c r="Y63" s="92"/>
      <c r="Z63" s="90"/>
      <c r="AA63" s="91"/>
      <c r="AB63" s="91"/>
      <c r="AC63" s="91"/>
      <c r="AD63" s="91"/>
      <c r="AE63" s="91"/>
      <c r="AF63" s="93"/>
      <c r="AG63" s="90"/>
      <c r="AH63" s="91"/>
      <c r="AI63" s="91"/>
      <c r="AJ63" s="91"/>
      <c r="AK63" s="91"/>
      <c r="AL63" s="91"/>
      <c r="AM63" s="93"/>
      <c r="AN63" s="90"/>
      <c r="AO63" s="91"/>
      <c r="AP63" s="91"/>
      <c r="AQ63" s="91"/>
      <c r="AR63" s="91"/>
      <c r="AS63" s="91"/>
      <c r="AT63" s="93"/>
      <c r="AU63" s="37">
        <f t="shared" si="5"/>
        <v>0</v>
      </c>
      <c r="AV63" s="37">
        <f t="shared" si="6"/>
        <v>0</v>
      </c>
      <c r="AW63" s="37">
        <f t="shared" si="7"/>
        <v>0</v>
      </c>
      <c r="AX63" s="37">
        <f t="shared" si="8"/>
        <v>0</v>
      </c>
      <c r="AY63" s="37">
        <f t="shared" si="9"/>
        <v>0</v>
      </c>
      <c r="AZ63" s="37">
        <f t="shared" si="10"/>
        <v>0</v>
      </c>
      <c r="BA63" s="20"/>
    </row>
    <row r="64" spans="1:53" ht="14.1" hidden="1" customHeight="1" x14ac:dyDescent="0.25">
      <c r="A64" s="89"/>
      <c r="B64" s="101" t="str" cm="1">
        <f t="array" ref="B64">_xlfn.IFNA(INDEX(Employees[Employment Type],MATCH(Schedule!A64:A64,Employees[Employee Names],0)),"")</f>
        <v/>
      </c>
      <c r="C64" s="101" t="str">
        <f>_xlfn.IFNA(INDEX(Employees[Employee Role],MATCH(Schedule!A64,Employees[Employee Names],0)),"")</f>
        <v/>
      </c>
      <c r="D64" s="102">
        <f>COUNTA(IF(Settings!$D$14 = TRUE,E64:AT64,$E64:$AF64))</f>
        <v>0</v>
      </c>
      <c r="E64" s="90"/>
      <c r="F64" s="91"/>
      <c r="G64" s="91"/>
      <c r="H64" s="91"/>
      <c r="I64" s="91"/>
      <c r="J64" s="91"/>
      <c r="K64" s="92"/>
      <c r="L64" s="90"/>
      <c r="M64" s="91"/>
      <c r="N64" s="91"/>
      <c r="O64" s="91"/>
      <c r="P64" s="91"/>
      <c r="Q64" s="91"/>
      <c r="R64" s="92"/>
      <c r="S64" s="90"/>
      <c r="T64" s="91"/>
      <c r="U64" s="91"/>
      <c r="V64" s="91"/>
      <c r="W64" s="91"/>
      <c r="X64" s="91"/>
      <c r="Y64" s="92"/>
      <c r="Z64" s="90"/>
      <c r="AA64" s="91"/>
      <c r="AB64" s="91"/>
      <c r="AC64" s="91"/>
      <c r="AD64" s="91"/>
      <c r="AE64" s="91"/>
      <c r="AF64" s="93"/>
      <c r="AG64" s="90"/>
      <c r="AH64" s="91"/>
      <c r="AI64" s="91"/>
      <c r="AJ64" s="91"/>
      <c r="AK64" s="91"/>
      <c r="AL64" s="91"/>
      <c r="AM64" s="93"/>
      <c r="AN64" s="90"/>
      <c r="AO64" s="91"/>
      <c r="AP64" s="91"/>
      <c r="AQ64" s="91"/>
      <c r="AR64" s="91"/>
      <c r="AS64" s="91"/>
      <c r="AT64" s="93"/>
      <c r="AU64" s="37">
        <f t="shared" si="5"/>
        <v>0</v>
      </c>
      <c r="AV64" s="37">
        <f t="shared" si="6"/>
        <v>0</v>
      </c>
      <c r="AW64" s="37">
        <f t="shared" si="7"/>
        <v>0</v>
      </c>
      <c r="AX64" s="37">
        <f t="shared" si="8"/>
        <v>0</v>
      </c>
      <c r="AY64" s="37">
        <f t="shared" si="9"/>
        <v>0</v>
      </c>
      <c r="AZ64" s="37">
        <f t="shared" si="10"/>
        <v>0</v>
      </c>
      <c r="BA64" s="20"/>
    </row>
    <row r="65" spans="1:53" ht="14.1" hidden="1" customHeight="1" x14ac:dyDescent="0.25">
      <c r="A65" s="89"/>
      <c r="B65" s="101" t="str" cm="1">
        <f t="array" ref="B65">_xlfn.IFNA(INDEX(Employees[Employment Type],MATCH(Schedule!A65:A65,Employees[Employee Names],0)),"")</f>
        <v/>
      </c>
      <c r="C65" s="101" t="str">
        <f>_xlfn.IFNA(INDEX(Employees[Employee Role],MATCH(Schedule!A65,Employees[Employee Names],0)),"")</f>
        <v/>
      </c>
      <c r="D65" s="102">
        <f>COUNTA(IF(Settings!$D$14 = TRUE,E65:AT65,$E65:$AF65))</f>
        <v>0</v>
      </c>
      <c r="E65" s="90"/>
      <c r="F65" s="91"/>
      <c r="G65" s="91"/>
      <c r="H65" s="91"/>
      <c r="I65" s="91"/>
      <c r="J65" s="91"/>
      <c r="K65" s="92"/>
      <c r="L65" s="90"/>
      <c r="M65" s="91"/>
      <c r="N65" s="91"/>
      <c r="O65" s="91"/>
      <c r="P65" s="91"/>
      <c r="Q65" s="91"/>
      <c r="R65" s="92"/>
      <c r="S65" s="90"/>
      <c r="T65" s="91"/>
      <c r="U65" s="91"/>
      <c r="V65" s="91"/>
      <c r="W65" s="91"/>
      <c r="X65" s="91"/>
      <c r="Y65" s="92"/>
      <c r="Z65" s="90"/>
      <c r="AA65" s="91"/>
      <c r="AB65" s="91"/>
      <c r="AC65" s="91"/>
      <c r="AD65" s="91"/>
      <c r="AE65" s="91"/>
      <c r="AF65" s="93"/>
      <c r="AG65" s="90"/>
      <c r="AH65" s="91"/>
      <c r="AI65" s="91"/>
      <c r="AJ65" s="91"/>
      <c r="AK65" s="91"/>
      <c r="AL65" s="91"/>
      <c r="AM65" s="93"/>
      <c r="AN65" s="90"/>
      <c r="AO65" s="91"/>
      <c r="AP65" s="91"/>
      <c r="AQ65" s="91"/>
      <c r="AR65" s="91"/>
      <c r="AS65" s="91"/>
      <c r="AT65" s="93"/>
      <c r="AU65" s="37">
        <f t="shared" si="5"/>
        <v>0</v>
      </c>
      <c r="AV65" s="37">
        <f t="shared" si="6"/>
        <v>0</v>
      </c>
      <c r="AW65" s="37">
        <f t="shared" si="7"/>
        <v>0</v>
      </c>
      <c r="AX65" s="37">
        <f t="shared" si="8"/>
        <v>0</v>
      </c>
      <c r="AY65" s="37">
        <f t="shared" si="9"/>
        <v>0</v>
      </c>
      <c r="AZ65" s="37">
        <f t="shared" si="10"/>
        <v>0</v>
      </c>
      <c r="BA65" s="20"/>
    </row>
    <row r="66" spans="1:53" ht="14.1" hidden="1" customHeight="1" x14ac:dyDescent="0.25">
      <c r="A66" s="89"/>
      <c r="B66" s="101" t="str" cm="1">
        <f t="array" ref="B66">_xlfn.IFNA(INDEX(Employees[Employment Type],MATCH(Schedule!A66:A66,Employees[Employee Names],0)),"")</f>
        <v/>
      </c>
      <c r="C66" s="101" t="str">
        <f>_xlfn.IFNA(INDEX(Employees[Employee Role],MATCH(Schedule!A66,Employees[Employee Names],0)),"")</f>
        <v/>
      </c>
      <c r="D66" s="102">
        <f>COUNTA(IF(Settings!$D$14 = TRUE,E66:AT66,$E66:$AF66))</f>
        <v>0</v>
      </c>
      <c r="E66" s="90"/>
      <c r="F66" s="91"/>
      <c r="G66" s="91"/>
      <c r="H66" s="91"/>
      <c r="I66" s="91"/>
      <c r="J66" s="91"/>
      <c r="K66" s="92"/>
      <c r="L66" s="90"/>
      <c r="M66" s="91"/>
      <c r="N66" s="91"/>
      <c r="O66" s="91"/>
      <c r="P66" s="91"/>
      <c r="Q66" s="91"/>
      <c r="R66" s="92"/>
      <c r="S66" s="90"/>
      <c r="T66" s="91"/>
      <c r="U66" s="91"/>
      <c r="V66" s="91"/>
      <c r="W66" s="91"/>
      <c r="X66" s="91"/>
      <c r="Y66" s="92"/>
      <c r="Z66" s="90"/>
      <c r="AA66" s="91"/>
      <c r="AB66" s="91"/>
      <c r="AC66" s="91"/>
      <c r="AD66" s="91"/>
      <c r="AE66" s="91"/>
      <c r="AF66" s="93"/>
      <c r="AG66" s="90"/>
      <c r="AH66" s="91"/>
      <c r="AI66" s="91"/>
      <c r="AJ66" s="91"/>
      <c r="AK66" s="91"/>
      <c r="AL66" s="91"/>
      <c r="AM66" s="93"/>
      <c r="AN66" s="90"/>
      <c r="AO66" s="91"/>
      <c r="AP66" s="91"/>
      <c r="AQ66" s="91"/>
      <c r="AR66" s="91"/>
      <c r="AS66" s="91"/>
      <c r="AT66" s="93"/>
      <c r="AU66" s="37">
        <f t="shared" si="5"/>
        <v>0</v>
      </c>
      <c r="AV66" s="37">
        <f t="shared" si="6"/>
        <v>0</v>
      </c>
      <c r="AW66" s="37">
        <f t="shared" si="7"/>
        <v>0</v>
      </c>
      <c r="AX66" s="37">
        <f t="shared" si="8"/>
        <v>0</v>
      </c>
      <c r="AY66" s="37">
        <f t="shared" si="9"/>
        <v>0</v>
      </c>
      <c r="AZ66" s="37">
        <f t="shared" si="10"/>
        <v>0</v>
      </c>
      <c r="BA66" s="20"/>
    </row>
    <row r="67" spans="1:53" ht="14.1" hidden="1" customHeight="1" x14ac:dyDescent="0.25">
      <c r="A67" s="89"/>
      <c r="B67" s="101" t="str" cm="1">
        <f t="array" ref="B67">_xlfn.IFNA(INDEX(Employees[Employment Type],MATCH(Schedule!A67:A67,Employees[Employee Names],0)),"")</f>
        <v/>
      </c>
      <c r="C67" s="101" t="str">
        <f>_xlfn.IFNA(INDEX(Employees[Employee Role],MATCH(Schedule!A67,Employees[Employee Names],0)),"")</f>
        <v/>
      </c>
      <c r="D67" s="102">
        <f>COUNTA(IF(Settings!$D$14 = TRUE,E67:AT67,$E67:$AF67))</f>
        <v>0</v>
      </c>
      <c r="E67" s="90"/>
      <c r="F67" s="91"/>
      <c r="G67" s="91"/>
      <c r="H67" s="91"/>
      <c r="I67" s="91"/>
      <c r="J67" s="91"/>
      <c r="K67" s="92"/>
      <c r="L67" s="90"/>
      <c r="M67" s="91"/>
      <c r="N67" s="91"/>
      <c r="O67" s="91"/>
      <c r="P67" s="91"/>
      <c r="Q67" s="91"/>
      <c r="R67" s="92"/>
      <c r="S67" s="90"/>
      <c r="T67" s="91"/>
      <c r="U67" s="91"/>
      <c r="V67" s="91"/>
      <c r="W67" s="91"/>
      <c r="X67" s="91"/>
      <c r="Y67" s="92"/>
      <c r="Z67" s="90"/>
      <c r="AA67" s="91"/>
      <c r="AB67" s="91"/>
      <c r="AC67" s="91"/>
      <c r="AD67" s="91"/>
      <c r="AE67" s="91"/>
      <c r="AF67" s="93"/>
      <c r="AG67" s="90"/>
      <c r="AH67" s="91"/>
      <c r="AI67" s="91"/>
      <c r="AJ67" s="91"/>
      <c r="AK67" s="91"/>
      <c r="AL67" s="91"/>
      <c r="AM67" s="93"/>
      <c r="AN67" s="90"/>
      <c r="AO67" s="91"/>
      <c r="AP67" s="91"/>
      <c r="AQ67" s="91"/>
      <c r="AR67" s="91"/>
      <c r="AS67" s="91"/>
      <c r="AT67" s="93"/>
      <c r="AU67" s="37">
        <f t="shared" si="5"/>
        <v>0</v>
      </c>
      <c r="AV67" s="37">
        <f t="shared" si="6"/>
        <v>0</v>
      </c>
      <c r="AW67" s="37">
        <f t="shared" si="7"/>
        <v>0</v>
      </c>
      <c r="AX67" s="37">
        <f t="shared" si="8"/>
        <v>0</v>
      </c>
      <c r="AY67" s="37">
        <f t="shared" si="9"/>
        <v>0</v>
      </c>
      <c r="AZ67" s="37">
        <f t="shared" si="10"/>
        <v>0</v>
      </c>
      <c r="BA67" s="20"/>
    </row>
    <row r="68" spans="1:53" ht="14.1" hidden="1" customHeight="1" x14ac:dyDescent="0.25">
      <c r="A68" s="89"/>
      <c r="B68" s="101" t="str" cm="1">
        <f t="array" ref="B68">_xlfn.IFNA(INDEX(Employees[Employment Type],MATCH(Schedule!A68:A68,Employees[Employee Names],0)),"")</f>
        <v/>
      </c>
      <c r="C68" s="101" t="str">
        <f>_xlfn.IFNA(INDEX(Employees[Employee Role],MATCH(Schedule!A68,Employees[Employee Names],0)),"")</f>
        <v/>
      </c>
      <c r="D68" s="102">
        <f>COUNTA(IF(Settings!$D$14 = TRUE,E68:AT68,$E68:$AF68))</f>
        <v>0</v>
      </c>
      <c r="E68" s="90"/>
      <c r="F68" s="91"/>
      <c r="G68" s="91"/>
      <c r="H68" s="91"/>
      <c r="I68" s="91"/>
      <c r="J68" s="91"/>
      <c r="K68" s="92"/>
      <c r="L68" s="90"/>
      <c r="M68" s="91"/>
      <c r="N68" s="91"/>
      <c r="O68" s="91"/>
      <c r="P68" s="91"/>
      <c r="Q68" s="91"/>
      <c r="R68" s="92"/>
      <c r="S68" s="90"/>
      <c r="T68" s="91"/>
      <c r="U68" s="91"/>
      <c r="V68" s="91"/>
      <c r="W68" s="91"/>
      <c r="X68" s="91"/>
      <c r="Y68" s="92"/>
      <c r="Z68" s="90"/>
      <c r="AA68" s="91"/>
      <c r="AB68" s="91"/>
      <c r="AC68" s="91"/>
      <c r="AD68" s="91"/>
      <c r="AE68" s="91"/>
      <c r="AF68" s="93"/>
      <c r="AG68" s="90"/>
      <c r="AH68" s="91"/>
      <c r="AI68" s="91"/>
      <c r="AJ68" s="91"/>
      <c r="AK68" s="91"/>
      <c r="AL68" s="91"/>
      <c r="AM68" s="93"/>
      <c r="AN68" s="90"/>
      <c r="AO68" s="91"/>
      <c r="AP68" s="91"/>
      <c r="AQ68" s="91"/>
      <c r="AR68" s="91"/>
      <c r="AS68" s="91"/>
      <c r="AT68" s="93"/>
      <c r="AU68" s="37">
        <f t="shared" si="5"/>
        <v>0</v>
      </c>
      <c r="AV68" s="37">
        <f t="shared" si="6"/>
        <v>0</v>
      </c>
      <c r="AW68" s="37">
        <f t="shared" si="7"/>
        <v>0</v>
      </c>
      <c r="AX68" s="37">
        <f t="shared" si="8"/>
        <v>0</v>
      </c>
      <c r="AY68" s="37">
        <f t="shared" si="9"/>
        <v>0</v>
      </c>
      <c r="AZ68" s="37">
        <f t="shared" si="10"/>
        <v>0</v>
      </c>
      <c r="BA68" s="20"/>
    </row>
    <row r="69" spans="1:53" ht="14.1" hidden="1" customHeight="1" x14ac:dyDescent="0.25">
      <c r="A69" s="89"/>
      <c r="B69" s="101" t="str" cm="1">
        <f t="array" ref="B69">_xlfn.IFNA(INDEX(Employees[Employment Type],MATCH(Schedule!A69:A69,Employees[Employee Names],0)),"")</f>
        <v/>
      </c>
      <c r="C69" s="101" t="str">
        <f>_xlfn.IFNA(INDEX(Employees[Employee Role],MATCH(Schedule!A69,Employees[Employee Names],0)),"")</f>
        <v/>
      </c>
      <c r="D69" s="102">
        <f>COUNTA(IF(Settings!$D$14 = TRUE,E69:AT69,$E69:$AF69))</f>
        <v>0</v>
      </c>
      <c r="E69" s="90"/>
      <c r="F69" s="91"/>
      <c r="G69" s="91"/>
      <c r="H69" s="91"/>
      <c r="I69" s="91"/>
      <c r="J69" s="91"/>
      <c r="K69" s="92"/>
      <c r="L69" s="90"/>
      <c r="M69" s="91"/>
      <c r="N69" s="91"/>
      <c r="O69" s="91"/>
      <c r="P69" s="91"/>
      <c r="Q69" s="91"/>
      <c r="R69" s="92"/>
      <c r="S69" s="90"/>
      <c r="T69" s="91"/>
      <c r="U69" s="91"/>
      <c r="V69" s="91"/>
      <c r="W69" s="91"/>
      <c r="X69" s="91"/>
      <c r="Y69" s="92"/>
      <c r="Z69" s="90"/>
      <c r="AA69" s="91"/>
      <c r="AB69" s="91"/>
      <c r="AC69" s="91"/>
      <c r="AD69" s="91"/>
      <c r="AE69" s="91"/>
      <c r="AF69" s="93"/>
      <c r="AG69" s="90"/>
      <c r="AH69" s="91"/>
      <c r="AI69" s="91"/>
      <c r="AJ69" s="91"/>
      <c r="AK69" s="91"/>
      <c r="AL69" s="91"/>
      <c r="AM69" s="93"/>
      <c r="AN69" s="90"/>
      <c r="AO69" s="91"/>
      <c r="AP69" s="91"/>
      <c r="AQ69" s="91"/>
      <c r="AR69" s="91"/>
      <c r="AS69" s="91"/>
      <c r="AT69" s="93"/>
      <c r="AU69" s="37">
        <f t="shared" si="5"/>
        <v>0</v>
      </c>
      <c r="AV69" s="37">
        <f t="shared" si="6"/>
        <v>0</v>
      </c>
      <c r="AW69" s="37">
        <f t="shared" si="7"/>
        <v>0</v>
      </c>
      <c r="AX69" s="37">
        <f t="shared" si="8"/>
        <v>0</v>
      </c>
      <c r="AY69" s="37">
        <f t="shared" si="9"/>
        <v>0</v>
      </c>
      <c r="AZ69" s="37">
        <f t="shared" si="10"/>
        <v>0</v>
      </c>
      <c r="BA69" s="20"/>
    </row>
    <row r="70" spans="1:53" ht="14.1" hidden="1" customHeight="1" x14ac:dyDescent="0.25">
      <c r="A70" s="89"/>
      <c r="B70" s="101" t="str" cm="1">
        <f t="array" ref="B70">_xlfn.IFNA(INDEX(Employees[Employment Type],MATCH(Schedule!A70:A70,Employees[Employee Names],0)),"")</f>
        <v/>
      </c>
      <c r="C70" s="101" t="str">
        <f>_xlfn.IFNA(INDEX(Employees[Employee Role],MATCH(Schedule!A70,Employees[Employee Names],0)),"")</f>
        <v/>
      </c>
      <c r="D70" s="102">
        <f>COUNTA(IF(Settings!$D$14 = TRUE,E70:AT70,$E70:$AF70))</f>
        <v>0</v>
      </c>
      <c r="E70" s="90"/>
      <c r="F70" s="91"/>
      <c r="G70" s="91"/>
      <c r="H70" s="91"/>
      <c r="I70" s="91"/>
      <c r="J70" s="91"/>
      <c r="K70" s="92"/>
      <c r="L70" s="90"/>
      <c r="M70" s="91"/>
      <c r="N70" s="91"/>
      <c r="O70" s="91"/>
      <c r="P70" s="91"/>
      <c r="Q70" s="91"/>
      <c r="R70" s="92"/>
      <c r="S70" s="90"/>
      <c r="T70" s="91"/>
      <c r="U70" s="91"/>
      <c r="V70" s="91"/>
      <c r="W70" s="91"/>
      <c r="X70" s="91"/>
      <c r="Y70" s="92"/>
      <c r="Z70" s="90"/>
      <c r="AA70" s="91"/>
      <c r="AB70" s="91"/>
      <c r="AC70" s="91"/>
      <c r="AD70" s="91"/>
      <c r="AE70" s="91"/>
      <c r="AF70" s="93"/>
      <c r="AG70" s="90"/>
      <c r="AH70" s="91"/>
      <c r="AI70" s="91"/>
      <c r="AJ70" s="91"/>
      <c r="AK70" s="91"/>
      <c r="AL70" s="91"/>
      <c r="AM70" s="93"/>
      <c r="AN70" s="90"/>
      <c r="AO70" s="91"/>
      <c r="AP70" s="91"/>
      <c r="AQ70" s="91"/>
      <c r="AR70" s="91"/>
      <c r="AS70" s="91"/>
      <c r="AT70" s="93"/>
      <c r="AU70" s="37">
        <f t="shared" si="5"/>
        <v>0</v>
      </c>
      <c r="AV70" s="37">
        <f t="shared" si="6"/>
        <v>0</v>
      </c>
      <c r="AW70" s="37">
        <f t="shared" si="7"/>
        <v>0</v>
      </c>
      <c r="AX70" s="37">
        <f t="shared" si="8"/>
        <v>0</v>
      </c>
      <c r="AY70" s="37">
        <f t="shared" si="9"/>
        <v>0</v>
      </c>
      <c r="AZ70" s="37">
        <f t="shared" si="10"/>
        <v>0</v>
      </c>
      <c r="BA70" s="20"/>
    </row>
    <row r="71" spans="1:53" ht="14.1" hidden="1" customHeight="1" x14ac:dyDescent="0.25">
      <c r="A71" s="89"/>
      <c r="B71" s="101" t="str" cm="1">
        <f t="array" ref="B71">_xlfn.IFNA(INDEX(Employees[Employment Type],MATCH(Schedule!A71:A71,Employees[Employee Names],0)),"")</f>
        <v/>
      </c>
      <c r="C71" s="101" t="str">
        <f>_xlfn.IFNA(INDEX(Employees[Employee Role],MATCH(Schedule!A71,Employees[Employee Names],0)),"")</f>
        <v/>
      </c>
      <c r="D71" s="102">
        <f>COUNTA(IF(Settings!$D$14 = TRUE,E71:AT71,$E71:$AF71))</f>
        <v>0</v>
      </c>
      <c r="E71" s="90"/>
      <c r="F71" s="91"/>
      <c r="G71" s="91"/>
      <c r="H71" s="91"/>
      <c r="I71" s="91"/>
      <c r="J71" s="91"/>
      <c r="K71" s="92"/>
      <c r="L71" s="90"/>
      <c r="M71" s="91"/>
      <c r="N71" s="91"/>
      <c r="O71" s="91"/>
      <c r="P71" s="91"/>
      <c r="Q71" s="91"/>
      <c r="R71" s="92"/>
      <c r="S71" s="90"/>
      <c r="T71" s="91"/>
      <c r="U71" s="91"/>
      <c r="V71" s="91"/>
      <c r="W71" s="91"/>
      <c r="X71" s="91"/>
      <c r="Y71" s="92"/>
      <c r="Z71" s="90"/>
      <c r="AA71" s="91"/>
      <c r="AB71" s="91"/>
      <c r="AC71" s="91"/>
      <c r="AD71" s="91"/>
      <c r="AE71" s="91"/>
      <c r="AF71" s="93"/>
      <c r="AG71" s="90"/>
      <c r="AH71" s="91"/>
      <c r="AI71" s="91"/>
      <c r="AJ71" s="91"/>
      <c r="AK71" s="91"/>
      <c r="AL71" s="91"/>
      <c r="AM71" s="93"/>
      <c r="AN71" s="90"/>
      <c r="AO71" s="91"/>
      <c r="AP71" s="91"/>
      <c r="AQ71" s="91"/>
      <c r="AR71" s="91"/>
      <c r="AS71" s="91"/>
      <c r="AT71" s="93"/>
      <c r="AU71" s="37">
        <f t="shared" si="5"/>
        <v>0</v>
      </c>
      <c r="AV71" s="37">
        <f t="shared" si="6"/>
        <v>0</v>
      </c>
      <c r="AW71" s="37">
        <f t="shared" si="7"/>
        <v>0</v>
      </c>
      <c r="AX71" s="37">
        <f t="shared" si="8"/>
        <v>0</v>
      </c>
      <c r="AY71" s="37">
        <f t="shared" si="9"/>
        <v>0</v>
      </c>
      <c r="AZ71" s="37">
        <f t="shared" si="10"/>
        <v>0</v>
      </c>
      <c r="BA71" s="20"/>
    </row>
    <row r="72" spans="1:53" ht="14.1" hidden="1" customHeight="1" x14ac:dyDescent="0.25">
      <c r="A72" s="89"/>
      <c r="B72" s="101" t="str" cm="1">
        <f t="array" ref="B72">_xlfn.IFNA(INDEX(Employees[Employment Type],MATCH(Schedule!A72:A72,Employees[Employee Names],0)),"")</f>
        <v/>
      </c>
      <c r="C72" s="101" t="str">
        <f>_xlfn.IFNA(INDEX(Employees[Employee Role],MATCH(Schedule!A72,Employees[Employee Names],0)),"")</f>
        <v/>
      </c>
      <c r="D72" s="102">
        <f>COUNTA(IF(Settings!$D$14 = TRUE,E72:AT72,$E72:$AF72))</f>
        <v>0</v>
      </c>
      <c r="E72" s="90"/>
      <c r="F72" s="91"/>
      <c r="G72" s="91"/>
      <c r="H72" s="91"/>
      <c r="I72" s="91"/>
      <c r="J72" s="91"/>
      <c r="K72" s="92"/>
      <c r="L72" s="90"/>
      <c r="M72" s="91"/>
      <c r="N72" s="91"/>
      <c r="O72" s="91"/>
      <c r="P72" s="91"/>
      <c r="Q72" s="91"/>
      <c r="R72" s="92"/>
      <c r="S72" s="90"/>
      <c r="T72" s="91"/>
      <c r="U72" s="91"/>
      <c r="V72" s="91"/>
      <c r="W72" s="91"/>
      <c r="X72" s="91"/>
      <c r="Y72" s="92"/>
      <c r="Z72" s="90"/>
      <c r="AA72" s="91"/>
      <c r="AB72" s="91"/>
      <c r="AC72" s="91"/>
      <c r="AD72" s="91"/>
      <c r="AE72" s="91"/>
      <c r="AF72" s="93"/>
      <c r="AG72" s="90"/>
      <c r="AH72" s="91"/>
      <c r="AI72" s="91"/>
      <c r="AJ72" s="91"/>
      <c r="AK72" s="91"/>
      <c r="AL72" s="91"/>
      <c r="AM72" s="93"/>
      <c r="AN72" s="90"/>
      <c r="AO72" s="91"/>
      <c r="AP72" s="91"/>
      <c r="AQ72" s="91"/>
      <c r="AR72" s="91"/>
      <c r="AS72" s="91"/>
      <c r="AT72" s="93"/>
      <c r="AU72" s="37">
        <f t="shared" si="5"/>
        <v>0</v>
      </c>
      <c r="AV72" s="37">
        <f t="shared" si="6"/>
        <v>0</v>
      </c>
      <c r="AW72" s="37">
        <f t="shared" si="7"/>
        <v>0</v>
      </c>
      <c r="AX72" s="37">
        <f t="shared" si="8"/>
        <v>0</v>
      </c>
      <c r="AY72" s="37">
        <f t="shared" si="9"/>
        <v>0</v>
      </c>
      <c r="AZ72" s="37">
        <f t="shared" si="10"/>
        <v>0</v>
      </c>
      <c r="BA72" s="20"/>
    </row>
    <row r="73" spans="1:53" ht="14.1" hidden="1" customHeight="1" x14ac:dyDescent="0.25">
      <c r="A73" s="89"/>
      <c r="B73" s="101" t="str" cm="1">
        <f t="array" ref="B73">_xlfn.IFNA(INDEX(Employees[Employment Type],MATCH(Schedule!A73:A73,Employees[Employee Names],0)),"")</f>
        <v/>
      </c>
      <c r="C73" s="101" t="str">
        <f>_xlfn.IFNA(INDEX(Employees[Employee Role],MATCH(Schedule!A73,Employees[Employee Names],0)),"")</f>
        <v/>
      </c>
      <c r="D73" s="102">
        <f>COUNTA(IF(Settings!$D$14 = TRUE,E73:AT73,$E73:$AF73))</f>
        <v>0</v>
      </c>
      <c r="E73" s="90"/>
      <c r="F73" s="91"/>
      <c r="G73" s="91"/>
      <c r="H73" s="91"/>
      <c r="I73" s="91"/>
      <c r="J73" s="91"/>
      <c r="K73" s="92"/>
      <c r="L73" s="90"/>
      <c r="M73" s="91"/>
      <c r="N73" s="91"/>
      <c r="O73" s="91"/>
      <c r="P73" s="91"/>
      <c r="Q73" s="91"/>
      <c r="R73" s="92"/>
      <c r="S73" s="90"/>
      <c r="T73" s="91"/>
      <c r="U73" s="91"/>
      <c r="V73" s="91"/>
      <c r="W73" s="91"/>
      <c r="X73" s="91"/>
      <c r="Y73" s="92"/>
      <c r="Z73" s="90"/>
      <c r="AA73" s="91"/>
      <c r="AB73" s="91"/>
      <c r="AC73" s="91"/>
      <c r="AD73" s="91"/>
      <c r="AE73" s="91"/>
      <c r="AF73" s="93"/>
      <c r="AG73" s="90"/>
      <c r="AH73" s="91"/>
      <c r="AI73" s="91"/>
      <c r="AJ73" s="91"/>
      <c r="AK73" s="91"/>
      <c r="AL73" s="91"/>
      <c r="AM73" s="93"/>
      <c r="AN73" s="90"/>
      <c r="AO73" s="91"/>
      <c r="AP73" s="91"/>
      <c r="AQ73" s="91"/>
      <c r="AR73" s="91"/>
      <c r="AS73" s="91"/>
      <c r="AT73" s="93"/>
      <c r="AU73" s="37">
        <f t="shared" ref="AU73:AU107" si="11">SUM($E73:$K73)</f>
        <v>0</v>
      </c>
      <c r="AV73" s="37">
        <f t="shared" ref="AV73:AV107" si="12">SUM($L73:$R73)</f>
        <v>0</v>
      </c>
      <c r="AW73" s="37">
        <f t="shared" ref="AW73:AW107" si="13">SUM($S73:$Y73)</f>
        <v>0</v>
      </c>
      <c r="AX73" s="37">
        <f t="shared" ref="AX73:AX107" si="14">SUM($Z73:$AF73)</f>
        <v>0</v>
      </c>
      <c r="AY73" s="37">
        <f t="shared" ref="AY73:AY107" si="15">SUM($AG73:$AM73)</f>
        <v>0</v>
      </c>
      <c r="AZ73" s="37">
        <f t="shared" ref="AZ73:AZ107" si="16">SUM($AN73:$AT73)</f>
        <v>0</v>
      </c>
      <c r="BA73" s="20"/>
    </row>
    <row r="74" spans="1:53" ht="14.1" hidden="1" customHeight="1" x14ac:dyDescent="0.25">
      <c r="A74" s="89"/>
      <c r="B74" s="101" t="str" cm="1">
        <f t="array" ref="B74">_xlfn.IFNA(INDEX(Employees[Employment Type],MATCH(Schedule!A74:A74,Employees[Employee Names],0)),"")</f>
        <v/>
      </c>
      <c r="C74" s="101" t="str">
        <f>_xlfn.IFNA(INDEX(Employees[Employee Role],MATCH(Schedule!A74,Employees[Employee Names],0)),"")</f>
        <v/>
      </c>
      <c r="D74" s="102">
        <f>COUNTA(IF(Settings!$D$14 = TRUE,E74:AT74,$E74:$AF74))</f>
        <v>0</v>
      </c>
      <c r="E74" s="90"/>
      <c r="F74" s="91"/>
      <c r="G74" s="91"/>
      <c r="H74" s="91"/>
      <c r="I74" s="91"/>
      <c r="J74" s="91"/>
      <c r="K74" s="92"/>
      <c r="L74" s="90"/>
      <c r="M74" s="91"/>
      <c r="N74" s="91"/>
      <c r="O74" s="91"/>
      <c r="P74" s="91"/>
      <c r="Q74" s="91"/>
      <c r="R74" s="92"/>
      <c r="S74" s="90"/>
      <c r="T74" s="91"/>
      <c r="U74" s="91"/>
      <c r="V74" s="91"/>
      <c r="W74" s="91"/>
      <c r="X74" s="91"/>
      <c r="Y74" s="92"/>
      <c r="Z74" s="90"/>
      <c r="AA74" s="91"/>
      <c r="AB74" s="91"/>
      <c r="AC74" s="91"/>
      <c r="AD74" s="91"/>
      <c r="AE74" s="91"/>
      <c r="AF74" s="93"/>
      <c r="AG74" s="90"/>
      <c r="AH74" s="91"/>
      <c r="AI74" s="91"/>
      <c r="AJ74" s="91"/>
      <c r="AK74" s="91"/>
      <c r="AL74" s="91"/>
      <c r="AM74" s="93"/>
      <c r="AN74" s="90"/>
      <c r="AO74" s="91"/>
      <c r="AP74" s="91"/>
      <c r="AQ74" s="91"/>
      <c r="AR74" s="91"/>
      <c r="AS74" s="91"/>
      <c r="AT74" s="93"/>
      <c r="AU74" s="37">
        <f t="shared" si="11"/>
        <v>0</v>
      </c>
      <c r="AV74" s="37">
        <f t="shared" si="12"/>
        <v>0</v>
      </c>
      <c r="AW74" s="37">
        <f t="shared" si="13"/>
        <v>0</v>
      </c>
      <c r="AX74" s="37">
        <f t="shared" si="14"/>
        <v>0</v>
      </c>
      <c r="AY74" s="37">
        <f t="shared" si="15"/>
        <v>0</v>
      </c>
      <c r="AZ74" s="37">
        <f t="shared" si="16"/>
        <v>0</v>
      </c>
      <c r="BA74" s="20"/>
    </row>
    <row r="75" spans="1:53" ht="14.1" hidden="1" customHeight="1" x14ac:dyDescent="0.25">
      <c r="A75" s="89"/>
      <c r="B75" s="101" t="str" cm="1">
        <f t="array" ref="B75">_xlfn.IFNA(INDEX(Employees[Employment Type],MATCH(Schedule!A75:A75,Employees[Employee Names],0)),"")</f>
        <v/>
      </c>
      <c r="C75" s="101" t="str">
        <f>_xlfn.IFNA(INDEX(Employees[Employee Role],MATCH(Schedule!A75,Employees[Employee Names],0)),"")</f>
        <v/>
      </c>
      <c r="D75" s="102">
        <f>COUNTA(IF(Settings!$D$14 = TRUE,E75:AT75,$E75:$AF75))</f>
        <v>0</v>
      </c>
      <c r="E75" s="90"/>
      <c r="F75" s="91"/>
      <c r="G75" s="91"/>
      <c r="H75" s="91"/>
      <c r="I75" s="91"/>
      <c r="J75" s="91"/>
      <c r="K75" s="92"/>
      <c r="L75" s="90"/>
      <c r="M75" s="91"/>
      <c r="N75" s="91"/>
      <c r="O75" s="91"/>
      <c r="P75" s="91"/>
      <c r="Q75" s="91"/>
      <c r="R75" s="92"/>
      <c r="S75" s="90"/>
      <c r="T75" s="91"/>
      <c r="U75" s="91"/>
      <c r="V75" s="91"/>
      <c r="W75" s="91"/>
      <c r="X75" s="91"/>
      <c r="Y75" s="92"/>
      <c r="Z75" s="90"/>
      <c r="AA75" s="91"/>
      <c r="AB75" s="91"/>
      <c r="AC75" s="91"/>
      <c r="AD75" s="91"/>
      <c r="AE75" s="91"/>
      <c r="AF75" s="93"/>
      <c r="AG75" s="90"/>
      <c r="AH75" s="91"/>
      <c r="AI75" s="91"/>
      <c r="AJ75" s="91"/>
      <c r="AK75" s="91"/>
      <c r="AL75" s="91"/>
      <c r="AM75" s="93"/>
      <c r="AN75" s="90"/>
      <c r="AO75" s="91"/>
      <c r="AP75" s="91"/>
      <c r="AQ75" s="91"/>
      <c r="AR75" s="91"/>
      <c r="AS75" s="91"/>
      <c r="AT75" s="93"/>
      <c r="AU75" s="37">
        <f t="shared" si="11"/>
        <v>0</v>
      </c>
      <c r="AV75" s="37">
        <f t="shared" si="12"/>
        <v>0</v>
      </c>
      <c r="AW75" s="37">
        <f t="shared" si="13"/>
        <v>0</v>
      </c>
      <c r="AX75" s="37">
        <f t="shared" si="14"/>
        <v>0</v>
      </c>
      <c r="AY75" s="37">
        <f t="shared" si="15"/>
        <v>0</v>
      </c>
      <c r="AZ75" s="37">
        <f t="shared" si="16"/>
        <v>0</v>
      </c>
      <c r="BA75" s="20"/>
    </row>
    <row r="76" spans="1:53" ht="14.1" hidden="1" customHeight="1" x14ac:dyDescent="0.25">
      <c r="A76" s="89"/>
      <c r="B76" s="101" t="str" cm="1">
        <f t="array" ref="B76">_xlfn.IFNA(INDEX(Employees[Employment Type],MATCH(Schedule!A76:A76,Employees[Employee Names],0)),"")</f>
        <v/>
      </c>
      <c r="C76" s="101" t="str">
        <f>_xlfn.IFNA(INDEX(Employees[Employee Role],MATCH(Schedule!A76,Employees[Employee Names],0)),"")</f>
        <v/>
      </c>
      <c r="D76" s="102">
        <f>COUNTA(IF(Settings!$D$14 = TRUE,E76:AT76,$E76:$AF76))</f>
        <v>0</v>
      </c>
      <c r="E76" s="90"/>
      <c r="F76" s="91"/>
      <c r="G76" s="91"/>
      <c r="H76" s="91"/>
      <c r="I76" s="91"/>
      <c r="J76" s="91"/>
      <c r="K76" s="92"/>
      <c r="L76" s="90"/>
      <c r="M76" s="91"/>
      <c r="N76" s="91"/>
      <c r="O76" s="91"/>
      <c r="P76" s="91"/>
      <c r="Q76" s="91"/>
      <c r="R76" s="92"/>
      <c r="S76" s="90"/>
      <c r="T76" s="91"/>
      <c r="U76" s="91"/>
      <c r="V76" s="91"/>
      <c r="W76" s="91"/>
      <c r="X76" s="91"/>
      <c r="Y76" s="92"/>
      <c r="Z76" s="90"/>
      <c r="AA76" s="91"/>
      <c r="AB76" s="91"/>
      <c r="AC76" s="91"/>
      <c r="AD76" s="91"/>
      <c r="AE76" s="91"/>
      <c r="AF76" s="93"/>
      <c r="AG76" s="90"/>
      <c r="AH76" s="91"/>
      <c r="AI76" s="91"/>
      <c r="AJ76" s="91"/>
      <c r="AK76" s="91"/>
      <c r="AL76" s="91"/>
      <c r="AM76" s="93"/>
      <c r="AN76" s="90"/>
      <c r="AO76" s="91"/>
      <c r="AP76" s="91"/>
      <c r="AQ76" s="91"/>
      <c r="AR76" s="91"/>
      <c r="AS76" s="91"/>
      <c r="AT76" s="93"/>
      <c r="AU76" s="37">
        <f t="shared" si="11"/>
        <v>0</v>
      </c>
      <c r="AV76" s="37">
        <f t="shared" si="12"/>
        <v>0</v>
      </c>
      <c r="AW76" s="37">
        <f t="shared" si="13"/>
        <v>0</v>
      </c>
      <c r="AX76" s="37">
        <f t="shared" si="14"/>
        <v>0</v>
      </c>
      <c r="AY76" s="37">
        <f t="shared" si="15"/>
        <v>0</v>
      </c>
      <c r="AZ76" s="37">
        <f t="shared" si="16"/>
        <v>0</v>
      </c>
      <c r="BA76" s="20"/>
    </row>
    <row r="77" spans="1:53" ht="14.1" hidden="1" customHeight="1" x14ac:dyDescent="0.25">
      <c r="A77" s="89"/>
      <c r="B77" s="101" t="str" cm="1">
        <f t="array" ref="B77">_xlfn.IFNA(INDEX(Employees[Employment Type],MATCH(Schedule!A77:A77,Employees[Employee Names],0)),"")</f>
        <v/>
      </c>
      <c r="C77" s="101" t="str">
        <f>_xlfn.IFNA(INDEX(Employees[Employee Role],MATCH(Schedule!A77,Employees[Employee Names],0)),"")</f>
        <v/>
      </c>
      <c r="D77" s="102">
        <f>COUNTA(IF(Settings!$D$14 = TRUE,E77:AT77,$E77:$AF77))</f>
        <v>0</v>
      </c>
      <c r="E77" s="90"/>
      <c r="F77" s="91"/>
      <c r="G77" s="91"/>
      <c r="H77" s="91"/>
      <c r="I77" s="91"/>
      <c r="J77" s="91"/>
      <c r="K77" s="92"/>
      <c r="L77" s="90"/>
      <c r="M77" s="91"/>
      <c r="N77" s="91"/>
      <c r="O77" s="91"/>
      <c r="P77" s="91"/>
      <c r="Q77" s="91"/>
      <c r="R77" s="92"/>
      <c r="S77" s="90"/>
      <c r="T77" s="91"/>
      <c r="U77" s="91"/>
      <c r="V77" s="91"/>
      <c r="W77" s="91"/>
      <c r="X77" s="91"/>
      <c r="Y77" s="92"/>
      <c r="Z77" s="90"/>
      <c r="AA77" s="91"/>
      <c r="AB77" s="91"/>
      <c r="AC77" s="91"/>
      <c r="AD77" s="91"/>
      <c r="AE77" s="91"/>
      <c r="AF77" s="93"/>
      <c r="AG77" s="90"/>
      <c r="AH77" s="91"/>
      <c r="AI77" s="91"/>
      <c r="AJ77" s="91"/>
      <c r="AK77" s="91"/>
      <c r="AL77" s="91"/>
      <c r="AM77" s="93"/>
      <c r="AN77" s="90"/>
      <c r="AO77" s="91"/>
      <c r="AP77" s="91"/>
      <c r="AQ77" s="91"/>
      <c r="AR77" s="91"/>
      <c r="AS77" s="91"/>
      <c r="AT77" s="93"/>
      <c r="AU77" s="37">
        <f t="shared" si="11"/>
        <v>0</v>
      </c>
      <c r="AV77" s="37">
        <f t="shared" si="12"/>
        <v>0</v>
      </c>
      <c r="AW77" s="37">
        <f t="shared" si="13"/>
        <v>0</v>
      </c>
      <c r="AX77" s="37">
        <f t="shared" si="14"/>
        <v>0</v>
      </c>
      <c r="AY77" s="37">
        <f t="shared" si="15"/>
        <v>0</v>
      </c>
      <c r="AZ77" s="37">
        <f t="shared" si="16"/>
        <v>0</v>
      </c>
      <c r="BA77" s="20"/>
    </row>
    <row r="78" spans="1:53" ht="14.1" hidden="1" customHeight="1" x14ac:dyDescent="0.25">
      <c r="A78" s="89"/>
      <c r="B78" s="101" t="str" cm="1">
        <f t="array" ref="B78">_xlfn.IFNA(INDEX(Employees[Employment Type],MATCH(Schedule!A78:A78,Employees[Employee Names],0)),"")</f>
        <v/>
      </c>
      <c r="C78" s="101" t="str">
        <f>_xlfn.IFNA(INDEX(Employees[Employee Role],MATCH(Schedule!A78,Employees[Employee Names],0)),"")</f>
        <v/>
      </c>
      <c r="D78" s="102">
        <f>COUNTA(IF(Settings!$D$14 = TRUE,E78:AT78,$E78:$AF78))</f>
        <v>0</v>
      </c>
      <c r="E78" s="90"/>
      <c r="F78" s="91"/>
      <c r="G78" s="91"/>
      <c r="H78" s="91"/>
      <c r="I78" s="91"/>
      <c r="J78" s="91"/>
      <c r="K78" s="92"/>
      <c r="L78" s="90"/>
      <c r="M78" s="91"/>
      <c r="N78" s="91"/>
      <c r="O78" s="91"/>
      <c r="P78" s="91"/>
      <c r="Q78" s="91"/>
      <c r="R78" s="92"/>
      <c r="S78" s="90"/>
      <c r="T78" s="91"/>
      <c r="U78" s="91"/>
      <c r="V78" s="91"/>
      <c r="W78" s="91"/>
      <c r="X78" s="91"/>
      <c r="Y78" s="92"/>
      <c r="Z78" s="90"/>
      <c r="AA78" s="91"/>
      <c r="AB78" s="91"/>
      <c r="AC78" s="91"/>
      <c r="AD78" s="91"/>
      <c r="AE78" s="91"/>
      <c r="AF78" s="93"/>
      <c r="AG78" s="90"/>
      <c r="AH78" s="91"/>
      <c r="AI78" s="91"/>
      <c r="AJ78" s="91"/>
      <c r="AK78" s="91"/>
      <c r="AL78" s="91"/>
      <c r="AM78" s="93"/>
      <c r="AN78" s="90"/>
      <c r="AO78" s="91"/>
      <c r="AP78" s="91"/>
      <c r="AQ78" s="91"/>
      <c r="AR78" s="91"/>
      <c r="AS78" s="91"/>
      <c r="AT78" s="93"/>
      <c r="AU78" s="37">
        <f t="shared" si="11"/>
        <v>0</v>
      </c>
      <c r="AV78" s="37">
        <f t="shared" si="12"/>
        <v>0</v>
      </c>
      <c r="AW78" s="37">
        <f t="shared" si="13"/>
        <v>0</v>
      </c>
      <c r="AX78" s="37">
        <f t="shared" si="14"/>
        <v>0</v>
      </c>
      <c r="AY78" s="37">
        <f t="shared" si="15"/>
        <v>0</v>
      </c>
      <c r="AZ78" s="37">
        <f t="shared" si="16"/>
        <v>0</v>
      </c>
      <c r="BA78" s="20"/>
    </row>
    <row r="79" spans="1:53" ht="14.1" hidden="1" customHeight="1" x14ac:dyDescent="0.25">
      <c r="A79" s="89"/>
      <c r="B79" s="101" t="str" cm="1">
        <f t="array" ref="B79">_xlfn.IFNA(INDEX(Employees[Employment Type],MATCH(Schedule!A79:A79,Employees[Employee Names],0)),"")</f>
        <v/>
      </c>
      <c r="C79" s="101" t="str">
        <f>_xlfn.IFNA(INDEX(Employees[Employee Role],MATCH(Schedule!A79,Employees[Employee Names],0)),"")</f>
        <v/>
      </c>
      <c r="D79" s="102">
        <f>COUNTA(IF(Settings!$D$14 = TRUE,E79:AT79,$E79:$AF79))</f>
        <v>0</v>
      </c>
      <c r="E79" s="90"/>
      <c r="F79" s="91"/>
      <c r="G79" s="91"/>
      <c r="H79" s="91"/>
      <c r="I79" s="91"/>
      <c r="J79" s="91"/>
      <c r="K79" s="92"/>
      <c r="L79" s="90"/>
      <c r="M79" s="91"/>
      <c r="N79" s="91"/>
      <c r="O79" s="91"/>
      <c r="P79" s="91"/>
      <c r="Q79" s="91"/>
      <c r="R79" s="92"/>
      <c r="S79" s="90"/>
      <c r="T79" s="91"/>
      <c r="U79" s="91"/>
      <c r="V79" s="91"/>
      <c r="W79" s="91"/>
      <c r="X79" s="91"/>
      <c r="Y79" s="92"/>
      <c r="Z79" s="90"/>
      <c r="AA79" s="91"/>
      <c r="AB79" s="91"/>
      <c r="AC79" s="91"/>
      <c r="AD79" s="91"/>
      <c r="AE79" s="91"/>
      <c r="AF79" s="93"/>
      <c r="AG79" s="90"/>
      <c r="AH79" s="91"/>
      <c r="AI79" s="91"/>
      <c r="AJ79" s="91"/>
      <c r="AK79" s="91"/>
      <c r="AL79" s="91"/>
      <c r="AM79" s="93"/>
      <c r="AN79" s="90"/>
      <c r="AO79" s="91"/>
      <c r="AP79" s="91"/>
      <c r="AQ79" s="91"/>
      <c r="AR79" s="91"/>
      <c r="AS79" s="91"/>
      <c r="AT79" s="93"/>
      <c r="AU79" s="37">
        <f t="shared" si="11"/>
        <v>0</v>
      </c>
      <c r="AV79" s="37">
        <f t="shared" si="12"/>
        <v>0</v>
      </c>
      <c r="AW79" s="37">
        <f t="shared" si="13"/>
        <v>0</v>
      </c>
      <c r="AX79" s="37">
        <f t="shared" si="14"/>
        <v>0</v>
      </c>
      <c r="AY79" s="37">
        <f t="shared" si="15"/>
        <v>0</v>
      </c>
      <c r="AZ79" s="37">
        <f t="shared" si="16"/>
        <v>0</v>
      </c>
      <c r="BA79" s="20"/>
    </row>
    <row r="80" spans="1:53" ht="14.1" hidden="1" customHeight="1" x14ac:dyDescent="0.25">
      <c r="A80" s="89"/>
      <c r="B80" s="101" t="str" cm="1">
        <f t="array" ref="B80">_xlfn.IFNA(INDEX(Employees[Employment Type],MATCH(Schedule!A80:A80,Employees[Employee Names],0)),"")</f>
        <v/>
      </c>
      <c r="C80" s="101" t="str">
        <f>_xlfn.IFNA(INDEX(Employees[Employee Role],MATCH(Schedule!A80,Employees[Employee Names],0)),"")</f>
        <v/>
      </c>
      <c r="D80" s="102">
        <f>COUNTA(IF(Settings!$D$14 = TRUE,E80:AT80,$E80:$AF80))</f>
        <v>0</v>
      </c>
      <c r="E80" s="90"/>
      <c r="F80" s="91"/>
      <c r="G80" s="91"/>
      <c r="H80" s="91"/>
      <c r="I80" s="91"/>
      <c r="J80" s="91"/>
      <c r="K80" s="92"/>
      <c r="L80" s="90"/>
      <c r="M80" s="91"/>
      <c r="N80" s="91"/>
      <c r="O80" s="91"/>
      <c r="P80" s="91"/>
      <c r="Q80" s="91"/>
      <c r="R80" s="92"/>
      <c r="S80" s="90"/>
      <c r="T80" s="91"/>
      <c r="U80" s="91"/>
      <c r="V80" s="91"/>
      <c r="W80" s="91"/>
      <c r="X80" s="91"/>
      <c r="Y80" s="92"/>
      <c r="Z80" s="90"/>
      <c r="AA80" s="91"/>
      <c r="AB80" s="91"/>
      <c r="AC80" s="91"/>
      <c r="AD80" s="91"/>
      <c r="AE80" s="91"/>
      <c r="AF80" s="93"/>
      <c r="AG80" s="90"/>
      <c r="AH80" s="91"/>
      <c r="AI80" s="91"/>
      <c r="AJ80" s="91"/>
      <c r="AK80" s="91"/>
      <c r="AL80" s="91"/>
      <c r="AM80" s="93"/>
      <c r="AN80" s="90"/>
      <c r="AO80" s="91"/>
      <c r="AP80" s="91"/>
      <c r="AQ80" s="91"/>
      <c r="AR80" s="91"/>
      <c r="AS80" s="91"/>
      <c r="AT80" s="93"/>
      <c r="AU80" s="37">
        <f t="shared" si="11"/>
        <v>0</v>
      </c>
      <c r="AV80" s="37">
        <f t="shared" si="12"/>
        <v>0</v>
      </c>
      <c r="AW80" s="37">
        <f t="shared" si="13"/>
        <v>0</v>
      </c>
      <c r="AX80" s="37">
        <f t="shared" si="14"/>
        <v>0</v>
      </c>
      <c r="AY80" s="37">
        <f t="shared" si="15"/>
        <v>0</v>
      </c>
      <c r="AZ80" s="37">
        <f t="shared" si="16"/>
        <v>0</v>
      </c>
      <c r="BA80" s="20"/>
    </row>
    <row r="81" spans="1:53" ht="14.1" hidden="1" customHeight="1" x14ac:dyDescent="0.25">
      <c r="A81" s="89"/>
      <c r="B81" s="101" t="str" cm="1">
        <f t="array" ref="B81">_xlfn.IFNA(INDEX(Employees[Employment Type],MATCH(Schedule!A81:A81,Employees[Employee Names],0)),"")</f>
        <v/>
      </c>
      <c r="C81" s="101" t="str">
        <f>_xlfn.IFNA(INDEX(Employees[Employee Role],MATCH(Schedule!A81,Employees[Employee Names],0)),"")</f>
        <v/>
      </c>
      <c r="D81" s="102">
        <f>COUNTA(IF(Settings!$D$14 = TRUE,E81:AT81,$E81:$AF81))</f>
        <v>0</v>
      </c>
      <c r="E81" s="90"/>
      <c r="F81" s="91"/>
      <c r="G81" s="91"/>
      <c r="H81" s="91"/>
      <c r="I81" s="91"/>
      <c r="J81" s="91"/>
      <c r="K81" s="92"/>
      <c r="L81" s="90"/>
      <c r="M81" s="91"/>
      <c r="N81" s="91"/>
      <c r="O81" s="91"/>
      <c r="P81" s="91"/>
      <c r="Q81" s="91"/>
      <c r="R81" s="92"/>
      <c r="S81" s="90"/>
      <c r="T81" s="91"/>
      <c r="U81" s="91"/>
      <c r="V81" s="91"/>
      <c r="W81" s="91"/>
      <c r="X81" s="91"/>
      <c r="Y81" s="92"/>
      <c r="Z81" s="90"/>
      <c r="AA81" s="91"/>
      <c r="AB81" s="91"/>
      <c r="AC81" s="91"/>
      <c r="AD81" s="91"/>
      <c r="AE81" s="91"/>
      <c r="AF81" s="93"/>
      <c r="AG81" s="90"/>
      <c r="AH81" s="91"/>
      <c r="AI81" s="91"/>
      <c r="AJ81" s="91"/>
      <c r="AK81" s="91"/>
      <c r="AL81" s="91"/>
      <c r="AM81" s="93"/>
      <c r="AN81" s="90"/>
      <c r="AO81" s="91"/>
      <c r="AP81" s="91"/>
      <c r="AQ81" s="91"/>
      <c r="AR81" s="91"/>
      <c r="AS81" s="91"/>
      <c r="AT81" s="93"/>
      <c r="AU81" s="37">
        <f t="shared" si="11"/>
        <v>0</v>
      </c>
      <c r="AV81" s="37">
        <f t="shared" si="12"/>
        <v>0</v>
      </c>
      <c r="AW81" s="37">
        <f t="shared" si="13"/>
        <v>0</v>
      </c>
      <c r="AX81" s="37">
        <f t="shared" si="14"/>
        <v>0</v>
      </c>
      <c r="AY81" s="37">
        <f t="shared" si="15"/>
        <v>0</v>
      </c>
      <c r="AZ81" s="37">
        <f t="shared" si="16"/>
        <v>0</v>
      </c>
      <c r="BA81" s="20"/>
    </row>
    <row r="82" spans="1:53" ht="14.1" hidden="1" customHeight="1" x14ac:dyDescent="0.25">
      <c r="A82" s="89"/>
      <c r="B82" s="101" t="str" cm="1">
        <f t="array" ref="B82">_xlfn.IFNA(INDEX(Employees[Employment Type],MATCH(Schedule!A82:A82,Employees[Employee Names],0)),"")</f>
        <v/>
      </c>
      <c r="C82" s="101" t="str">
        <f>_xlfn.IFNA(INDEX(Employees[Employee Role],MATCH(Schedule!A82,Employees[Employee Names],0)),"")</f>
        <v/>
      </c>
      <c r="D82" s="102">
        <f>COUNTA(IF(Settings!$D$14 = TRUE,E82:AT82,$E82:$AF82))</f>
        <v>0</v>
      </c>
      <c r="E82" s="90"/>
      <c r="F82" s="91"/>
      <c r="G82" s="91"/>
      <c r="H82" s="91"/>
      <c r="I82" s="91"/>
      <c r="J82" s="91"/>
      <c r="K82" s="92"/>
      <c r="L82" s="90"/>
      <c r="M82" s="91"/>
      <c r="N82" s="91"/>
      <c r="O82" s="91"/>
      <c r="P82" s="91"/>
      <c r="Q82" s="91"/>
      <c r="R82" s="92"/>
      <c r="S82" s="90"/>
      <c r="T82" s="91"/>
      <c r="U82" s="91"/>
      <c r="V82" s="91"/>
      <c r="W82" s="91"/>
      <c r="X82" s="91"/>
      <c r="Y82" s="92"/>
      <c r="Z82" s="90"/>
      <c r="AA82" s="91"/>
      <c r="AB82" s="91"/>
      <c r="AC82" s="91"/>
      <c r="AD82" s="91"/>
      <c r="AE82" s="91"/>
      <c r="AF82" s="93"/>
      <c r="AG82" s="90"/>
      <c r="AH82" s="91"/>
      <c r="AI82" s="91"/>
      <c r="AJ82" s="91"/>
      <c r="AK82" s="91"/>
      <c r="AL82" s="91"/>
      <c r="AM82" s="93"/>
      <c r="AN82" s="90"/>
      <c r="AO82" s="91"/>
      <c r="AP82" s="91"/>
      <c r="AQ82" s="91"/>
      <c r="AR82" s="91"/>
      <c r="AS82" s="91"/>
      <c r="AT82" s="93"/>
      <c r="AU82" s="37">
        <f t="shared" si="11"/>
        <v>0</v>
      </c>
      <c r="AV82" s="37">
        <f t="shared" si="12"/>
        <v>0</v>
      </c>
      <c r="AW82" s="37">
        <f t="shared" si="13"/>
        <v>0</v>
      </c>
      <c r="AX82" s="37">
        <f t="shared" si="14"/>
        <v>0</v>
      </c>
      <c r="AY82" s="37">
        <f t="shared" si="15"/>
        <v>0</v>
      </c>
      <c r="AZ82" s="37">
        <f t="shared" si="16"/>
        <v>0</v>
      </c>
      <c r="BA82" s="20"/>
    </row>
    <row r="83" spans="1:53" ht="14.1" hidden="1" customHeight="1" x14ac:dyDescent="0.25">
      <c r="A83" s="89"/>
      <c r="B83" s="101" t="str" cm="1">
        <f t="array" ref="B83">_xlfn.IFNA(INDEX(Employees[Employment Type],MATCH(Schedule!A83:A83,Employees[Employee Names],0)),"")</f>
        <v/>
      </c>
      <c r="C83" s="101" t="str">
        <f>_xlfn.IFNA(INDEX(Employees[Employee Role],MATCH(Schedule!A83,Employees[Employee Names],0)),"")</f>
        <v/>
      </c>
      <c r="D83" s="102">
        <f>COUNTA(IF(Settings!$D$14 = TRUE,E83:AT83,$E83:$AF83))</f>
        <v>0</v>
      </c>
      <c r="E83" s="90"/>
      <c r="F83" s="91"/>
      <c r="G83" s="91"/>
      <c r="H83" s="91"/>
      <c r="I83" s="91"/>
      <c r="J83" s="91"/>
      <c r="K83" s="92"/>
      <c r="L83" s="90"/>
      <c r="M83" s="91"/>
      <c r="N83" s="91"/>
      <c r="O83" s="91"/>
      <c r="P83" s="91"/>
      <c r="Q83" s="91"/>
      <c r="R83" s="92"/>
      <c r="S83" s="90"/>
      <c r="T83" s="91"/>
      <c r="U83" s="91"/>
      <c r="V83" s="91"/>
      <c r="W83" s="91"/>
      <c r="X83" s="91"/>
      <c r="Y83" s="92"/>
      <c r="Z83" s="90"/>
      <c r="AA83" s="91"/>
      <c r="AB83" s="91"/>
      <c r="AC83" s="91"/>
      <c r="AD83" s="91"/>
      <c r="AE83" s="91"/>
      <c r="AF83" s="93"/>
      <c r="AG83" s="90"/>
      <c r="AH83" s="91"/>
      <c r="AI83" s="91"/>
      <c r="AJ83" s="91"/>
      <c r="AK83" s="91"/>
      <c r="AL83" s="91"/>
      <c r="AM83" s="93"/>
      <c r="AN83" s="90"/>
      <c r="AO83" s="91"/>
      <c r="AP83" s="91"/>
      <c r="AQ83" s="91"/>
      <c r="AR83" s="91"/>
      <c r="AS83" s="91"/>
      <c r="AT83" s="93"/>
      <c r="AU83" s="37">
        <f t="shared" si="11"/>
        <v>0</v>
      </c>
      <c r="AV83" s="37">
        <f t="shared" si="12"/>
        <v>0</v>
      </c>
      <c r="AW83" s="37">
        <f t="shared" si="13"/>
        <v>0</v>
      </c>
      <c r="AX83" s="37">
        <f t="shared" si="14"/>
        <v>0</v>
      </c>
      <c r="AY83" s="37">
        <f t="shared" si="15"/>
        <v>0</v>
      </c>
      <c r="AZ83" s="37">
        <f t="shared" si="16"/>
        <v>0</v>
      </c>
      <c r="BA83" s="20"/>
    </row>
    <row r="84" spans="1:53" ht="14.1" hidden="1" customHeight="1" x14ac:dyDescent="0.25">
      <c r="A84" s="89"/>
      <c r="B84" s="101" t="str" cm="1">
        <f t="array" ref="B84">_xlfn.IFNA(INDEX(Employees[Employment Type],MATCH(Schedule!A84:A84,Employees[Employee Names],0)),"")</f>
        <v/>
      </c>
      <c r="C84" s="101" t="str">
        <f>_xlfn.IFNA(INDEX(Employees[Employee Role],MATCH(Schedule!A84,Employees[Employee Names],0)),"")</f>
        <v/>
      </c>
      <c r="D84" s="102">
        <f>COUNTA(IF(Settings!$D$14 = TRUE,E84:AT84,$E84:$AF84))</f>
        <v>0</v>
      </c>
      <c r="E84" s="90"/>
      <c r="F84" s="91"/>
      <c r="G84" s="91"/>
      <c r="H84" s="91"/>
      <c r="I84" s="91"/>
      <c r="J84" s="91"/>
      <c r="K84" s="92"/>
      <c r="L84" s="90"/>
      <c r="M84" s="91"/>
      <c r="N84" s="91"/>
      <c r="O84" s="91"/>
      <c r="P84" s="91"/>
      <c r="Q84" s="91"/>
      <c r="R84" s="92"/>
      <c r="S84" s="90"/>
      <c r="T84" s="91"/>
      <c r="U84" s="91"/>
      <c r="V84" s="91"/>
      <c r="W84" s="91"/>
      <c r="X84" s="91"/>
      <c r="Y84" s="92"/>
      <c r="Z84" s="90"/>
      <c r="AA84" s="91"/>
      <c r="AB84" s="91"/>
      <c r="AC84" s="91"/>
      <c r="AD84" s="91"/>
      <c r="AE84" s="91"/>
      <c r="AF84" s="93"/>
      <c r="AG84" s="90"/>
      <c r="AH84" s="91"/>
      <c r="AI84" s="91"/>
      <c r="AJ84" s="91"/>
      <c r="AK84" s="91"/>
      <c r="AL84" s="91"/>
      <c r="AM84" s="93"/>
      <c r="AN84" s="90"/>
      <c r="AO84" s="91"/>
      <c r="AP84" s="91"/>
      <c r="AQ84" s="91"/>
      <c r="AR84" s="91"/>
      <c r="AS84" s="91"/>
      <c r="AT84" s="93"/>
      <c r="AU84" s="37">
        <f t="shared" si="11"/>
        <v>0</v>
      </c>
      <c r="AV84" s="37">
        <f t="shared" si="12"/>
        <v>0</v>
      </c>
      <c r="AW84" s="37">
        <f t="shared" si="13"/>
        <v>0</v>
      </c>
      <c r="AX84" s="37">
        <f t="shared" si="14"/>
        <v>0</v>
      </c>
      <c r="AY84" s="37">
        <f t="shared" si="15"/>
        <v>0</v>
      </c>
      <c r="AZ84" s="37">
        <f t="shared" si="16"/>
        <v>0</v>
      </c>
      <c r="BA84" s="20"/>
    </row>
    <row r="85" spans="1:53" ht="14.1" hidden="1" customHeight="1" x14ac:dyDescent="0.25">
      <c r="A85" s="89"/>
      <c r="B85" s="101" t="str" cm="1">
        <f t="array" ref="B85">_xlfn.IFNA(INDEX(Employees[Employment Type],MATCH(Schedule!A85:A85,Employees[Employee Names],0)),"")</f>
        <v/>
      </c>
      <c r="C85" s="101" t="str">
        <f>_xlfn.IFNA(INDEX(Employees[Employee Role],MATCH(Schedule!A85,Employees[Employee Names],0)),"")</f>
        <v/>
      </c>
      <c r="D85" s="102">
        <f>COUNTA(IF(Settings!$D$14 = TRUE,E85:AT85,$E85:$AF85))</f>
        <v>0</v>
      </c>
      <c r="E85" s="90"/>
      <c r="F85" s="91"/>
      <c r="G85" s="91"/>
      <c r="H85" s="91"/>
      <c r="I85" s="91"/>
      <c r="J85" s="91"/>
      <c r="K85" s="92"/>
      <c r="L85" s="90"/>
      <c r="M85" s="91"/>
      <c r="N85" s="91"/>
      <c r="O85" s="91"/>
      <c r="P85" s="91"/>
      <c r="Q85" s="91"/>
      <c r="R85" s="92"/>
      <c r="S85" s="90"/>
      <c r="T85" s="91"/>
      <c r="U85" s="91"/>
      <c r="V85" s="91"/>
      <c r="W85" s="91"/>
      <c r="X85" s="91"/>
      <c r="Y85" s="92"/>
      <c r="Z85" s="90"/>
      <c r="AA85" s="91"/>
      <c r="AB85" s="91"/>
      <c r="AC85" s="91"/>
      <c r="AD85" s="91"/>
      <c r="AE85" s="91"/>
      <c r="AF85" s="93"/>
      <c r="AG85" s="90"/>
      <c r="AH85" s="91"/>
      <c r="AI85" s="91"/>
      <c r="AJ85" s="91"/>
      <c r="AK85" s="91"/>
      <c r="AL85" s="91"/>
      <c r="AM85" s="93"/>
      <c r="AN85" s="90"/>
      <c r="AO85" s="91"/>
      <c r="AP85" s="91"/>
      <c r="AQ85" s="91"/>
      <c r="AR85" s="91"/>
      <c r="AS85" s="91"/>
      <c r="AT85" s="93"/>
      <c r="AU85" s="37">
        <f t="shared" si="11"/>
        <v>0</v>
      </c>
      <c r="AV85" s="37">
        <f t="shared" si="12"/>
        <v>0</v>
      </c>
      <c r="AW85" s="37">
        <f t="shared" si="13"/>
        <v>0</v>
      </c>
      <c r="AX85" s="37">
        <f t="shared" si="14"/>
        <v>0</v>
      </c>
      <c r="AY85" s="37">
        <f t="shared" si="15"/>
        <v>0</v>
      </c>
      <c r="AZ85" s="37">
        <f t="shared" si="16"/>
        <v>0</v>
      </c>
      <c r="BA85" s="20"/>
    </row>
    <row r="86" spans="1:53" ht="14.1" hidden="1" customHeight="1" x14ac:dyDescent="0.25">
      <c r="A86" s="89"/>
      <c r="B86" s="101" t="str" cm="1">
        <f t="array" ref="B86">_xlfn.IFNA(INDEX(Employees[Employment Type],MATCH(Schedule!A86:A86,Employees[Employee Names],0)),"")</f>
        <v/>
      </c>
      <c r="C86" s="101" t="str">
        <f>_xlfn.IFNA(INDEX(Employees[Employee Role],MATCH(Schedule!A86,Employees[Employee Names],0)),"")</f>
        <v/>
      </c>
      <c r="D86" s="102">
        <f>COUNTA(IF(Settings!$D$14 = TRUE,E86:AT86,$E86:$AF86))</f>
        <v>0</v>
      </c>
      <c r="E86" s="90"/>
      <c r="F86" s="91"/>
      <c r="G86" s="91"/>
      <c r="H86" s="91"/>
      <c r="I86" s="91"/>
      <c r="J86" s="91"/>
      <c r="K86" s="92"/>
      <c r="L86" s="90"/>
      <c r="M86" s="91"/>
      <c r="N86" s="91"/>
      <c r="O86" s="91"/>
      <c r="P86" s="91"/>
      <c r="Q86" s="91"/>
      <c r="R86" s="92"/>
      <c r="S86" s="90"/>
      <c r="T86" s="91"/>
      <c r="U86" s="91"/>
      <c r="V86" s="91"/>
      <c r="W86" s="91"/>
      <c r="X86" s="91"/>
      <c r="Y86" s="92"/>
      <c r="Z86" s="90"/>
      <c r="AA86" s="91"/>
      <c r="AB86" s="91"/>
      <c r="AC86" s="91"/>
      <c r="AD86" s="91"/>
      <c r="AE86" s="91"/>
      <c r="AF86" s="93"/>
      <c r="AG86" s="90"/>
      <c r="AH86" s="91"/>
      <c r="AI86" s="91"/>
      <c r="AJ86" s="91"/>
      <c r="AK86" s="91"/>
      <c r="AL86" s="91"/>
      <c r="AM86" s="93"/>
      <c r="AN86" s="90"/>
      <c r="AO86" s="91"/>
      <c r="AP86" s="91"/>
      <c r="AQ86" s="91"/>
      <c r="AR86" s="91"/>
      <c r="AS86" s="91"/>
      <c r="AT86" s="93"/>
      <c r="AU86" s="37">
        <f t="shared" si="11"/>
        <v>0</v>
      </c>
      <c r="AV86" s="37">
        <f t="shared" si="12"/>
        <v>0</v>
      </c>
      <c r="AW86" s="37">
        <f t="shared" si="13"/>
        <v>0</v>
      </c>
      <c r="AX86" s="37">
        <f t="shared" si="14"/>
        <v>0</v>
      </c>
      <c r="AY86" s="37">
        <f t="shared" si="15"/>
        <v>0</v>
      </c>
      <c r="AZ86" s="37">
        <f t="shared" si="16"/>
        <v>0</v>
      </c>
      <c r="BA86" s="20"/>
    </row>
    <row r="87" spans="1:53" ht="14.1" hidden="1" customHeight="1" x14ac:dyDescent="0.25">
      <c r="A87" s="89"/>
      <c r="B87" s="101" t="str" cm="1">
        <f t="array" ref="B87">_xlfn.IFNA(INDEX(Employees[Employment Type],MATCH(Schedule!A87:A87,Employees[Employee Names],0)),"")</f>
        <v/>
      </c>
      <c r="C87" s="101" t="str">
        <f>_xlfn.IFNA(INDEX(Employees[Employee Role],MATCH(Schedule!A87,Employees[Employee Names],0)),"")</f>
        <v/>
      </c>
      <c r="D87" s="102">
        <f>COUNTA(IF(Settings!$D$14 = TRUE,E87:AT87,$E87:$AF87))</f>
        <v>0</v>
      </c>
      <c r="E87" s="90"/>
      <c r="F87" s="91"/>
      <c r="G87" s="91"/>
      <c r="H87" s="91"/>
      <c r="I87" s="91"/>
      <c r="J87" s="91"/>
      <c r="K87" s="92"/>
      <c r="L87" s="90"/>
      <c r="M87" s="91"/>
      <c r="N87" s="91"/>
      <c r="O87" s="91"/>
      <c r="P87" s="91"/>
      <c r="Q87" s="91"/>
      <c r="R87" s="92"/>
      <c r="S87" s="90"/>
      <c r="T87" s="91"/>
      <c r="U87" s="91"/>
      <c r="V87" s="91"/>
      <c r="W87" s="91"/>
      <c r="X87" s="91"/>
      <c r="Y87" s="92"/>
      <c r="Z87" s="90"/>
      <c r="AA87" s="91"/>
      <c r="AB87" s="91"/>
      <c r="AC87" s="91"/>
      <c r="AD87" s="91"/>
      <c r="AE87" s="91"/>
      <c r="AF87" s="93"/>
      <c r="AG87" s="90"/>
      <c r="AH87" s="91"/>
      <c r="AI87" s="91"/>
      <c r="AJ87" s="91"/>
      <c r="AK87" s="91"/>
      <c r="AL87" s="91"/>
      <c r="AM87" s="93"/>
      <c r="AN87" s="90"/>
      <c r="AO87" s="91"/>
      <c r="AP87" s="91"/>
      <c r="AQ87" s="91"/>
      <c r="AR87" s="91"/>
      <c r="AS87" s="91"/>
      <c r="AT87" s="93"/>
      <c r="AU87" s="37">
        <f t="shared" si="11"/>
        <v>0</v>
      </c>
      <c r="AV87" s="37">
        <f t="shared" si="12"/>
        <v>0</v>
      </c>
      <c r="AW87" s="37">
        <f t="shared" si="13"/>
        <v>0</v>
      </c>
      <c r="AX87" s="37">
        <f t="shared" si="14"/>
        <v>0</v>
      </c>
      <c r="AY87" s="37">
        <f t="shared" si="15"/>
        <v>0</v>
      </c>
      <c r="AZ87" s="37">
        <f t="shared" si="16"/>
        <v>0</v>
      </c>
      <c r="BA87" s="20"/>
    </row>
    <row r="88" spans="1:53" ht="14.1" hidden="1" customHeight="1" x14ac:dyDescent="0.25">
      <c r="A88" s="89"/>
      <c r="B88" s="101" t="str" cm="1">
        <f t="array" ref="B88">_xlfn.IFNA(INDEX(Employees[Employment Type],MATCH(Schedule!A88:A88,Employees[Employee Names],0)),"")</f>
        <v/>
      </c>
      <c r="C88" s="101" t="str">
        <f>_xlfn.IFNA(INDEX(Employees[Employee Role],MATCH(Schedule!A88,Employees[Employee Names],0)),"")</f>
        <v/>
      </c>
      <c r="D88" s="102">
        <f>COUNTA(IF(Settings!$D$14 = TRUE,E88:AT88,$E88:$AF88))</f>
        <v>0</v>
      </c>
      <c r="E88" s="90"/>
      <c r="F88" s="91"/>
      <c r="G88" s="91"/>
      <c r="H88" s="91"/>
      <c r="I88" s="91"/>
      <c r="J88" s="91"/>
      <c r="K88" s="92"/>
      <c r="L88" s="90"/>
      <c r="M88" s="91"/>
      <c r="N88" s="91"/>
      <c r="O88" s="91"/>
      <c r="P88" s="91"/>
      <c r="Q88" s="91"/>
      <c r="R88" s="92"/>
      <c r="S88" s="90"/>
      <c r="T88" s="91"/>
      <c r="U88" s="91"/>
      <c r="V88" s="91"/>
      <c r="W88" s="91"/>
      <c r="X88" s="91"/>
      <c r="Y88" s="92"/>
      <c r="Z88" s="90"/>
      <c r="AA88" s="91"/>
      <c r="AB88" s="91"/>
      <c r="AC88" s="91"/>
      <c r="AD88" s="91"/>
      <c r="AE88" s="91"/>
      <c r="AF88" s="93"/>
      <c r="AG88" s="90"/>
      <c r="AH88" s="91"/>
      <c r="AI88" s="91"/>
      <c r="AJ88" s="91"/>
      <c r="AK88" s="91"/>
      <c r="AL88" s="91"/>
      <c r="AM88" s="93"/>
      <c r="AN88" s="90"/>
      <c r="AO88" s="91"/>
      <c r="AP88" s="91"/>
      <c r="AQ88" s="91"/>
      <c r="AR88" s="91"/>
      <c r="AS88" s="91"/>
      <c r="AT88" s="93"/>
      <c r="AU88" s="37">
        <f t="shared" si="11"/>
        <v>0</v>
      </c>
      <c r="AV88" s="37">
        <f t="shared" si="12"/>
        <v>0</v>
      </c>
      <c r="AW88" s="37">
        <f t="shared" si="13"/>
        <v>0</v>
      </c>
      <c r="AX88" s="37">
        <f t="shared" si="14"/>
        <v>0</v>
      </c>
      <c r="AY88" s="37">
        <f t="shared" si="15"/>
        <v>0</v>
      </c>
      <c r="AZ88" s="37">
        <f t="shared" si="16"/>
        <v>0</v>
      </c>
      <c r="BA88" s="20"/>
    </row>
    <row r="89" spans="1:53" ht="14.1" hidden="1" customHeight="1" x14ac:dyDescent="0.25">
      <c r="A89" s="89"/>
      <c r="B89" s="101" t="str" cm="1">
        <f t="array" ref="B89">_xlfn.IFNA(INDEX(Employees[Employment Type],MATCH(Schedule!A89:A89,Employees[Employee Names],0)),"")</f>
        <v/>
      </c>
      <c r="C89" s="101" t="str">
        <f>_xlfn.IFNA(INDEX(Employees[Employee Role],MATCH(Schedule!A89,Employees[Employee Names],0)),"")</f>
        <v/>
      </c>
      <c r="D89" s="102">
        <f>COUNTA(IF(Settings!$D$14 = TRUE,E89:AT89,$E89:$AF89))</f>
        <v>0</v>
      </c>
      <c r="E89" s="90"/>
      <c r="F89" s="91"/>
      <c r="G89" s="91"/>
      <c r="H89" s="91"/>
      <c r="I89" s="91"/>
      <c r="J89" s="91"/>
      <c r="K89" s="92"/>
      <c r="L89" s="90"/>
      <c r="M89" s="91"/>
      <c r="N89" s="91"/>
      <c r="O89" s="91"/>
      <c r="P89" s="91"/>
      <c r="Q89" s="91"/>
      <c r="R89" s="92"/>
      <c r="S89" s="90"/>
      <c r="T89" s="91"/>
      <c r="U89" s="91"/>
      <c r="V89" s="91"/>
      <c r="W89" s="91"/>
      <c r="X89" s="91"/>
      <c r="Y89" s="92"/>
      <c r="Z89" s="90"/>
      <c r="AA89" s="91"/>
      <c r="AB89" s="91"/>
      <c r="AC89" s="91"/>
      <c r="AD89" s="91"/>
      <c r="AE89" s="91"/>
      <c r="AF89" s="93"/>
      <c r="AG89" s="94"/>
      <c r="AH89" s="95"/>
      <c r="AI89" s="95"/>
      <c r="AJ89" s="95"/>
      <c r="AK89" s="95"/>
      <c r="AL89" s="95"/>
      <c r="AM89" s="96"/>
      <c r="AN89" s="94"/>
      <c r="AO89" s="95"/>
      <c r="AP89" s="95"/>
      <c r="AQ89" s="95"/>
      <c r="AR89" s="95"/>
      <c r="AS89" s="95"/>
      <c r="AT89" s="96"/>
      <c r="AU89" s="37">
        <f t="shared" si="11"/>
        <v>0</v>
      </c>
      <c r="AV89" s="37">
        <f t="shared" si="12"/>
        <v>0</v>
      </c>
      <c r="AW89" s="37">
        <f t="shared" si="13"/>
        <v>0</v>
      </c>
      <c r="AX89" s="37">
        <f t="shared" si="14"/>
        <v>0</v>
      </c>
      <c r="AY89" s="37">
        <f t="shared" si="15"/>
        <v>0</v>
      </c>
      <c r="AZ89" s="37">
        <f t="shared" si="16"/>
        <v>0</v>
      </c>
      <c r="BA89" s="20"/>
    </row>
    <row r="90" spans="1:53" ht="14.1" hidden="1" customHeight="1" x14ac:dyDescent="0.25">
      <c r="A90" s="89"/>
      <c r="B90" s="101" t="str" cm="1">
        <f t="array" ref="B90">_xlfn.IFNA(INDEX(Employees[Employment Type],MATCH(Schedule!A90:A90,Employees[Employee Names],0)),"")</f>
        <v/>
      </c>
      <c r="C90" s="101" t="str">
        <f>_xlfn.IFNA(INDEX(Employees[Employee Role],MATCH(Schedule!A90,Employees[Employee Names],0)),"")</f>
        <v/>
      </c>
      <c r="D90" s="102">
        <f>COUNTA(IF(Settings!$D$14 = TRUE,E90:AT90,$E90:$AF90))</f>
        <v>0</v>
      </c>
      <c r="E90" s="90"/>
      <c r="F90" s="91"/>
      <c r="G90" s="91"/>
      <c r="H90" s="91"/>
      <c r="I90" s="91"/>
      <c r="J90" s="91"/>
      <c r="K90" s="92"/>
      <c r="L90" s="90"/>
      <c r="M90" s="91"/>
      <c r="N90" s="91"/>
      <c r="O90" s="91"/>
      <c r="P90" s="91"/>
      <c r="Q90" s="91"/>
      <c r="R90" s="92"/>
      <c r="S90" s="90"/>
      <c r="T90" s="91"/>
      <c r="U90" s="91"/>
      <c r="V90" s="91"/>
      <c r="W90" s="91"/>
      <c r="X90" s="91"/>
      <c r="Y90" s="92"/>
      <c r="Z90" s="90"/>
      <c r="AA90" s="91"/>
      <c r="AB90" s="91"/>
      <c r="AC90" s="91"/>
      <c r="AD90" s="91"/>
      <c r="AE90" s="91"/>
      <c r="AF90" s="93"/>
      <c r="AG90" s="94"/>
      <c r="AH90" s="95"/>
      <c r="AI90" s="95"/>
      <c r="AJ90" s="95"/>
      <c r="AK90" s="95"/>
      <c r="AL90" s="95"/>
      <c r="AM90" s="96"/>
      <c r="AN90" s="94"/>
      <c r="AO90" s="95"/>
      <c r="AP90" s="95"/>
      <c r="AQ90" s="95"/>
      <c r="AR90" s="95"/>
      <c r="AS90" s="95"/>
      <c r="AT90" s="96"/>
      <c r="AU90" s="37">
        <f t="shared" si="11"/>
        <v>0</v>
      </c>
      <c r="AV90" s="37">
        <f t="shared" si="12"/>
        <v>0</v>
      </c>
      <c r="AW90" s="37">
        <f t="shared" si="13"/>
        <v>0</v>
      </c>
      <c r="AX90" s="37">
        <f t="shared" si="14"/>
        <v>0</v>
      </c>
      <c r="AY90" s="37">
        <f t="shared" si="15"/>
        <v>0</v>
      </c>
      <c r="AZ90" s="37">
        <f t="shared" si="16"/>
        <v>0</v>
      </c>
      <c r="BA90" s="20"/>
    </row>
    <row r="91" spans="1:53" ht="14.1" hidden="1" customHeight="1" x14ac:dyDescent="0.25">
      <c r="A91" s="89"/>
      <c r="B91" s="101" t="str" cm="1">
        <f t="array" ref="B91">_xlfn.IFNA(INDEX(Employees[Employment Type],MATCH(Schedule!A91:A91,Employees[Employee Names],0)),"")</f>
        <v/>
      </c>
      <c r="C91" s="101" t="str">
        <f>_xlfn.IFNA(INDEX(Employees[Employee Role],MATCH(Schedule!A91,Employees[Employee Names],0)),"")</f>
        <v/>
      </c>
      <c r="D91" s="102">
        <f>COUNTA(IF(Settings!$D$14 = TRUE,E91:AT91,$E91:$AF91))</f>
        <v>0</v>
      </c>
      <c r="E91" s="90"/>
      <c r="F91" s="91"/>
      <c r="G91" s="91"/>
      <c r="H91" s="91"/>
      <c r="I91" s="91"/>
      <c r="J91" s="91"/>
      <c r="K91" s="92"/>
      <c r="L91" s="90"/>
      <c r="M91" s="91"/>
      <c r="N91" s="91"/>
      <c r="O91" s="91"/>
      <c r="P91" s="91"/>
      <c r="Q91" s="91"/>
      <c r="R91" s="92"/>
      <c r="S91" s="90"/>
      <c r="T91" s="91"/>
      <c r="U91" s="91"/>
      <c r="V91" s="91"/>
      <c r="W91" s="91"/>
      <c r="X91" s="91"/>
      <c r="Y91" s="92"/>
      <c r="Z91" s="90"/>
      <c r="AA91" s="91"/>
      <c r="AB91" s="91"/>
      <c r="AC91" s="91"/>
      <c r="AD91" s="91"/>
      <c r="AE91" s="91"/>
      <c r="AF91" s="93"/>
      <c r="AG91" s="94"/>
      <c r="AH91" s="95"/>
      <c r="AI91" s="95"/>
      <c r="AJ91" s="95"/>
      <c r="AK91" s="95"/>
      <c r="AL91" s="95"/>
      <c r="AM91" s="96"/>
      <c r="AN91" s="94"/>
      <c r="AO91" s="95"/>
      <c r="AP91" s="95"/>
      <c r="AQ91" s="95"/>
      <c r="AR91" s="95"/>
      <c r="AS91" s="95"/>
      <c r="AT91" s="96"/>
      <c r="AU91" s="37">
        <f t="shared" si="11"/>
        <v>0</v>
      </c>
      <c r="AV91" s="37">
        <f t="shared" si="12"/>
        <v>0</v>
      </c>
      <c r="AW91" s="37">
        <f t="shared" si="13"/>
        <v>0</v>
      </c>
      <c r="AX91" s="37">
        <f t="shared" si="14"/>
        <v>0</v>
      </c>
      <c r="AY91" s="37">
        <f t="shared" si="15"/>
        <v>0</v>
      </c>
      <c r="AZ91" s="37">
        <f t="shared" si="16"/>
        <v>0</v>
      </c>
      <c r="BA91" s="20"/>
    </row>
    <row r="92" spans="1:53" ht="14.1" hidden="1" customHeight="1" x14ac:dyDescent="0.25">
      <c r="A92" s="89"/>
      <c r="B92" s="101" t="str" cm="1">
        <f t="array" ref="B92">_xlfn.IFNA(INDEX(Employees[Employment Type],MATCH(Schedule!A92:A92,Employees[Employee Names],0)),"")</f>
        <v/>
      </c>
      <c r="C92" s="101" t="str">
        <f>_xlfn.IFNA(INDEX(Employees[Employee Role],MATCH(Schedule!A92,Employees[Employee Names],0)),"")</f>
        <v/>
      </c>
      <c r="D92" s="102">
        <f>COUNTA(IF(Settings!$D$14 = TRUE,E92:AT92,$E92:$AF92))</f>
        <v>0</v>
      </c>
      <c r="E92" s="90"/>
      <c r="F92" s="91"/>
      <c r="G92" s="91"/>
      <c r="H92" s="91"/>
      <c r="I92" s="91"/>
      <c r="J92" s="91"/>
      <c r="K92" s="92"/>
      <c r="L92" s="90"/>
      <c r="M92" s="91"/>
      <c r="N92" s="91"/>
      <c r="O92" s="91"/>
      <c r="P92" s="91"/>
      <c r="Q92" s="91"/>
      <c r="R92" s="92"/>
      <c r="S92" s="90"/>
      <c r="T92" s="91"/>
      <c r="U92" s="91"/>
      <c r="V92" s="91"/>
      <c r="W92" s="91"/>
      <c r="X92" s="91"/>
      <c r="Y92" s="92"/>
      <c r="Z92" s="90"/>
      <c r="AA92" s="91"/>
      <c r="AB92" s="91"/>
      <c r="AC92" s="91"/>
      <c r="AD92" s="91"/>
      <c r="AE92" s="91"/>
      <c r="AF92" s="93"/>
      <c r="AG92" s="94"/>
      <c r="AH92" s="95"/>
      <c r="AI92" s="95"/>
      <c r="AJ92" s="95"/>
      <c r="AK92" s="95"/>
      <c r="AL92" s="95"/>
      <c r="AM92" s="96"/>
      <c r="AN92" s="94"/>
      <c r="AO92" s="95"/>
      <c r="AP92" s="95"/>
      <c r="AQ92" s="95"/>
      <c r="AR92" s="95"/>
      <c r="AS92" s="95"/>
      <c r="AT92" s="96"/>
      <c r="AU92" s="37">
        <f t="shared" si="11"/>
        <v>0</v>
      </c>
      <c r="AV92" s="37">
        <f t="shared" si="12"/>
        <v>0</v>
      </c>
      <c r="AW92" s="37">
        <f t="shared" si="13"/>
        <v>0</v>
      </c>
      <c r="AX92" s="37">
        <f t="shared" si="14"/>
        <v>0</v>
      </c>
      <c r="AY92" s="37">
        <f t="shared" si="15"/>
        <v>0</v>
      </c>
      <c r="AZ92" s="37">
        <f t="shared" si="16"/>
        <v>0</v>
      </c>
      <c r="BA92" s="20"/>
    </row>
    <row r="93" spans="1:53" ht="14.1" hidden="1" customHeight="1" x14ac:dyDescent="0.25">
      <c r="A93" s="89"/>
      <c r="B93" s="101" t="str" cm="1">
        <f t="array" ref="B93">_xlfn.IFNA(INDEX(Employees[Employment Type],MATCH(Schedule!A93:A93,Employees[Employee Names],0)),"")</f>
        <v/>
      </c>
      <c r="C93" s="101" t="str">
        <f>_xlfn.IFNA(INDEX(Employees[Employee Role],MATCH(Schedule!A93,Employees[Employee Names],0)),"")</f>
        <v/>
      </c>
      <c r="D93" s="102">
        <f>COUNTA(IF(Settings!$D$14 = TRUE,E93:AT93,$E93:$AF93))</f>
        <v>0</v>
      </c>
      <c r="E93" s="90"/>
      <c r="F93" s="91"/>
      <c r="G93" s="91"/>
      <c r="H93" s="91"/>
      <c r="I93" s="91"/>
      <c r="J93" s="91"/>
      <c r="K93" s="92"/>
      <c r="L93" s="90"/>
      <c r="M93" s="91"/>
      <c r="N93" s="91"/>
      <c r="O93" s="91"/>
      <c r="P93" s="91"/>
      <c r="Q93" s="91"/>
      <c r="R93" s="92"/>
      <c r="S93" s="90"/>
      <c r="T93" s="91"/>
      <c r="U93" s="91"/>
      <c r="V93" s="91"/>
      <c r="W93" s="91"/>
      <c r="X93" s="91"/>
      <c r="Y93" s="92"/>
      <c r="Z93" s="90"/>
      <c r="AA93" s="91"/>
      <c r="AB93" s="91"/>
      <c r="AC93" s="91"/>
      <c r="AD93" s="91"/>
      <c r="AE93" s="91"/>
      <c r="AF93" s="93"/>
      <c r="AG93" s="94"/>
      <c r="AH93" s="95"/>
      <c r="AI93" s="95"/>
      <c r="AJ93" s="95"/>
      <c r="AK93" s="95"/>
      <c r="AL93" s="95"/>
      <c r="AM93" s="96"/>
      <c r="AN93" s="94"/>
      <c r="AO93" s="95"/>
      <c r="AP93" s="95"/>
      <c r="AQ93" s="95"/>
      <c r="AR93" s="95"/>
      <c r="AS93" s="95"/>
      <c r="AT93" s="96"/>
      <c r="AU93" s="37">
        <f t="shared" si="11"/>
        <v>0</v>
      </c>
      <c r="AV93" s="37">
        <f t="shared" si="12"/>
        <v>0</v>
      </c>
      <c r="AW93" s="37">
        <f t="shared" si="13"/>
        <v>0</v>
      </c>
      <c r="AX93" s="37">
        <f t="shared" si="14"/>
        <v>0</v>
      </c>
      <c r="AY93" s="37">
        <f t="shared" si="15"/>
        <v>0</v>
      </c>
      <c r="AZ93" s="37">
        <f t="shared" si="16"/>
        <v>0</v>
      </c>
      <c r="BA93" s="20"/>
    </row>
    <row r="94" spans="1:53" ht="14.1" hidden="1" customHeight="1" x14ac:dyDescent="0.25">
      <c r="A94" s="89"/>
      <c r="B94" s="101" t="str" cm="1">
        <f t="array" ref="B94">_xlfn.IFNA(INDEX(Employees[Employment Type],MATCH(Schedule!A94:A94,Employees[Employee Names],0)),"")</f>
        <v/>
      </c>
      <c r="C94" s="101" t="str">
        <f>_xlfn.IFNA(INDEX(Employees[Employee Role],MATCH(Schedule!A94,Employees[Employee Names],0)),"")</f>
        <v/>
      </c>
      <c r="D94" s="102">
        <f>COUNTA(IF(Settings!$D$14 = TRUE,E94:AT94,$E94:$AF94))</f>
        <v>0</v>
      </c>
      <c r="E94" s="90"/>
      <c r="F94" s="91"/>
      <c r="G94" s="91"/>
      <c r="H94" s="91"/>
      <c r="I94" s="91"/>
      <c r="J94" s="91"/>
      <c r="K94" s="92"/>
      <c r="L94" s="90"/>
      <c r="M94" s="91"/>
      <c r="N94" s="91"/>
      <c r="O94" s="91"/>
      <c r="P94" s="91"/>
      <c r="Q94" s="91"/>
      <c r="R94" s="92"/>
      <c r="S94" s="90"/>
      <c r="T94" s="91"/>
      <c r="U94" s="91"/>
      <c r="V94" s="91"/>
      <c r="W94" s="91"/>
      <c r="X94" s="91"/>
      <c r="Y94" s="92"/>
      <c r="Z94" s="90"/>
      <c r="AA94" s="91"/>
      <c r="AB94" s="91"/>
      <c r="AC94" s="91"/>
      <c r="AD94" s="91"/>
      <c r="AE94" s="91"/>
      <c r="AF94" s="93"/>
      <c r="AG94" s="94"/>
      <c r="AH94" s="95"/>
      <c r="AI94" s="95"/>
      <c r="AJ94" s="95"/>
      <c r="AK94" s="95"/>
      <c r="AL94" s="95"/>
      <c r="AM94" s="96"/>
      <c r="AN94" s="94"/>
      <c r="AO94" s="95"/>
      <c r="AP94" s="95"/>
      <c r="AQ94" s="95"/>
      <c r="AR94" s="95"/>
      <c r="AS94" s="95"/>
      <c r="AT94" s="96"/>
      <c r="AU94" s="37">
        <f t="shared" si="11"/>
        <v>0</v>
      </c>
      <c r="AV94" s="37">
        <f t="shared" si="12"/>
        <v>0</v>
      </c>
      <c r="AW94" s="37">
        <f t="shared" si="13"/>
        <v>0</v>
      </c>
      <c r="AX94" s="37">
        <f t="shared" si="14"/>
        <v>0</v>
      </c>
      <c r="AY94" s="37">
        <f t="shared" si="15"/>
        <v>0</v>
      </c>
      <c r="AZ94" s="37">
        <f t="shared" si="16"/>
        <v>0</v>
      </c>
      <c r="BA94" s="20"/>
    </row>
    <row r="95" spans="1:53" ht="14.1" hidden="1" customHeight="1" x14ac:dyDescent="0.25">
      <c r="A95" s="89"/>
      <c r="B95" s="101" t="str" cm="1">
        <f t="array" ref="B95">_xlfn.IFNA(INDEX(Employees[Employment Type],MATCH(Schedule!A95:A95,Employees[Employee Names],0)),"")</f>
        <v/>
      </c>
      <c r="C95" s="101" t="str">
        <f>_xlfn.IFNA(INDEX(Employees[Employee Role],MATCH(Schedule!A95,Employees[Employee Names],0)),"")</f>
        <v/>
      </c>
      <c r="D95" s="102">
        <f>COUNTA(IF(Settings!$D$14 = TRUE,E95:AT95,$E95:$AF95))</f>
        <v>0</v>
      </c>
      <c r="E95" s="90"/>
      <c r="F95" s="91"/>
      <c r="G95" s="91"/>
      <c r="H95" s="91"/>
      <c r="I95" s="91"/>
      <c r="J95" s="91"/>
      <c r="K95" s="92"/>
      <c r="L95" s="90"/>
      <c r="M95" s="91"/>
      <c r="N95" s="91"/>
      <c r="O95" s="91"/>
      <c r="P95" s="91"/>
      <c r="Q95" s="91"/>
      <c r="R95" s="92"/>
      <c r="S95" s="90"/>
      <c r="T95" s="91"/>
      <c r="U95" s="91"/>
      <c r="V95" s="91"/>
      <c r="W95" s="91"/>
      <c r="X95" s="91"/>
      <c r="Y95" s="92"/>
      <c r="Z95" s="90"/>
      <c r="AA95" s="91"/>
      <c r="AB95" s="91"/>
      <c r="AC95" s="91"/>
      <c r="AD95" s="91"/>
      <c r="AE95" s="91"/>
      <c r="AF95" s="93"/>
      <c r="AG95" s="94"/>
      <c r="AH95" s="95"/>
      <c r="AI95" s="95"/>
      <c r="AJ95" s="95"/>
      <c r="AK95" s="95"/>
      <c r="AL95" s="95"/>
      <c r="AM95" s="96"/>
      <c r="AN95" s="94"/>
      <c r="AO95" s="95"/>
      <c r="AP95" s="95"/>
      <c r="AQ95" s="95"/>
      <c r="AR95" s="95"/>
      <c r="AS95" s="95"/>
      <c r="AT95" s="96"/>
      <c r="AU95" s="37">
        <f t="shared" si="11"/>
        <v>0</v>
      </c>
      <c r="AV95" s="37">
        <f t="shared" si="12"/>
        <v>0</v>
      </c>
      <c r="AW95" s="37">
        <f t="shared" si="13"/>
        <v>0</v>
      </c>
      <c r="AX95" s="37">
        <f t="shared" si="14"/>
        <v>0</v>
      </c>
      <c r="AY95" s="37">
        <f t="shared" si="15"/>
        <v>0</v>
      </c>
      <c r="AZ95" s="37">
        <f t="shared" si="16"/>
        <v>0</v>
      </c>
      <c r="BA95" s="20"/>
    </row>
    <row r="96" spans="1:53" ht="14.1" hidden="1" customHeight="1" x14ac:dyDescent="0.25">
      <c r="A96" s="89"/>
      <c r="B96" s="101" t="str" cm="1">
        <f t="array" ref="B96">_xlfn.IFNA(INDEX(Employees[Employment Type],MATCH(Schedule!A96:A96,Employees[Employee Names],0)),"")</f>
        <v/>
      </c>
      <c r="C96" s="101" t="str">
        <f>_xlfn.IFNA(INDEX(Employees[Employee Role],MATCH(Schedule!A96,Employees[Employee Names],0)),"")</f>
        <v/>
      </c>
      <c r="D96" s="102">
        <f>COUNTA(IF(Settings!$D$14 = TRUE,E96:AT96,$E96:$AF96))</f>
        <v>0</v>
      </c>
      <c r="E96" s="90"/>
      <c r="F96" s="91"/>
      <c r="G96" s="91"/>
      <c r="H96" s="91"/>
      <c r="I96" s="91"/>
      <c r="J96" s="91"/>
      <c r="K96" s="92"/>
      <c r="L96" s="90"/>
      <c r="M96" s="91"/>
      <c r="N96" s="91"/>
      <c r="O96" s="91"/>
      <c r="P96" s="91"/>
      <c r="Q96" s="91"/>
      <c r="R96" s="92"/>
      <c r="S96" s="90"/>
      <c r="T96" s="91"/>
      <c r="U96" s="91"/>
      <c r="V96" s="91"/>
      <c r="W96" s="91"/>
      <c r="X96" s="91"/>
      <c r="Y96" s="92"/>
      <c r="Z96" s="90"/>
      <c r="AA96" s="91"/>
      <c r="AB96" s="91"/>
      <c r="AC96" s="91"/>
      <c r="AD96" s="91"/>
      <c r="AE96" s="91"/>
      <c r="AF96" s="93"/>
      <c r="AG96" s="94"/>
      <c r="AH96" s="95"/>
      <c r="AI96" s="95"/>
      <c r="AJ96" s="95"/>
      <c r="AK96" s="95"/>
      <c r="AL96" s="95"/>
      <c r="AM96" s="96"/>
      <c r="AN96" s="94"/>
      <c r="AO96" s="95"/>
      <c r="AP96" s="95"/>
      <c r="AQ96" s="95"/>
      <c r="AR96" s="95"/>
      <c r="AS96" s="95"/>
      <c r="AT96" s="96"/>
      <c r="AU96" s="37">
        <f t="shared" si="11"/>
        <v>0</v>
      </c>
      <c r="AV96" s="37">
        <f t="shared" si="12"/>
        <v>0</v>
      </c>
      <c r="AW96" s="37">
        <f t="shared" si="13"/>
        <v>0</v>
      </c>
      <c r="AX96" s="37">
        <f t="shared" si="14"/>
        <v>0</v>
      </c>
      <c r="AY96" s="37">
        <f t="shared" si="15"/>
        <v>0</v>
      </c>
      <c r="AZ96" s="37">
        <f t="shared" si="16"/>
        <v>0</v>
      </c>
      <c r="BA96" s="20"/>
    </row>
    <row r="97" spans="1:53" ht="14.1" hidden="1" customHeight="1" x14ac:dyDescent="0.25">
      <c r="A97" s="89"/>
      <c r="B97" s="101" t="str" cm="1">
        <f t="array" ref="B97">_xlfn.IFNA(INDEX(Employees[Employment Type],MATCH(Schedule!A97:A97,Employees[Employee Names],0)),"")</f>
        <v/>
      </c>
      <c r="C97" s="101" t="str">
        <f>_xlfn.IFNA(INDEX(Employees[Employee Role],MATCH(Schedule!A97,Employees[Employee Names],0)),"")</f>
        <v/>
      </c>
      <c r="D97" s="102">
        <f>COUNTA(IF(Settings!$D$14 = TRUE,E97:AT97,$E97:$AF97))</f>
        <v>0</v>
      </c>
      <c r="E97" s="90"/>
      <c r="F97" s="91"/>
      <c r="G97" s="91"/>
      <c r="H97" s="91"/>
      <c r="I97" s="91"/>
      <c r="J97" s="91"/>
      <c r="K97" s="92"/>
      <c r="L97" s="90"/>
      <c r="M97" s="91"/>
      <c r="N97" s="91"/>
      <c r="O97" s="91"/>
      <c r="P97" s="91"/>
      <c r="Q97" s="91"/>
      <c r="R97" s="92"/>
      <c r="S97" s="90"/>
      <c r="T97" s="91"/>
      <c r="U97" s="91"/>
      <c r="V97" s="91"/>
      <c r="W97" s="91"/>
      <c r="X97" s="91"/>
      <c r="Y97" s="92"/>
      <c r="Z97" s="90"/>
      <c r="AA97" s="91"/>
      <c r="AB97" s="91"/>
      <c r="AC97" s="91"/>
      <c r="AD97" s="91"/>
      <c r="AE97" s="91"/>
      <c r="AF97" s="93"/>
      <c r="AG97" s="94"/>
      <c r="AH97" s="95"/>
      <c r="AI97" s="95"/>
      <c r="AJ97" s="95"/>
      <c r="AK97" s="95"/>
      <c r="AL97" s="95"/>
      <c r="AM97" s="96"/>
      <c r="AN97" s="94"/>
      <c r="AO97" s="95"/>
      <c r="AP97" s="95"/>
      <c r="AQ97" s="95"/>
      <c r="AR97" s="95"/>
      <c r="AS97" s="95"/>
      <c r="AT97" s="96"/>
      <c r="AU97" s="37">
        <f t="shared" si="11"/>
        <v>0</v>
      </c>
      <c r="AV97" s="37">
        <f t="shared" si="12"/>
        <v>0</v>
      </c>
      <c r="AW97" s="37">
        <f t="shared" si="13"/>
        <v>0</v>
      </c>
      <c r="AX97" s="37">
        <f t="shared" si="14"/>
        <v>0</v>
      </c>
      <c r="AY97" s="37">
        <f t="shared" si="15"/>
        <v>0</v>
      </c>
      <c r="AZ97" s="37">
        <f t="shared" si="16"/>
        <v>0</v>
      </c>
      <c r="BA97" s="20"/>
    </row>
    <row r="98" spans="1:53" ht="14.1" hidden="1" customHeight="1" x14ac:dyDescent="0.25">
      <c r="A98" s="89"/>
      <c r="B98" s="101" t="str" cm="1">
        <f t="array" ref="B98">_xlfn.IFNA(INDEX(Employees[Employment Type],MATCH(Schedule!A98:A98,Employees[Employee Names],0)),"")</f>
        <v/>
      </c>
      <c r="C98" s="101" t="str">
        <f>_xlfn.IFNA(INDEX(Employees[Employee Role],MATCH(Schedule!A98,Employees[Employee Names],0)),"")</f>
        <v/>
      </c>
      <c r="D98" s="102">
        <f>COUNTA(IF(Settings!$D$14 = TRUE,E98:AT98,$E98:$AF98))</f>
        <v>0</v>
      </c>
      <c r="E98" s="90"/>
      <c r="F98" s="91"/>
      <c r="G98" s="91"/>
      <c r="H98" s="91"/>
      <c r="I98" s="91"/>
      <c r="J98" s="91"/>
      <c r="K98" s="92"/>
      <c r="L98" s="90"/>
      <c r="M98" s="91"/>
      <c r="N98" s="91"/>
      <c r="O98" s="91"/>
      <c r="P98" s="91"/>
      <c r="Q98" s="91"/>
      <c r="R98" s="92"/>
      <c r="S98" s="90"/>
      <c r="T98" s="91"/>
      <c r="U98" s="91"/>
      <c r="V98" s="91"/>
      <c r="W98" s="91"/>
      <c r="X98" s="91"/>
      <c r="Y98" s="92"/>
      <c r="Z98" s="90"/>
      <c r="AA98" s="91"/>
      <c r="AB98" s="91"/>
      <c r="AC98" s="91"/>
      <c r="AD98" s="91"/>
      <c r="AE98" s="91"/>
      <c r="AF98" s="93"/>
      <c r="AG98" s="94"/>
      <c r="AH98" s="95"/>
      <c r="AI98" s="95"/>
      <c r="AJ98" s="95"/>
      <c r="AK98" s="95"/>
      <c r="AL98" s="95"/>
      <c r="AM98" s="96"/>
      <c r="AN98" s="94"/>
      <c r="AO98" s="95"/>
      <c r="AP98" s="95"/>
      <c r="AQ98" s="95"/>
      <c r="AR98" s="95"/>
      <c r="AS98" s="95"/>
      <c r="AT98" s="96"/>
      <c r="AU98" s="37">
        <f t="shared" si="11"/>
        <v>0</v>
      </c>
      <c r="AV98" s="37">
        <f t="shared" si="12"/>
        <v>0</v>
      </c>
      <c r="AW98" s="37">
        <f t="shared" si="13"/>
        <v>0</v>
      </c>
      <c r="AX98" s="37">
        <f t="shared" si="14"/>
        <v>0</v>
      </c>
      <c r="AY98" s="37">
        <f t="shared" si="15"/>
        <v>0</v>
      </c>
      <c r="AZ98" s="37">
        <f t="shared" si="16"/>
        <v>0</v>
      </c>
      <c r="BA98" s="20"/>
    </row>
    <row r="99" spans="1:53" ht="14.1" hidden="1" customHeight="1" x14ac:dyDescent="0.25">
      <c r="A99" s="89"/>
      <c r="B99" s="101" t="str" cm="1">
        <f t="array" ref="B99">_xlfn.IFNA(INDEX(Employees[Employment Type],MATCH(Schedule!A99:A99,Employees[Employee Names],0)),"")</f>
        <v/>
      </c>
      <c r="C99" s="101" t="str">
        <f>_xlfn.IFNA(INDEX(Employees[Employee Role],MATCH(Schedule!A99,Employees[Employee Names],0)),"")</f>
        <v/>
      </c>
      <c r="D99" s="102">
        <f>COUNTA(IF(Settings!$D$14 = TRUE,E99:AT99,$E99:$AF99))</f>
        <v>0</v>
      </c>
      <c r="E99" s="90"/>
      <c r="F99" s="91"/>
      <c r="G99" s="91"/>
      <c r="H99" s="91"/>
      <c r="I99" s="91"/>
      <c r="J99" s="91"/>
      <c r="K99" s="92"/>
      <c r="L99" s="90"/>
      <c r="M99" s="91"/>
      <c r="N99" s="91"/>
      <c r="O99" s="91"/>
      <c r="P99" s="91"/>
      <c r="Q99" s="91"/>
      <c r="R99" s="92"/>
      <c r="S99" s="90"/>
      <c r="T99" s="91"/>
      <c r="U99" s="91"/>
      <c r="V99" s="91"/>
      <c r="W99" s="91"/>
      <c r="X99" s="91"/>
      <c r="Y99" s="92"/>
      <c r="Z99" s="90"/>
      <c r="AA99" s="91"/>
      <c r="AB99" s="91"/>
      <c r="AC99" s="91"/>
      <c r="AD99" s="91"/>
      <c r="AE99" s="91"/>
      <c r="AF99" s="93"/>
      <c r="AG99" s="94"/>
      <c r="AH99" s="95"/>
      <c r="AI99" s="95"/>
      <c r="AJ99" s="95"/>
      <c r="AK99" s="95"/>
      <c r="AL99" s="95"/>
      <c r="AM99" s="96"/>
      <c r="AN99" s="94"/>
      <c r="AO99" s="95"/>
      <c r="AP99" s="95"/>
      <c r="AQ99" s="95"/>
      <c r="AR99" s="95"/>
      <c r="AS99" s="95"/>
      <c r="AT99" s="96"/>
      <c r="AU99" s="37">
        <f t="shared" si="11"/>
        <v>0</v>
      </c>
      <c r="AV99" s="37">
        <f t="shared" si="12"/>
        <v>0</v>
      </c>
      <c r="AW99" s="37">
        <f t="shared" si="13"/>
        <v>0</v>
      </c>
      <c r="AX99" s="37">
        <f t="shared" si="14"/>
        <v>0</v>
      </c>
      <c r="AY99" s="37">
        <f t="shared" si="15"/>
        <v>0</v>
      </c>
      <c r="AZ99" s="37">
        <f t="shared" si="16"/>
        <v>0</v>
      </c>
      <c r="BA99" s="20"/>
    </row>
    <row r="100" spans="1:53" ht="14.1" hidden="1" customHeight="1" x14ac:dyDescent="0.25">
      <c r="A100" s="89"/>
      <c r="B100" s="101" t="str" cm="1">
        <f t="array" ref="B100">_xlfn.IFNA(INDEX(Employees[Employment Type],MATCH(Schedule!A100:A100,Employees[Employee Names],0)),"")</f>
        <v/>
      </c>
      <c r="C100" s="101" t="str">
        <f>_xlfn.IFNA(INDEX(Employees[Employee Role],MATCH(Schedule!A100,Employees[Employee Names],0)),"")</f>
        <v/>
      </c>
      <c r="D100" s="102">
        <f>COUNTA(IF(Settings!$D$14 = TRUE,E100:AT100,$E100:$AF100))</f>
        <v>0</v>
      </c>
      <c r="E100" s="90"/>
      <c r="F100" s="91"/>
      <c r="G100" s="91"/>
      <c r="H100" s="91"/>
      <c r="I100" s="91"/>
      <c r="J100" s="91"/>
      <c r="K100" s="92"/>
      <c r="L100" s="90"/>
      <c r="M100" s="91"/>
      <c r="N100" s="91"/>
      <c r="O100" s="91"/>
      <c r="P100" s="91"/>
      <c r="Q100" s="91"/>
      <c r="R100" s="92"/>
      <c r="S100" s="90"/>
      <c r="T100" s="91"/>
      <c r="U100" s="91"/>
      <c r="V100" s="91"/>
      <c r="W100" s="91"/>
      <c r="X100" s="91"/>
      <c r="Y100" s="92"/>
      <c r="Z100" s="90"/>
      <c r="AA100" s="91"/>
      <c r="AB100" s="91"/>
      <c r="AC100" s="91"/>
      <c r="AD100" s="91"/>
      <c r="AE100" s="91"/>
      <c r="AF100" s="93"/>
      <c r="AG100" s="94"/>
      <c r="AH100" s="95"/>
      <c r="AI100" s="95"/>
      <c r="AJ100" s="95"/>
      <c r="AK100" s="95"/>
      <c r="AL100" s="95"/>
      <c r="AM100" s="96"/>
      <c r="AN100" s="94"/>
      <c r="AO100" s="95"/>
      <c r="AP100" s="95"/>
      <c r="AQ100" s="95"/>
      <c r="AR100" s="95"/>
      <c r="AS100" s="95"/>
      <c r="AT100" s="96"/>
      <c r="AU100" s="37">
        <f t="shared" si="11"/>
        <v>0</v>
      </c>
      <c r="AV100" s="37">
        <f t="shared" si="12"/>
        <v>0</v>
      </c>
      <c r="AW100" s="37">
        <f t="shared" si="13"/>
        <v>0</v>
      </c>
      <c r="AX100" s="37">
        <f t="shared" si="14"/>
        <v>0</v>
      </c>
      <c r="AY100" s="37">
        <f t="shared" si="15"/>
        <v>0</v>
      </c>
      <c r="AZ100" s="37">
        <f t="shared" si="16"/>
        <v>0</v>
      </c>
      <c r="BA100" s="20"/>
    </row>
    <row r="101" spans="1:53" ht="14.1" hidden="1" customHeight="1" x14ac:dyDescent="0.25">
      <c r="A101" s="89"/>
      <c r="B101" s="101" t="str" cm="1">
        <f t="array" ref="B101">_xlfn.IFNA(INDEX(Employees[Employment Type],MATCH(Schedule!A101:A101,Employees[Employee Names],0)),"")</f>
        <v/>
      </c>
      <c r="C101" s="101" t="str">
        <f>_xlfn.IFNA(INDEX(Employees[Employee Role],MATCH(Schedule!A101,Employees[Employee Names],0)),"")</f>
        <v/>
      </c>
      <c r="D101" s="102">
        <f>COUNTA(IF(Settings!$D$14 = TRUE,E101:AT101,$E101:$AF101))</f>
        <v>0</v>
      </c>
      <c r="E101" s="90"/>
      <c r="F101" s="91"/>
      <c r="G101" s="91"/>
      <c r="H101" s="91"/>
      <c r="I101" s="91"/>
      <c r="J101" s="91"/>
      <c r="K101" s="92"/>
      <c r="L101" s="90"/>
      <c r="M101" s="91"/>
      <c r="N101" s="91"/>
      <c r="O101" s="91"/>
      <c r="P101" s="91"/>
      <c r="Q101" s="91"/>
      <c r="R101" s="92"/>
      <c r="S101" s="90"/>
      <c r="T101" s="91"/>
      <c r="U101" s="91"/>
      <c r="V101" s="91"/>
      <c r="W101" s="91"/>
      <c r="X101" s="91"/>
      <c r="Y101" s="92"/>
      <c r="Z101" s="90"/>
      <c r="AA101" s="91"/>
      <c r="AB101" s="91"/>
      <c r="AC101" s="91"/>
      <c r="AD101" s="91"/>
      <c r="AE101" s="91"/>
      <c r="AF101" s="93"/>
      <c r="AG101" s="94"/>
      <c r="AH101" s="95"/>
      <c r="AI101" s="95"/>
      <c r="AJ101" s="95"/>
      <c r="AK101" s="95"/>
      <c r="AL101" s="95"/>
      <c r="AM101" s="96"/>
      <c r="AN101" s="94"/>
      <c r="AO101" s="95"/>
      <c r="AP101" s="95"/>
      <c r="AQ101" s="95"/>
      <c r="AR101" s="95"/>
      <c r="AS101" s="95"/>
      <c r="AT101" s="96"/>
      <c r="AU101" s="37">
        <f t="shared" si="11"/>
        <v>0</v>
      </c>
      <c r="AV101" s="37">
        <f t="shared" si="12"/>
        <v>0</v>
      </c>
      <c r="AW101" s="37">
        <f t="shared" si="13"/>
        <v>0</v>
      </c>
      <c r="AX101" s="37">
        <f t="shared" si="14"/>
        <v>0</v>
      </c>
      <c r="AY101" s="37">
        <f t="shared" si="15"/>
        <v>0</v>
      </c>
      <c r="AZ101" s="37">
        <f t="shared" si="16"/>
        <v>0</v>
      </c>
      <c r="BA101" s="20"/>
    </row>
    <row r="102" spans="1:53" ht="14.1" hidden="1" customHeight="1" x14ac:dyDescent="0.25">
      <c r="A102" s="89"/>
      <c r="B102" s="101" t="str" cm="1">
        <f t="array" ref="B102">_xlfn.IFNA(INDEX(Employees[Employment Type],MATCH(Schedule!A102:A102,Employees[Employee Names],0)),"")</f>
        <v/>
      </c>
      <c r="C102" s="101" t="str">
        <f>_xlfn.IFNA(INDEX(Employees[Employee Role],MATCH(Schedule!A102,Employees[Employee Names],0)),"")</f>
        <v/>
      </c>
      <c r="D102" s="102">
        <f>COUNTA(IF(Settings!$D$14 = TRUE,E102:AT102,$E102:$AF102))</f>
        <v>0</v>
      </c>
      <c r="E102" s="90"/>
      <c r="F102" s="91"/>
      <c r="G102" s="91"/>
      <c r="H102" s="91"/>
      <c r="I102" s="91"/>
      <c r="J102" s="91"/>
      <c r="K102" s="92"/>
      <c r="L102" s="90"/>
      <c r="M102" s="91"/>
      <c r="N102" s="91"/>
      <c r="O102" s="91"/>
      <c r="P102" s="91"/>
      <c r="Q102" s="91"/>
      <c r="R102" s="92"/>
      <c r="S102" s="90"/>
      <c r="T102" s="91"/>
      <c r="U102" s="91"/>
      <c r="V102" s="91"/>
      <c r="W102" s="91"/>
      <c r="X102" s="91"/>
      <c r="Y102" s="92"/>
      <c r="Z102" s="90"/>
      <c r="AA102" s="91"/>
      <c r="AB102" s="91"/>
      <c r="AC102" s="91"/>
      <c r="AD102" s="91"/>
      <c r="AE102" s="91"/>
      <c r="AF102" s="93"/>
      <c r="AG102" s="94"/>
      <c r="AH102" s="95"/>
      <c r="AI102" s="95"/>
      <c r="AJ102" s="95"/>
      <c r="AK102" s="95"/>
      <c r="AL102" s="95"/>
      <c r="AM102" s="96"/>
      <c r="AN102" s="94"/>
      <c r="AO102" s="95"/>
      <c r="AP102" s="95"/>
      <c r="AQ102" s="95"/>
      <c r="AR102" s="95"/>
      <c r="AS102" s="95"/>
      <c r="AT102" s="96"/>
      <c r="AU102" s="37">
        <f t="shared" si="11"/>
        <v>0</v>
      </c>
      <c r="AV102" s="37">
        <f t="shared" si="12"/>
        <v>0</v>
      </c>
      <c r="AW102" s="37">
        <f t="shared" si="13"/>
        <v>0</v>
      </c>
      <c r="AX102" s="37">
        <f t="shared" si="14"/>
        <v>0</v>
      </c>
      <c r="AY102" s="37">
        <f t="shared" si="15"/>
        <v>0</v>
      </c>
      <c r="AZ102" s="37">
        <f t="shared" si="16"/>
        <v>0</v>
      </c>
      <c r="BA102" s="20"/>
    </row>
    <row r="103" spans="1:53" ht="14.1" hidden="1" customHeight="1" x14ac:dyDescent="0.25">
      <c r="A103" s="89"/>
      <c r="B103" s="101" t="str" cm="1">
        <f t="array" ref="B103">_xlfn.IFNA(INDEX(Employees[Employment Type],MATCH(Schedule!A103:A103,Employees[Employee Names],0)),"")</f>
        <v/>
      </c>
      <c r="C103" s="101" t="str">
        <f>_xlfn.IFNA(INDEX(Employees[Employee Role],MATCH(Schedule!A103,Employees[Employee Names],0)),"")</f>
        <v/>
      </c>
      <c r="D103" s="102">
        <f>COUNTA(IF(Settings!$D$14 = TRUE,E103:AT103,$E103:$AF103))</f>
        <v>0</v>
      </c>
      <c r="E103" s="90"/>
      <c r="F103" s="91"/>
      <c r="G103" s="91"/>
      <c r="H103" s="91"/>
      <c r="I103" s="91"/>
      <c r="J103" s="91"/>
      <c r="K103" s="92"/>
      <c r="L103" s="90"/>
      <c r="M103" s="91"/>
      <c r="N103" s="91"/>
      <c r="O103" s="91"/>
      <c r="P103" s="91"/>
      <c r="Q103" s="91"/>
      <c r="R103" s="92"/>
      <c r="S103" s="90"/>
      <c r="T103" s="91"/>
      <c r="U103" s="91"/>
      <c r="V103" s="91"/>
      <c r="W103" s="91"/>
      <c r="X103" s="91"/>
      <c r="Y103" s="92"/>
      <c r="Z103" s="90"/>
      <c r="AA103" s="91"/>
      <c r="AB103" s="91"/>
      <c r="AC103" s="91"/>
      <c r="AD103" s="91"/>
      <c r="AE103" s="91"/>
      <c r="AF103" s="93"/>
      <c r="AG103" s="94"/>
      <c r="AH103" s="95"/>
      <c r="AI103" s="95"/>
      <c r="AJ103" s="95"/>
      <c r="AK103" s="95"/>
      <c r="AL103" s="95"/>
      <c r="AM103" s="96"/>
      <c r="AN103" s="94"/>
      <c r="AO103" s="95"/>
      <c r="AP103" s="95"/>
      <c r="AQ103" s="95"/>
      <c r="AR103" s="95"/>
      <c r="AS103" s="95"/>
      <c r="AT103" s="96"/>
      <c r="AU103" s="37">
        <f t="shared" si="11"/>
        <v>0</v>
      </c>
      <c r="AV103" s="37">
        <f t="shared" si="12"/>
        <v>0</v>
      </c>
      <c r="AW103" s="37">
        <f t="shared" si="13"/>
        <v>0</v>
      </c>
      <c r="AX103" s="37">
        <f t="shared" si="14"/>
        <v>0</v>
      </c>
      <c r="AY103" s="37">
        <f t="shared" si="15"/>
        <v>0</v>
      </c>
      <c r="AZ103" s="37">
        <f t="shared" si="16"/>
        <v>0</v>
      </c>
      <c r="BA103" s="20"/>
    </row>
    <row r="104" spans="1:53" ht="14.1" hidden="1" customHeight="1" x14ac:dyDescent="0.25">
      <c r="A104" s="89"/>
      <c r="B104" s="101" t="str" cm="1">
        <f t="array" ref="B104">_xlfn.IFNA(INDEX(Employees[Employment Type],MATCH(Schedule!A104:A104,Employees[Employee Names],0)),"")</f>
        <v/>
      </c>
      <c r="C104" s="101" t="str">
        <f>_xlfn.IFNA(INDEX(Employees[Employee Role],MATCH(Schedule!A104,Employees[Employee Names],0)),"")</f>
        <v/>
      </c>
      <c r="D104" s="102">
        <f>COUNTA(IF(Settings!$D$14 = TRUE,E104:AT104,$E104:$AF104))</f>
        <v>0</v>
      </c>
      <c r="E104" s="90"/>
      <c r="F104" s="91"/>
      <c r="G104" s="91"/>
      <c r="H104" s="91"/>
      <c r="I104" s="91"/>
      <c r="J104" s="91"/>
      <c r="K104" s="92"/>
      <c r="L104" s="90"/>
      <c r="M104" s="91"/>
      <c r="N104" s="91"/>
      <c r="O104" s="91"/>
      <c r="P104" s="91"/>
      <c r="Q104" s="91"/>
      <c r="R104" s="92"/>
      <c r="S104" s="90"/>
      <c r="T104" s="91"/>
      <c r="U104" s="91"/>
      <c r="V104" s="91"/>
      <c r="W104" s="91"/>
      <c r="X104" s="91"/>
      <c r="Y104" s="92"/>
      <c r="Z104" s="90"/>
      <c r="AA104" s="91"/>
      <c r="AB104" s="91"/>
      <c r="AC104" s="91"/>
      <c r="AD104" s="91"/>
      <c r="AE104" s="91"/>
      <c r="AF104" s="93"/>
      <c r="AG104" s="94"/>
      <c r="AH104" s="95"/>
      <c r="AI104" s="95"/>
      <c r="AJ104" s="95"/>
      <c r="AK104" s="95"/>
      <c r="AL104" s="95"/>
      <c r="AM104" s="96"/>
      <c r="AN104" s="94"/>
      <c r="AO104" s="95"/>
      <c r="AP104" s="95"/>
      <c r="AQ104" s="95"/>
      <c r="AR104" s="95"/>
      <c r="AS104" s="95"/>
      <c r="AT104" s="96"/>
      <c r="AU104" s="37">
        <f t="shared" si="11"/>
        <v>0</v>
      </c>
      <c r="AV104" s="37">
        <f t="shared" si="12"/>
        <v>0</v>
      </c>
      <c r="AW104" s="37">
        <f t="shared" si="13"/>
        <v>0</v>
      </c>
      <c r="AX104" s="37">
        <f t="shared" si="14"/>
        <v>0</v>
      </c>
      <c r="AY104" s="37">
        <f t="shared" si="15"/>
        <v>0</v>
      </c>
      <c r="AZ104" s="37">
        <f t="shared" si="16"/>
        <v>0</v>
      </c>
      <c r="BA104" s="20"/>
    </row>
    <row r="105" spans="1:53" ht="14.1" hidden="1" customHeight="1" x14ac:dyDescent="0.25">
      <c r="A105" s="89"/>
      <c r="B105" s="101" t="str" cm="1">
        <f t="array" ref="B105">_xlfn.IFNA(INDEX(Employees[Employment Type],MATCH(Schedule!A105:A105,Employees[Employee Names],0)),"")</f>
        <v/>
      </c>
      <c r="C105" s="101" t="str">
        <f>_xlfn.IFNA(INDEX(Employees[Employee Role],MATCH(Schedule!A105,Employees[Employee Names],0)),"")</f>
        <v/>
      </c>
      <c r="D105" s="102">
        <f>COUNTA(IF(Settings!$D$14 = TRUE,E105:AT105,$E105:$AF105))</f>
        <v>0</v>
      </c>
      <c r="E105" s="90"/>
      <c r="F105" s="91"/>
      <c r="G105" s="91"/>
      <c r="H105" s="91"/>
      <c r="I105" s="91"/>
      <c r="J105" s="91"/>
      <c r="K105" s="92"/>
      <c r="L105" s="90"/>
      <c r="M105" s="91"/>
      <c r="N105" s="91"/>
      <c r="O105" s="91"/>
      <c r="P105" s="91"/>
      <c r="Q105" s="91"/>
      <c r="R105" s="92"/>
      <c r="S105" s="90"/>
      <c r="T105" s="91"/>
      <c r="U105" s="91"/>
      <c r="V105" s="91"/>
      <c r="W105" s="91"/>
      <c r="X105" s="91"/>
      <c r="Y105" s="92"/>
      <c r="Z105" s="90"/>
      <c r="AA105" s="91"/>
      <c r="AB105" s="91"/>
      <c r="AC105" s="91"/>
      <c r="AD105" s="91"/>
      <c r="AE105" s="91"/>
      <c r="AF105" s="93"/>
      <c r="AG105" s="94"/>
      <c r="AH105" s="95"/>
      <c r="AI105" s="95"/>
      <c r="AJ105" s="95"/>
      <c r="AK105" s="95"/>
      <c r="AL105" s="95"/>
      <c r="AM105" s="96"/>
      <c r="AN105" s="94"/>
      <c r="AO105" s="95"/>
      <c r="AP105" s="95"/>
      <c r="AQ105" s="95"/>
      <c r="AR105" s="95"/>
      <c r="AS105" s="95"/>
      <c r="AT105" s="96"/>
      <c r="AU105" s="37">
        <f t="shared" si="11"/>
        <v>0</v>
      </c>
      <c r="AV105" s="37">
        <f t="shared" si="12"/>
        <v>0</v>
      </c>
      <c r="AW105" s="37">
        <f t="shared" si="13"/>
        <v>0</v>
      </c>
      <c r="AX105" s="37">
        <f t="shared" si="14"/>
        <v>0</v>
      </c>
      <c r="AY105" s="37">
        <f t="shared" si="15"/>
        <v>0</v>
      </c>
      <c r="AZ105" s="37">
        <f t="shared" si="16"/>
        <v>0</v>
      </c>
      <c r="BA105" s="20"/>
    </row>
    <row r="106" spans="1:53" ht="14.1" hidden="1" customHeight="1" x14ac:dyDescent="0.25">
      <c r="A106" s="89"/>
      <c r="B106" s="101" t="str" cm="1">
        <f t="array" ref="B106">_xlfn.IFNA(INDEX(Employees[Employment Type],MATCH(Schedule!A106:A106,Employees[Employee Names],0)),"")</f>
        <v/>
      </c>
      <c r="C106" s="101" t="str">
        <f>_xlfn.IFNA(INDEX(Employees[Employee Role],MATCH(Schedule!A106,Employees[Employee Names],0)),"")</f>
        <v/>
      </c>
      <c r="D106" s="102">
        <f>COUNTA(IF(Settings!$D$14 = TRUE,E106:AT106,$E106:$AF106))</f>
        <v>0</v>
      </c>
      <c r="E106" s="90"/>
      <c r="F106" s="91"/>
      <c r="G106" s="91"/>
      <c r="H106" s="91"/>
      <c r="I106" s="91"/>
      <c r="J106" s="91"/>
      <c r="K106" s="92"/>
      <c r="L106" s="90"/>
      <c r="M106" s="91"/>
      <c r="N106" s="91"/>
      <c r="O106" s="91"/>
      <c r="P106" s="91"/>
      <c r="Q106" s="91"/>
      <c r="R106" s="92"/>
      <c r="S106" s="90"/>
      <c r="T106" s="91"/>
      <c r="U106" s="91"/>
      <c r="V106" s="91"/>
      <c r="W106" s="91"/>
      <c r="X106" s="91"/>
      <c r="Y106" s="92"/>
      <c r="Z106" s="90"/>
      <c r="AA106" s="91"/>
      <c r="AB106" s="91"/>
      <c r="AC106" s="91"/>
      <c r="AD106" s="91"/>
      <c r="AE106" s="91"/>
      <c r="AF106" s="93"/>
      <c r="AG106" s="94"/>
      <c r="AH106" s="95"/>
      <c r="AI106" s="95"/>
      <c r="AJ106" s="95"/>
      <c r="AK106" s="95"/>
      <c r="AL106" s="95"/>
      <c r="AM106" s="96"/>
      <c r="AN106" s="94"/>
      <c r="AO106" s="95"/>
      <c r="AP106" s="95"/>
      <c r="AQ106" s="95"/>
      <c r="AR106" s="95"/>
      <c r="AS106" s="95"/>
      <c r="AT106" s="96"/>
      <c r="AU106" s="37">
        <f t="shared" si="11"/>
        <v>0</v>
      </c>
      <c r="AV106" s="37">
        <f t="shared" si="12"/>
        <v>0</v>
      </c>
      <c r="AW106" s="37">
        <f t="shared" si="13"/>
        <v>0</v>
      </c>
      <c r="AX106" s="37">
        <f t="shared" si="14"/>
        <v>0</v>
      </c>
      <c r="AY106" s="37">
        <f t="shared" si="15"/>
        <v>0</v>
      </c>
      <c r="AZ106" s="37">
        <f t="shared" si="16"/>
        <v>0</v>
      </c>
      <c r="BA106" s="20"/>
    </row>
    <row r="107" spans="1:53" ht="14.1" hidden="1" customHeight="1" x14ac:dyDescent="0.25">
      <c r="A107" s="89"/>
      <c r="B107" s="101" t="str" cm="1">
        <f t="array" ref="B107">_xlfn.IFNA(INDEX(Employees[Employment Type],MATCH(Schedule!A107:A107,Employees[Employee Names],0)),"")</f>
        <v/>
      </c>
      <c r="C107" s="101" t="str">
        <f>_xlfn.IFNA(INDEX(Employees[Employee Role],MATCH(Schedule!A107,Employees[Employee Names],0)),"")</f>
        <v/>
      </c>
      <c r="D107" s="102">
        <f>COUNTA(IF(Settings!$D$14 = TRUE,E107:AT107,$E107:$AF107))</f>
        <v>0</v>
      </c>
      <c r="E107" s="90"/>
      <c r="F107" s="91"/>
      <c r="G107" s="91"/>
      <c r="H107" s="91"/>
      <c r="I107" s="91"/>
      <c r="J107" s="91"/>
      <c r="K107" s="92"/>
      <c r="L107" s="90"/>
      <c r="M107" s="91"/>
      <c r="N107" s="91"/>
      <c r="O107" s="91"/>
      <c r="P107" s="91"/>
      <c r="Q107" s="91"/>
      <c r="R107" s="92"/>
      <c r="S107" s="90"/>
      <c r="T107" s="91"/>
      <c r="U107" s="91"/>
      <c r="V107" s="91"/>
      <c r="W107" s="91"/>
      <c r="X107" s="91"/>
      <c r="Y107" s="92"/>
      <c r="Z107" s="90"/>
      <c r="AA107" s="91"/>
      <c r="AB107" s="91"/>
      <c r="AC107" s="91"/>
      <c r="AD107" s="91"/>
      <c r="AE107" s="91"/>
      <c r="AF107" s="93"/>
      <c r="AG107" s="94"/>
      <c r="AH107" s="95"/>
      <c r="AI107" s="95"/>
      <c r="AJ107" s="95"/>
      <c r="AK107" s="95"/>
      <c r="AL107" s="95"/>
      <c r="AM107" s="96"/>
      <c r="AN107" s="94"/>
      <c r="AO107" s="95"/>
      <c r="AP107" s="95"/>
      <c r="AQ107" s="95"/>
      <c r="AR107" s="95"/>
      <c r="AS107" s="95"/>
      <c r="AT107" s="96"/>
      <c r="AU107" s="37">
        <f t="shared" si="11"/>
        <v>0</v>
      </c>
      <c r="AV107" s="37">
        <f t="shared" si="12"/>
        <v>0</v>
      </c>
      <c r="AW107" s="37">
        <f t="shared" si="13"/>
        <v>0</v>
      </c>
      <c r="AX107" s="37">
        <f t="shared" si="14"/>
        <v>0</v>
      </c>
      <c r="AY107" s="37">
        <f t="shared" si="15"/>
        <v>0</v>
      </c>
      <c r="AZ107" s="37">
        <f t="shared" si="16"/>
        <v>0</v>
      </c>
      <c r="BA107" s="20"/>
    </row>
    <row r="108" spans="1:53" ht="14.1" customHeight="1" x14ac:dyDescent="0.25">
      <c r="A108" s="22"/>
      <c r="B108" s="22"/>
      <c r="C108" s="23"/>
      <c r="D108" s="24"/>
      <c r="E108" s="24"/>
      <c r="F108" s="24"/>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c r="AF108" s="20"/>
      <c r="AG108" s="20"/>
      <c r="AH108" s="20"/>
      <c r="AI108" s="20"/>
      <c r="AJ108" s="20"/>
      <c r="AK108" s="20"/>
      <c r="AL108" s="20"/>
      <c r="AM108" s="20"/>
      <c r="AN108" s="20"/>
      <c r="AO108" s="20"/>
      <c r="AP108" s="20"/>
      <c r="AQ108" s="20"/>
      <c r="AR108" s="20"/>
      <c r="AS108" s="20"/>
      <c r="AT108" s="20"/>
      <c r="AU108" s="20"/>
      <c r="AV108" s="20"/>
      <c r="AW108" s="20"/>
      <c r="AX108" s="20"/>
      <c r="AY108" s="20"/>
      <c r="AZ108" s="20"/>
      <c r="BA108" s="20"/>
    </row>
    <row r="109" spans="1:53" ht="14.1" customHeight="1" x14ac:dyDescent="0.25">
      <c r="A109" s="116" t="s">
        <v>44</v>
      </c>
      <c r="B109" s="117"/>
      <c r="C109" s="117"/>
      <c r="D109" s="117"/>
      <c r="E109" s="72">
        <f t="shared" ref="E109:AT109" si="17">COUNTA(E8:E107)</f>
        <v>0</v>
      </c>
      <c r="F109" s="73">
        <f t="shared" si="17"/>
        <v>0</v>
      </c>
      <c r="G109" s="73">
        <f t="shared" si="17"/>
        <v>0</v>
      </c>
      <c r="H109" s="73">
        <f t="shared" si="17"/>
        <v>0</v>
      </c>
      <c r="I109" s="73">
        <f t="shared" si="17"/>
        <v>0</v>
      </c>
      <c r="J109" s="73">
        <f t="shared" si="17"/>
        <v>0</v>
      </c>
      <c r="K109" s="73">
        <f t="shared" si="17"/>
        <v>0</v>
      </c>
      <c r="L109" s="72">
        <f t="shared" si="17"/>
        <v>0</v>
      </c>
      <c r="M109" s="73">
        <f t="shared" si="17"/>
        <v>0</v>
      </c>
      <c r="N109" s="73">
        <f t="shared" si="17"/>
        <v>0</v>
      </c>
      <c r="O109" s="73">
        <f t="shared" si="17"/>
        <v>0</v>
      </c>
      <c r="P109" s="73">
        <f t="shared" si="17"/>
        <v>0</v>
      </c>
      <c r="Q109" s="73">
        <f t="shared" si="17"/>
        <v>0</v>
      </c>
      <c r="R109" s="73">
        <f t="shared" si="17"/>
        <v>0</v>
      </c>
      <c r="S109" s="72">
        <f t="shared" si="17"/>
        <v>0</v>
      </c>
      <c r="T109" s="73">
        <f t="shared" si="17"/>
        <v>0</v>
      </c>
      <c r="U109" s="73">
        <f t="shared" si="17"/>
        <v>0</v>
      </c>
      <c r="V109" s="73">
        <f t="shared" si="17"/>
        <v>0</v>
      </c>
      <c r="W109" s="73">
        <f t="shared" si="17"/>
        <v>0</v>
      </c>
      <c r="X109" s="73">
        <f t="shared" si="17"/>
        <v>0</v>
      </c>
      <c r="Y109" s="73">
        <f t="shared" si="17"/>
        <v>0</v>
      </c>
      <c r="Z109" s="72">
        <f t="shared" si="17"/>
        <v>0</v>
      </c>
      <c r="AA109" s="73">
        <f t="shared" si="17"/>
        <v>0</v>
      </c>
      <c r="AB109" s="73">
        <f t="shared" si="17"/>
        <v>0</v>
      </c>
      <c r="AC109" s="73">
        <f t="shared" si="17"/>
        <v>0</v>
      </c>
      <c r="AD109" s="73">
        <f t="shared" si="17"/>
        <v>0</v>
      </c>
      <c r="AE109" s="73">
        <f t="shared" si="17"/>
        <v>0</v>
      </c>
      <c r="AF109" s="73">
        <f t="shared" si="17"/>
        <v>0</v>
      </c>
      <c r="AG109" s="72">
        <f t="shared" si="17"/>
        <v>0</v>
      </c>
      <c r="AH109" s="73">
        <f t="shared" si="17"/>
        <v>0</v>
      </c>
      <c r="AI109" s="73">
        <f t="shared" si="17"/>
        <v>0</v>
      </c>
      <c r="AJ109" s="73">
        <f t="shared" si="17"/>
        <v>0</v>
      </c>
      <c r="AK109" s="73">
        <f t="shared" si="17"/>
        <v>0</v>
      </c>
      <c r="AL109" s="73">
        <f t="shared" si="17"/>
        <v>0</v>
      </c>
      <c r="AM109" s="73">
        <f t="shared" si="17"/>
        <v>0</v>
      </c>
      <c r="AN109" s="72">
        <f t="shared" si="17"/>
        <v>0</v>
      </c>
      <c r="AO109" s="73">
        <f t="shared" si="17"/>
        <v>0</v>
      </c>
      <c r="AP109" s="73">
        <f t="shared" si="17"/>
        <v>0</v>
      </c>
      <c r="AQ109" s="73">
        <f t="shared" si="17"/>
        <v>0</v>
      </c>
      <c r="AR109" s="73">
        <f t="shared" si="17"/>
        <v>0</v>
      </c>
      <c r="AS109" s="73">
        <f t="shared" si="17"/>
        <v>0</v>
      </c>
      <c r="AT109" s="73">
        <f t="shared" si="17"/>
        <v>0</v>
      </c>
      <c r="AU109" s="20"/>
      <c r="AV109" s="20"/>
      <c r="AW109" s="20"/>
      <c r="AX109" s="20"/>
      <c r="AY109" s="20"/>
      <c r="AZ109" s="20"/>
      <c r="BA109" s="20"/>
    </row>
    <row r="110" spans="1:53" ht="14.1" customHeight="1" x14ac:dyDescent="0.25">
      <c r="A110" s="119" t="s">
        <v>45</v>
      </c>
      <c r="B110" s="120"/>
      <c r="C110" s="120"/>
      <c r="D110" s="120"/>
      <c r="E110" s="104">
        <v>8</v>
      </c>
      <c r="F110" s="89">
        <v>8</v>
      </c>
      <c r="G110" s="89">
        <v>8</v>
      </c>
      <c r="H110" s="89">
        <v>8</v>
      </c>
      <c r="I110" s="89">
        <v>8</v>
      </c>
      <c r="J110" s="89">
        <v>8</v>
      </c>
      <c r="K110" s="89">
        <v>8</v>
      </c>
      <c r="L110" s="104">
        <v>8</v>
      </c>
      <c r="M110" s="89">
        <v>8</v>
      </c>
      <c r="N110" s="89">
        <v>8</v>
      </c>
      <c r="O110" s="89">
        <v>8</v>
      </c>
      <c r="P110" s="89">
        <v>8</v>
      </c>
      <c r="Q110" s="89">
        <v>8</v>
      </c>
      <c r="R110" s="89">
        <v>8</v>
      </c>
      <c r="S110" s="104">
        <v>8</v>
      </c>
      <c r="T110" s="89">
        <v>8</v>
      </c>
      <c r="U110" s="89">
        <v>8</v>
      </c>
      <c r="V110" s="89">
        <v>8</v>
      </c>
      <c r="W110" s="89">
        <v>8</v>
      </c>
      <c r="X110" s="89">
        <v>8</v>
      </c>
      <c r="Y110" s="89">
        <v>8</v>
      </c>
      <c r="Z110" s="104">
        <v>8</v>
      </c>
      <c r="AA110" s="89">
        <v>8</v>
      </c>
      <c r="AB110" s="89">
        <v>8</v>
      </c>
      <c r="AC110" s="89">
        <v>8</v>
      </c>
      <c r="AD110" s="89">
        <v>8</v>
      </c>
      <c r="AE110" s="89">
        <v>8</v>
      </c>
      <c r="AF110" s="89">
        <v>8</v>
      </c>
      <c r="AG110" s="104">
        <v>8</v>
      </c>
      <c r="AH110" s="89">
        <v>8</v>
      </c>
      <c r="AI110" s="89">
        <v>8</v>
      </c>
      <c r="AJ110" s="89">
        <v>8</v>
      </c>
      <c r="AK110" s="89">
        <v>8</v>
      </c>
      <c r="AL110" s="89">
        <v>8</v>
      </c>
      <c r="AM110" s="89">
        <v>8</v>
      </c>
      <c r="AN110" s="104">
        <v>8</v>
      </c>
      <c r="AO110" s="89">
        <v>8</v>
      </c>
      <c r="AP110" s="89">
        <v>8</v>
      </c>
      <c r="AQ110" s="89">
        <v>8</v>
      </c>
      <c r="AR110" s="89">
        <v>8</v>
      </c>
      <c r="AS110" s="89">
        <v>8</v>
      </c>
      <c r="AT110" s="89">
        <v>8</v>
      </c>
      <c r="AU110" s="20"/>
      <c r="AV110" s="20"/>
      <c r="AW110" s="20"/>
      <c r="AX110" s="20"/>
      <c r="AY110" s="20"/>
      <c r="AZ110" s="20"/>
      <c r="BA110" s="20"/>
    </row>
    <row r="111" spans="1:53" ht="14.1" customHeight="1" x14ac:dyDescent="0.25">
      <c r="A111" s="116" t="s">
        <v>46</v>
      </c>
      <c r="B111" s="117"/>
      <c r="C111" s="117"/>
      <c r="D111" s="117"/>
      <c r="E111" s="72">
        <f>E110-E109</f>
        <v>8</v>
      </c>
      <c r="F111" s="73">
        <f t="shared" ref="F111" si="18">F110-F109</f>
        <v>8</v>
      </c>
      <c r="G111" s="73">
        <f t="shared" ref="G111" si="19">G110-G109</f>
        <v>8</v>
      </c>
      <c r="H111" s="73">
        <f t="shared" ref="H111" si="20">H110-H109</f>
        <v>8</v>
      </c>
      <c r="I111" s="73">
        <f t="shared" ref="I111" si="21">I110-I109</f>
        <v>8</v>
      </c>
      <c r="J111" s="73">
        <f t="shared" ref="J111" si="22">J110-J109</f>
        <v>8</v>
      </c>
      <c r="K111" s="73">
        <f t="shared" ref="K111" si="23">K110-K109</f>
        <v>8</v>
      </c>
      <c r="L111" s="72">
        <f>L110-L109</f>
        <v>8</v>
      </c>
      <c r="M111" s="73">
        <f t="shared" ref="M111" si="24">M110-M109</f>
        <v>8</v>
      </c>
      <c r="N111" s="73">
        <f t="shared" ref="N111" si="25">N110-N109</f>
        <v>8</v>
      </c>
      <c r="O111" s="73">
        <f t="shared" ref="O111" si="26">O110-O109</f>
        <v>8</v>
      </c>
      <c r="P111" s="73">
        <f t="shared" ref="P111" si="27">P110-P109</f>
        <v>8</v>
      </c>
      <c r="Q111" s="73">
        <f t="shared" ref="Q111" si="28">Q110-Q109</f>
        <v>8</v>
      </c>
      <c r="R111" s="73">
        <f t="shared" ref="R111" si="29">R110-R109</f>
        <v>8</v>
      </c>
      <c r="S111" s="72">
        <f>S110-S109</f>
        <v>8</v>
      </c>
      <c r="T111" s="73">
        <f t="shared" ref="T111" si="30">T110-T109</f>
        <v>8</v>
      </c>
      <c r="U111" s="73">
        <f t="shared" ref="U111" si="31">U110-U109</f>
        <v>8</v>
      </c>
      <c r="V111" s="73">
        <f t="shared" ref="V111" si="32">V110-V109</f>
        <v>8</v>
      </c>
      <c r="W111" s="73">
        <f t="shared" ref="W111" si="33">W110-W109</f>
        <v>8</v>
      </c>
      <c r="X111" s="73">
        <f t="shared" ref="X111" si="34">X110-X109</f>
        <v>8</v>
      </c>
      <c r="Y111" s="73">
        <f t="shared" ref="Y111" si="35">Y110-Y109</f>
        <v>8</v>
      </c>
      <c r="Z111" s="72">
        <f>Z110-Z109</f>
        <v>8</v>
      </c>
      <c r="AA111" s="73">
        <f t="shared" ref="AA111" si="36">AA110-AA109</f>
        <v>8</v>
      </c>
      <c r="AB111" s="73">
        <f t="shared" ref="AB111" si="37">AB110-AB109</f>
        <v>8</v>
      </c>
      <c r="AC111" s="73">
        <f t="shared" ref="AC111" si="38">AC110-AC109</f>
        <v>8</v>
      </c>
      <c r="AD111" s="73">
        <f t="shared" ref="AD111" si="39">AD110-AD109</f>
        <v>8</v>
      </c>
      <c r="AE111" s="73">
        <f t="shared" ref="AE111" si="40">AE110-AE109</f>
        <v>8</v>
      </c>
      <c r="AF111" s="73">
        <f t="shared" ref="AF111" si="41">AF110-AF109</f>
        <v>8</v>
      </c>
      <c r="AG111" s="72">
        <f>AG110-AG109</f>
        <v>8</v>
      </c>
      <c r="AH111" s="73">
        <f t="shared" ref="AH111:AM111" si="42">AH110-AH109</f>
        <v>8</v>
      </c>
      <c r="AI111" s="73">
        <f t="shared" si="42"/>
        <v>8</v>
      </c>
      <c r="AJ111" s="73">
        <f t="shared" si="42"/>
        <v>8</v>
      </c>
      <c r="AK111" s="73">
        <f t="shared" si="42"/>
        <v>8</v>
      </c>
      <c r="AL111" s="73">
        <f t="shared" si="42"/>
        <v>8</v>
      </c>
      <c r="AM111" s="73">
        <f t="shared" si="42"/>
        <v>8</v>
      </c>
      <c r="AN111" s="72">
        <f>AN110-AN109</f>
        <v>8</v>
      </c>
      <c r="AO111" s="73">
        <f t="shared" ref="AO111:AT111" si="43">AO110-AO109</f>
        <v>8</v>
      </c>
      <c r="AP111" s="73">
        <f t="shared" si="43"/>
        <v>8</v>
      </c>
      <c r="AQ111" s="73">
        <f t="shared" si="43"/>
        <v>8</v>
      </c>
      <c r="AR111" s="73">
        <f t="shared" si="43"/>
        <v>8</v>
      </c>
      <c r="AS111" s="73">
        <f t="shared" si="43"/>
        <v>8</v>
      </c>
      <c r="AT111" s="73">
        <f t="shared" si="43"/>
        <v>8</v>
      </c>
      <c r="AU111" s="20"/>
      <c r="AV111" s="20"/>
      <c r="AW111" s="20"/>
      <c r="AX111" s="20"/>
      <c r="AY111" s="20"/>
      <c r="AZ111" s="20"/>
      <c r="BA111" s="20"/>
    </row>
    <row r="112" spans="1:53" ht="14.1" customHeight="1" x14ac:dyDescent="0.25">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c r="AP112" s="20"/>
      <c r="AQ112" s="20"/>
      <c r="AR112" s="20"/>
      <c r="AS112" s="20"/>
      <c r="AT112" s="20"/>
      <c r="AU112" s="37"/>
      <c r="AV112" s="37"/>
      <c r="AW112" s="37"/>
      <c r="AX112" s="37"/>
      <c r="AY112" s="37"/>
      <c r="AZ112" s="37"/>
      <c r="BA112" s="20"/>
    </row>
    <row r="113" spans="1:53" ht="14.1" customHeight="1" x14ac:dyDescent="0.25">
      <c r="A113" s="20"/>
      <c r="B113" s="20"/>
      <c r="C113" s="110" t="s">
        <v>57</v>
      </c>
      <c r="D113" s="110"/>
      <c r="E113" s="121">
        <f>E5</f>
        <v>44067</v>
      </c>
      <c r="F113" s="121"/>
      <c r="G113" s="121"/>
      <c r="H113" s="121"/>
      <c r="I113" s="121"/>
      <c r="J113" s="121"/>
      <c r="K113" s="121"/>
      <c r="L113" s="121">
        <f>L5</f>
        <v>44074</v>
      </c>
      <c r="M113" s="121"/>
      <c r="N113" s="121"/>
      <c r="O113" s="121"/>
      <c r="P113" s="121"/>
      <c r="Q113" s="121"/>
      <c r="R113" s="121"/>
      <c r="S113" s="121">
        <f>S5</f>
        <v>44081</v>
      </c>
      <c r="T113" s="121"/>
      <c r="U113" s="121"/>
      <c r="V113" s="121"/>
      <c r="W113" s="121"/>
      <c r="X113" s="121"/>
      <c r="Y113" s="121"/>
      <c r="Z113" s="121">
        <f>Z5</f>
        <v>44088</v>
      </c>
      <c r="AA113" s="121"/>
      <c r="AB113" s="121"/>
      <c r="AC113" s="121"/>
      <c r="AD113" s="121"/>
      <c r="AE113" s="121"/>
      <c r="AF113" s="121"/>
      <c r="AG113" s="121">
        <f>AG5</f>
        <v>44095</v>
      </c>
      <c r="AH113" s="121"/>
      <c r="AI113" s="121"/>
      <c r="AJ113" s="121"/>
      <c r="AK113" s="121"/>
      <c r="AL113" s="121"/>
      <c r="AM113" s="121"/>
      <c r="AN113" s="121">
        <f>AN5</f>
        <v>44102</v>
      </c>
      <c r="AO113" s="121"/>
      <c r="AP113" s="121"/>
      <c r="AQ113" s="121"/>
      <c r="AR113" s="121"/>
      <c r="AS113" s="121"/>
      <c r="AT113" s="121"/>
      <c r="AU113" s="36">
        <f>E113</f>
        <v>44067</v>
      </c>
      <c r="AV113" s="36">
        <f>L113</f>
        <v>44074</v>
      </c>
      <c r="AW113" s="36">
        <f>S113</f>
        <v>44081</v>
      </c>
      <c r="AX113" s="36">
        <f>Z113</f>
        <v>44088</v>
      </c>
      <c r="AY113" s="36">
        <f>AG113</f>
        <v>44095</v>
      </c>
      <c r="AZ113" s="36">
        <f>AN113</f>
        <v>44102</v>
      </c>
      <c r="BA113" s="20"/>
    </row>
    <row r="114" spans="1:53" ht="14.1" customHeight="1" x14ac:dyDescent="0.25">
      <c r="A114" s="18"/>
      <c r="B114" s="19"/>
      <c r="C114" s="18"/>
      <c r="D114" s="18"/>
      <c r="E114" s="83" t="str">
        <f>DAY($E$5)&amp;IF(AND(MOD(ABS(DAY($E$5)),100)&gt;10,MOD(ABS(DAY($E$5)),100)&lt;14),"th",CHOOSE(MOD(ABS(DAY($E$5)),10)+1,"th","st","nd","rd","th","th","th","th","th","th"))</f>
        <v>24th</v>
      </c>
      <c r="F114" s="84" t="str">
        <f>DAY($E$5+COLUMN()-5)&amp;IF(AND(MOD(ABS(DAY($E$5+COLUMN()-5)),100)&gt;10,MOD(ABS(DAY($E$5+COLUMN()-5)),100)&lt;14),"th",CHOOSE(MOD(ABS(DAY($E$5+COLUMN()-5)),10)+1,"th","st","nd","rd","th","th","th","th","th","th"))</f>
        <v>25th</v>
      </c>
      <c r="G114" s="84" t="str">
        <f t="shared" ref="G114:AT114" si="44">DAY($E$5+COLUMN()-5)&amp;IF(AND(MOD(ABS(DAY($E$5+COLUMN()-5)),100)&gt;10,MOD(ABS(DAY($E$5+COLUMN()-5)),100)&lt;14),"th",CHOOSE(MOD(ABS(DAY($E$5+COLUMN()-5)),10)+1,"th","st","nd","rd","th","th","th","th","th","th"))</f>
        <v>26th</v>
      </c>
      <c r="H114" s="84" t="str">
        <f t="shared" si="44"/>
        <v>27th</v>
      </c>
      <c r="I114" s="84" t="str">
        <f t="shared" si="44"/>
        <v>28th</v>
      </c>
      <c r="J114" s="84" t="str">
        <f t="shared" si="44"/>
        <v>29th</v>
      </c>
      <c r="K114" s="84" t="str">
        <f t="shared" si="44"/>
        <v>30th</v>
      </c>
      <c r="L114" s="84" t="str">
        <f t="shared" si="44"/>
        <v>31st</v>
      </c>
      <c r="M114" s="84" t="str">
        <f t="shared" si="44"/>
        <v>1st</v>
      </c>
      <c r="N114" s="84" t="str">
        <f t="shared" si="44"/>
        <v>2nd</v>
      </c>
      <c r="O114" s="84" t="str">
        <f t="shared" si="44"/>
        <v>3rd</v>
      </c>
      <c r="P114" s="84" t="str">
        <f t="shared" si="44"/>
        <v>4th</v>
      </c>
      <c r="Q114" s="84" t="str">
        <f t="shared" si="44"/>
        <v>5th</v>
      </c>
      <c r="R114" s="84" t="str">
        <f t="shared" si="44"/>
        <v>6th</v>
      </c>
      <c r="S114" s="84" t="str">
        <f t="shared" si="44"/>
        <v>7th</v>
      </c>
      <c r="T114" s="84" t="str">
        <f t="shared" si="44"/>
        <v>8th</v>
      </c>
      <c r="U114" s="84" t="str">
        <f t="shared" si="44"/>
        <v>9th</v>
      </c>
      <c r="V114" s="84" t="str">
        <f t="shared" si="44"/>
        <v>10th</v>
      </c>
      <c r="W114" s="84" t="str">
        <f t="shared" si="44"/>
        <v>11th</v>
      </c>
      <c r="X114" s="84" t="str">
        <f t="shared" si="44"/>
        <v>12th</v>
      </c>
      <c r="Y114" s="84" t="str">
        <f t="shared" si="44"/>
        <v>13th</v>
      </c>
      <c r="Z114" s="84" t="str">
        <f t="shared" si="44"/>
        <v>14th</v>
      </c>
      <c r="AA114" s="84" t="str">
        <f t="shared" si="44"/>
        <v>15th</v>
      </c>
      <c r="AB114" s="84" t="str">
        <f t="shared" si="44"/>
        <v>16th</v>
      </c>
      <c r="AC114" s="84" t="str">
        <f t="shared" si="44"/>
        <v>17th</v>
      </c>
      <c r="AD114" s="84" t="str">
        <f t="shared" si="44"/>
        <v>18th</v>
      </c>
      <c r="AE114" s="84" t="str">
        <f t="shared" si="44"/>
        <v>19th</v>
      </c>
      <c r="AF114" s="84" t="str">
        <f t="shared" si="44"/>
        <v>20th</v>
      </c>
      <c r="AG114" s="84" t="str">
        <f t="shared" si="44"/>
        <v>21st</v>
      </c>
      <c r="AH114" s="84" t="str">
        <f t="shared" si="44"/>
        <v>22nd</v>
      </c>
      <c r="AI114" s="84" t="str">
        <f t="shared" si="44"/>
        <v>23rd</v>
      </c>
      <c r="AJ114" s="84" t="str">
        <f t="shared" si="44"/>
        <v>24th</v>
      </c>
      <c r="AK114" s="84" t="str">
        <f t="shared" si="44"/>
        <v>25th</v>
      </c>
      <c r="AL114" s="84" t="str">
        <f t="shared" si="44"/>
        <v>26th</v>
      </c>
      <c r="AM114" s="84" t="str">
        <f t="shared" si="44"/>
        <v>27th</v>
      </c>
      <c r="AN114" s="84" t="str">
        <f t="shared" si="44"/>
        <v>28th</v>
      </c>
      <c r="AO114" s="84" t="str">
        <f t="shared" si="44"/>
        <v>29th</v>
      </c>
      <c r="AP114" s="84" t="str">
        <f t="shared" si="44"/>
        <v>30th</v>
      </c>
      <c r="AQ114" s="84" t="str">
        <f t="shared" si="44"/>
        <v>1st</v>
      </c>
      <c r="AR114" s="84" t="str">
        <f t="shared" si="44"/>
        <v>2nd</v>
      </c>
      <c r="AS114" s="84" t="str">
        <f t="shared" si="44"/>
        <v>3rd</v>
      </c>
      <c r="AT114" s="84" t="str">
        <f t="shared" si="44"/>
        <v>4th</v>
      </c>
      <c r="AU114" s="29"/>
      <c r="AV114" s="29"/>
      <c r="AW114" s="29"/>
      <c r="AX114" s="29"/>
      <c r="AY114" s="29"/>
      <c r="AZ114" s="29"/>
      <c r="BA114" s="20"/>
    </row>
    <row r="115" spans="1:53" ht="14.1" customHeight="1" x14ac:dyDescent="0.25">
      <c r="A115" s="9" t="s">
        <v>42</v>
      </c>
      <c r="B115" s="21" t="s">
        <v>38</v>
      </c>
      <c r="C115" s="21"/>
      <c r="D115" s="21" t="s">
        <v>23</v>
      </c>
      <c r="E115" s="21" t="str">
        <f>INDEX(Lists!$F$5:$H$5,MATCH(Lists!$H$3,Lists!$F$4:$H$4,0))</f>
        <v>M</v>
      </c>
      <c r="F115" s="21" t="str">
        <f>INDEX(Lists!$F$6:$H$6,MATCH(Lists!$H$3,Lists!$F$4:$H$4,0))</f>
        <v>T</v>
      </c>
      <c r="G115" s="21" t="str">
        <f>INDEX(Lists!$F$7:$H$7,MATCH(Lists!$H$3,Lists!$F$4:$H$4,0))</f>
        <v>W</v>
      </c>
      <c r="H115" s="21" t="str">
        <f>INDEX(Lists!$F$8:$H$8,MATCH(Lists!$H$3,Lists!$F$4:$H$4,0))</f>
        <v>R</v>
      </c>
      <c r="I115" s="21" t="str">
        <f>INDEX(Lists!$F$9:$H$9,MATCH(Lists!$H$3,Lists!$F$4:$H$4,0))</f>
        <v>F</v>
      </c>
      <c r="J115" s="21" t="str">
        <f>INDEX(Lists!$F$10:$H$10,MATCH(Lists!$H$3,Lists!$F$4:$H$4,0))</f>
        <v>S</v>
      </c>
      <c r="K115" s="21" t="str">
        <f>INDEX(Lists!$F$11:$H$11,MATCH(Lists!$H$3,Lists!$F$4:$H$4,0))</f>
        <v>U</v>
      </c>
      <c r="L115" s="21" t="str">
        <f>INDEX(Lists!$F$5:$H$5,MATCH(Lists!$H$3,Lists!$F$4:$H$4,0))</f>
        <v>M</v>
      </c>
      <c r="M115" s="21" t="str">
        <f>INDEX(Lists!$F$6:$H$6,MATCH(Lists!$H$3,Lists!$F$4:$H$4,0))</f>
        <v>T</v>
      </c>
      <c r="N115" s="21" t="str">
        <f>INDEX(Lists!$F$7:$H$7,MATCH(Lists!$H$3,Lists!$F$4:$H$4,0))</f>
        <v>W</v>
      </c>
      <c r="O115" s="21" t="str">
        <f>INDEX(Lists!$F$8:$H$8,MATCH(Lists!$H$3,Lists!$F$4:$H$4,0))</f>
        <v>R</v>
      </c>
      <c r="P115" s="21" t="str">
        <f>INDEX(Lists!$F$9:$H$9,MATCH(Lists!$H$3,Lists!$F$4:$H$4,0))</f>
        <v>F</v>
      </c>
      <c r="Q115" s="21" t="str">
        <f>INDEX(Lists!$F$10:$H$10,MATCH(Lists!$H$3,Lists!$F$4:$H$4,0))</f>
        <v>S</v>
      </c>
      <c r="R115" s="21" t="str">
        <f>INDEX(Lists!$F$11:$H$11,MATCH(Lists!$H$3,Lists!$F$4:$H$4,0))</f>
        <v>U</v>
      </c>
      <c r="S115" s="21" t="str">
        <f>INDEX(Lists!$F$5:$H$5,MATCH(Lists!$H$3,Lists!$F$4:$H$4,0))</f>
        <v>M</v>
      </c>
      <c r="T115" s="21" t="str">
        <f>INDEX(Lists!$F$6:$H$6,MATCH(Lists!$H$3,Lists!$F$4:$H$4,0))</f>
        <v>T</v>
      </c>
      <c r="U115" s="21" t="str">
        <f>INDEX(Lists!$F$7:$H$7,MATCH(Lists!$H$3,Lists!$F$4:$H$4,0))</f>
        <v>W</v>
      </c>
      <c r="V115" s="21" t="str">
        <f>INDEX(Lists!$F$8:$H$8,MATCH(Lists!$H$3,Lists!$F$4:$H$4,0))</f>
        <v>R</v>
      </c>
      <c r="W115" s="21" t="str">
        <f>INDEX(Lists!$F$9:$H$9,MATCH(Lists!$H$3,Lists!$F$4:$H$4,0))</f>
        <v>F</v>
      </c>
      <c r="X115" s="21" t="str">
        <f>INDEX(Lists!$F$10:$H$10,MATCH(Lists!$H$3,Lists!$F$4:$H$4,0))</f>
        <v>S</v>
      </c>
      <c r="Y115" s="21" t="str">
        <f>INDEX(Lists!$F$11:$H$11,MATCH(Lists!$H$3,Lists!$F$4:$H$4,0))</f>
        <v>U</v>
      </c>
      <c r="Z115" s="21" t="str">
        <f>INDEX(Lists!$F$5:$H$5,MATCH(Lists!$H$3,Lists!$F$4:$H$4,0))</f>
        <v>M</v>
      </c>
      <c r="AA115" s="21" t="str">
        <f>INDEX(Lists!$F$6:$H$6,MATCH(Lists!$H$3,Lists!$F$4:$H$4,0))</f>
        <v>T</v>
      </c>
      <c r="AB115" s="21" t="str">
        <f>INDEX(Lists!$F$7:$H$7,MATCH(Lists!$H$3,Lists!$F$4:$H$4,0))</f>
        <v>W</v>
      </c>
      <c r="AC115" s="21" t="str">
        <f>INDEX(Lists!$F$8:$H$8,MATCH(Lists!$H$3,Lists!$F$4:$H$4,0))</f>
        <v>R</v>
      </c>
      <c r="AD115" s="21" t="str">
        <f>INDEX(Lists!$F$9:$H$9,MATCH(Lists!$H$3,Lists!$F$4:$H$4,0))</f>
        <v>F</v>
      </c>
      <c r="AE115" s="21" t="str">
        <f>INDEX(Lists!$F$10:$H$10,MATCH(Lists!$H$3,Lists!$F$4:$H$4,0))</f>
        <v>S</v>
      </c>
      <c r="AF115" s="21" t="str">
        <f>INDEX(Lists!$F$11:$H$11,MATCH(Lists!$H$3,Lists!$F$4:$H$4,0))</f>
        <v>U</v>
      </c>
      <c r="AG115" s="30" t="str">
        <f>INDEX(Lists!$F$5:$H$5,MATCH(Lists!$H$3,Lists!$F$4:$H$4,0))</f>
        <v>M</v>
      </c>
      <c r="AH115" s="30" t="str">
        <f>INDEX(Lists!$F$6:$H$6,MATCH(Lists!$H$3,Lists!$F$4:$H$4,0))</f>
        <v>T</v>
      </c>
      <c r="AI115" s="30" t="str">
        <f>INDEX(Lists!$F$7:$H$7,MATCH(Lists!$H$3,Lists!$F$4:$H$4,0))</f>
        <v>W</v>
      </c>
      <c r="AJ115" s="30" t="str">
        <f>INDEX(Lists!$F$8:$H$8,MATCH(Lists!$H$3,Lists!$F$4:$H$4,0))</f>
        <v>R</v>
      </c>
      <c r="AK115" s="30" t="str">
        <f>INDEX(Lists!$F$9:$H$9,MATCH(Lists!$H$3,Lists!$F$4:$H$4,0))</f>
        <v>F</v>
      </c>
      <c r="AL115" s="30" t="str">
        <f>INDEX(Lists!$F$10:$H$10,MATCH(Lists!$H$3,Lists!$F$4:$H$4,0))</f>
        <v>S</v>
      </c>
      <c r="AM115" s="30" t="str">
        <f>INDEX(Lists!$F$11:$H$11,MATCH(Lists!$H$3,Lists!$F$4:$H$4,0))</f>
        <v>U</v>
      </c>
      <c r="AN115" s="30" t="str">
        <f>INDEX(Lists!$F$5:$H$5,MATCH(Lists!$H$3,Lists!$F$4:$H$4,0))</f>
        <v>M</v>
      </c>
      <c r="AO115" s="30" t="str">
        <f>INDEX(Lists!$F$6:$H$6,MATCH(Lists!$H$3,Lists!$F$4:$H$4,0))</f>
        <v>T</v>
      </c>
      <c r="AP115" s="30" t="str">
        <f>INDEX(Lists!$F$7:$H$7,MATCH(Lists!$H$3,Lists!$F$4:$H$4,0))</f>
        <v>W</v>
      </c>
      <c r="AQ115" s="30" t="str">
        <f>INDEX(Lists!$F$8:$H$8,MATCH(Lists!$H$3,Lists!$F$4:$H$4,0))</f>
        <v>R</v>
      </c>
      <c r="AR115" s="30" t="str">
        <f>INDEX(Lists!$F$9:$H$9,MATCH(Lists!$H$3,Lists!$F$4:$H$4,0))</f>
        <v>F</v>
      </c>
      <c r="AS115" s="30" t="str">
        <f>INDEX(Lists!$F$10:$H$10,MATCH(Lists!$H$3,Lists!$F$4:$H$4,0))</f>
        <v>S</v>
      </c>
      <c r="AT115" s="30" t="str">
        <f>INDEX(Lists!$F$11:$H$11,MATCH(Lists!$H$3,Lists!$F$4:$H$4,0))</f>
        <v>U</v>
      </c>
      <c r="AU115" s="29"/>
      <c r="AV115" s="29"/>
      <c r="AW115" s="29"/>
      <c r="AX115" s="29"/>
      <c r="AY115" s="29"/>
      <c r="AZ115" s="29"/>
      <c r="BA115" s="20"/>
    </row>
    <row r="116" spans="1:53" ht="14.1" customHeight="1" x14ac:dyDescent="0.25">
      <c r="A116" s="89"/>
      <c r="B116" s="101"/>
      <c r="C116" s="101"/>
      <c r="D116" s="103">
        <f>COUNTA(IF(Settings!$D$14 = TRUE,E116:AT116,$E116:$AF116))</f>
        <v>0</v>
      </c>
      <c r="E116" s="90"/>
      <c r="F116" s="91"/>
      <c r="G116" s="91"/>
      <c r="H116" s="91"/>
      <c r="I116" s="91"/>
      <c r="J116" s="91"/>
      <c r="K116" s="92"/>
      <c r="L116" s="90"/>
      <c r="M116" s="91"/>
      <c r="N116" s="91"/>
      <c r="O116" s="91"/>
      <c r="P116" s="91"/>
      <c r="Q116" s="91"/>
      <c r="R116" s="92"/>
      <c r="S116" s="90"/>
      <c r="T116" s="91"/>
      <c r="U116" s="91"/>
      <c r="V116" s="91"/>
      <c r="W116" s="91"/>
      <c r="X116" s="91"/>
      <c r="Y116" s="92"/>
      <c r="Z116" s="90"/>
      <c r="AA116" s="91"/>
      <c r="AB116" s="91"/>
      <c r="AC116" s="91"/>
      <c r="AD116" s="91"/>
      <c r="AE116" s="91"/>
      <c r="AF116" s="93"/>
      <c r="AG116" s="90"/>
      <c r="AH116" s="91"/>
      <c r="AI116" s="91"/>
      <c r="AJ116" s="91"/>
      <c r="AK116" s="91"/>
      <c r="AL116" s="91"/>
      <c r="AM116" s="93"/>
      <c r="AN116" s="90"/>
      <c r="AO116" s="91"/>
      <c r="AP116" s="91"/>
      <c r="AQ116" s="91"/>
      <c r="AR116" s="91"/>
      <c r="AS116" s="91"/>
      <c r="AT116" s="93"/>
      <c r="AU116" s="37">
        <f>SUM($E116:$K116)</f>
        <v>0</v>
      </c>
      <c r="AV116" s="37">
        <f>SUM($L116:$R116)</f>
        <v>0</v>
      </c>
      <c r="AW116" s="37">
        <f>SUM($S116:$Y116)</f>
        <v>0</v>
      </c>
      <c r="AX116" s="37">
        <f>SUM($Z116:$AF116)</f>
        <v>0</v>
      </c>
      <c r="AY116" s="37">
        <f>SUM($AG116:$AM116)</f>
        <v>0</v>
      </c>
      <c r="AZ116" s="37">
        <f>SUM($AN116:$AT116)</f>
        <v>0</v>
      </c>
      <c r="BA116" s="20"/>
    </row>
    <row r="117" spans="1:53" ht="14.1" customHeight="1" x14ac:dyDescent="0.25">
      <c r="A117" s="89"/>
      <c r="B117" s="101"/>
      <c r="C117" s="101"/>
      <c r="D117" s="103">
        <f>COUNTA(IF(Settings!$D$14 = TRUE,E117:AT117,$E117:$AF117))</f>
        <v>0</v>
      </c>
      <c r="E117" s="90"/>
      <c r="F117" s="91"/>
      <c r="G117" s="91"/>
      <c r="H117" s="91"/>
      <c r="I117" s="91"/>
      <c r="J117" s="91"/>
      <c r="K117" s="92"/>
      <c r="L117" s="90"/>
      <c r="M117" s="91"/>
      <c r="N117" s="91"/>
      <c r="O117" s="91"/>
      <c r="P117" s="91"/>
      <c r="Q117" s="91"/>
      <c r="R117" s="92"/>
      <c r="S117" s="90"/>
      <c r="T117" s="91"/>
      <c r="U117" s="91"/>
      <c r="V117" s="91"/>
      <c r="W117" s="91"/>
      <c r="X117" s="91"/>
      <c r="Y117" s="92"/>
      <c r="Z117" s="90"/>
      <c r="AA117" s="91"/>
      <c r="AB117" s="91"/>
      <c r="AC117" s="91"/>
      <c r="AD117" s="91"/>
      <c r="AE117" s="91"/>
      <c r="AF117" s="93"/>
      <c r="AG117" s="90"/>
      <c r="AH117" s="91"/>
      <c r="AI117" s="91"/>
      <c r="AJ117" s="91"/>
      <c r="AK117" s="91"/>
      <c r="AL117" s="91"/>
      <c r="AM117" s="93"/>
      <c r="AN117" s="90"/>
      <c r="AO117" s="91"/>
      <c r="AP117" s="91"/>
      <c r="AQ117" s="91"/>
      <c r="AR117" s="91"/>
      <c r="AS117" s="91"/>
      <c r="AT117" s="93"/>
      <c r="AU117" s="37">
        <f t="shared" ref="AU117:AU180" si="45">SUM($E117:$K117)</f>
        <v>0</v>
      </c>
      <c r="AV117" s="37">
        <f t="shared" ref="AV117:AV180" si="46">SUM($L117:$R117)</f>
        <v>0</v>
      </c>
      <c r="AW117" s="37">
        <f t="shared" ref="AW117:AW180" si="47">SUM($S117:$Y117)</f>
        <v>0</v>
      </c>
      <c r="AX117" s="37">
        <f t="shared" ref="AX117:AX180" si="48">SUM($Z117:$AF117)</f>
        <v>0</v>
      </c>
      <c r="AY117" s="37">
        <f t="shared" ref="AY117:AY180" si="49">SUM($AG117:$AM117)</f>
        <v>0</v>
      </c>
      <c r="AZ117" s="37">
        <f t="shared" ref="AZ117:AZ180" si="50">SUM($AN117:$AT117)</f>
        <v>0</v>
      </c>
      <c r="BA117" s="20"/>
    </row>
    <row r="118" spans="1:53" ht="14.1" customHeight="1" x14ac:dyDescent="0.25">
      <c r="A118" s="89"/>
      <c r="B118" s="101"/>
      <c r="C118" s="101"/>
      <c r="D118" s="103">
        <f>COUNTA(IF(Settings!$D$14 = TRUE,E118:AT118,$E118:$AF118))</f>
        <v>0</v>
      </c>
      <c r="E118" s="90"/>
      <c r="F118" s="91"/>
      <c r="G118" s="91"/>
      <c r="H118" s="91"/>
      <c r="I118" s="91"/>
      <c r="J118" s="91"/>
      <c r="K118" s="92"/>
      <c r="L118" s="90"/>
      <c r="M118" s="91"/>
      <c r="N118" s="91"/>
      <c r="O118" s="91"/>
      <c r="P118" s="91"/>
      <c r="Q118" s="91"/>
      <c r="R118" s="92"/>
      <c r="S118" s="90"/>
      <c r="T118" s="91"/>
      <c r="U118" s="91"/>
      <c r="V118" s="91"/>
      <c r="W118" s="91"/>
      <c r="X118" s="91"/>
      <c r="Y118" s="92"/>
      <c r="Z118" s="90"/>
      <c r="AA118" s="91"/>
      <c r="AB118" s="91"/>
      <c r="AC118" s="91"/>
      <c r="AD118" s="91"/>
      <c r="AE118" s="91"/>
      <c r="AF118" s="93"/>
      <c r="AG118" s="90"/>
      <c r="AH118" s="91"/>
      <c r="AI118" s="91"/>
      <c r="AJ118" s="91"/>
      <c r="AK118" s="91"/>
      <c r="AL118" s="91"/>
      <c r="AM118" s="93"/>
      <c r="AN118" s="90"/>
      <c r="AO118" s="91"/>
      <c r="AP118" s="91"/>
      <c r="AQ118" s="91"/>
      <c r="AR118" s="91"/>
      <c r="AS118" s="91"/>
      <c r="AT118" s="93"/>
      <c r="AU118" s="37">
        <f t="shared" si="45"/>
        <v>0</v>
      </c>
      <c r="AV118" s="37">
        <f t="shared" si="46"/>
        <v>0</v>
      </c>
      <c r="AW118" s="37">
        <f t="shared" si="47"/>
        <v>0</v>
      </c>
      <c r="AX118" s="37">
        <f t="shared" si="48"/>
        <v>0</v>
      </c>
      <c r="AY118" s="37">
        <f t="shared" si="49"/>
        <v>0</v>
      </c>
      <c r="AZ118" s="37">
        <f t="shared" si="50"/>
        <v>0</v>
      </c>
      <c r="BA118" s="20"/>
    </row>
    <row r="119" spans="1:53" ht="14.1" customHeight="1" x14ac:dyDescent="0.25">
      <c r="A119" s="89"/>
      <c r="B119" s="101" t="str" cm="1">
        <f t="array" ref="B119">_xlfn.IFNA(INDEX(Employees[Employment Type],MATCH(Schedule!A119:A119,Employees[Employee Names],0)),"")</f>
        <v/>
      </c>
      <c r="C119" s="101" t="str">
        <f>_xlfn.IFNA(INDEX(Employees[Employee Role],MATCH(Schedule!A119,Employees[Employee Names],0)),"")</f>
        <v/>
      </c>
      <c r="D119" s="103">
        <f>COUNTA(IF(Settings!$D$14 = TRUE,E119:AT119,$E119:$AF119))</f>
        <v>0</v>
      </c>
      <c r="E119" s="90"/>
      <c r="F119" s="91"/>
      <c r="G119" s="91"/>
      <c r="H119" s="91"/>
      <c r="I119" s="91"/>
      <c r="J119" s="91"/>
      <c r="K119" s="92"/>
      <c r="L119" s="90"/>
      <c r="M119" s="91"/>
      <c r="N119" s="91"/>
      <c r="O119" s="91"/>
      <c r="P119" s="91"/>
      <c r="Q119" s="91"/>
      <c r="R119" s="92"/>
      <c r="S119" s="90"/>
      <c r="T119" s="91"/>
      <c r="U119" s="91"/>
      <c r="V119" s="91"/>
      <c r="W119" s="91"/>
      <c r="X119" s="91"/>
      <c r="Y119" s="92"/>
      <c r="Z119" s="90"/>
      <c r="AA119" s="91"/>
      <c r="AB119" s="91"/>
      <c r="AC119" s="91"/>
      <c r="AD119" s="91"/>
      <c r="AE119" s="91"/>
      <c r="AF119" s="93"/>
      <c r="AG119" s="90"/>
      <c r="AH119" s="91"/>
      <c r="AI119" s="91"/>
      <c r="AJ119" s="91"/>
      <c r="AK119" s="91"/>
      <c r="AL119" s="91"/>
      <c r="AM119" s="93"/>
      <c r="AN119" s="90"/>
      <c r="AO119" s="91"/>
      <c r="AP119" s="91"/>
      <c r="AQ119" s="91"/>
      <c r="AR119" s="91"/>
      <c r="AS119" s="91"/>
      <c r="AT119" s="93"/>
      <c r="AU119" s="37">
        <f t="shared" si="45"/>
        <v>0</v>
      </c>
      <c r="AV119" s="37">
        <f t="shared" si="46"/>
        <v>0</v>
      </c>
      <c r="AW119" s="37">
        <f t="shared" si="47"/>
        <v>0</v>
      </c>
      <c r="AX119" s="37">
        <f t="shared" si="48"/>
        <v>0</v>
      </c>
      <c r="AY119" s="37">
        <f t="shared" si="49"/>
        <v>0</v>
      </c>
      <c r="AZ119" s="37">
        <f t="shared" si="50"/>
        <v>0</v>
      </c>
      <c r="BA119" s="20"/>
    </row>
    <row r="120" spans="1:53" ht="14.1" customHeight="1" x14ac:dyDescent="0.25">
      <c r="A120" s="89"/>
      <c r="B120" s="101" t="str" cm="1">
        <f t="array" ref="B120">_xlfn.IFNA(INDEX(Employees[Employment Type],MATCH(Schedule!A120:A120,Employees[Employee Names],0)),"")</f>
        <v/>
      </c>
      <c r="C120" s="101" t="str">
        <f>_xlfn.IFNA(INDEX(Employees[Employee Role],MATCH(Schedule!A120,Employees[Employee Names],0)),"")</f>
        <v/>
      </c>
      <c r="D120" s="103">
        <f>COUNTA(IF(Settings!$D$14 = TRUE,E120:AT120,$E120:$AF120))</f>
        <v>0</v>
      </c>
      <c r="E120" s="90"/>
      <c r="F120" s="91"/>
      <c r="G120" s="91"/>
      <c r="H120" s="91"/>
      <c r="I120" s="91"/>
      <c r="J120" s="91"/>
      <c r="K120" s="92"/>
      <c r="L120" s="90"/>
      <c r="M120" s="91"/>
      <c r="N120" s="91"/>
      <c r="O120" s="91"/>
      <c r="P120" s="91"/>
      <c r="Q120" s="91"/>
      <c r="R120" s="92"/>
      <c r="S120" s="90"/>
      <c r="T120" s="91"/>
      <c r="U120" s="91"/>
      <c r="V120" s="91"/>
      <c r="W120" s="91"/>
      <c r="X120" s="91"/>
      <c r="Y120" s="92"/>
      <c r="Z120" s="90"/>
      <c r="AA120" s="91"/>
      <c r="AB120" s="91"/>
      <c r="AC120" s="91"/>
      <c r="AD120" s="91"/>
      <c r="AE120" s="91"/>
      <c r="AF120" s="93"/>
      <c r="AG120" s="90"/>
      <c r="AH120" s="91"/>
      <c r="AI120" s="91"/>
      <c r="AJ120" s="91"/>
      <c r="AK120" s="91"/>
      <c r="AL120" s="91"/>
      <c r="AM120" s="93"/>
      <c r="AN120" s="90"/>
      <c r="AO120" s="91"/>
      <c r="AP120" s="91"/>
      <c r="AQ120" s="91"/>
      <c r="AR120" s="91"/>
      <c r="AS120" s="91"/>
      <c r="AT120" s="93"/>
      <c r="AU120" s="37">
        <f t="shared" si="45"/>
        <v>0</v>
      </c>
      <c r="AV120" s="37">
        <f t="shared" si="46"/>
        <v>0</v>
      </c>
      <c r="AW120" s="37">
        <f t="shared" si="47"/>
        <v>0</v>
      </c>
      <c r="AX120" s="37">
        <f t="shared" si="48"/>
        <v>0</v>
      </c>
      <c r="AY120" s="37">
        <f t="shared" si="49"/>
        <v>0</v>
      </c>
      <c r="AZ120" s="37">
        <f t="shared" si="50"/>
        <v>0</v>
      </c>
      <c r="BA120" s="20"/>
    </row>
    <row r="121" spans="1:53" ht="14.1" customHeight="1" x14ac:dyDescent="0.25">
      <c r="A121" s="89"/>
      <c r="B121" s="101" t="str" cm="1">
        <f t="array" ref="B121">_xlfn.IFNA(INDEX(Employees[Employment Type],MATCH(Schedule!A121:A121,Employees[Employee Names],0)),"")</f>
        <v/>
      </c>
      <c r="C121" s="101" t="str">
        <f>_xlfn.IFNA(INDEX(Employees[Employee Role],MATCH(Schedule!A121,Employees[Employee Names],0)),"")</f>
        <v/>
      </c>
      <c r="D121" s="103">
        <f>COUNTA(IF(Settings!$D$14 = TRUE,E121:AT121,$E121:$AF121))</f>
        <v>0</v>
      </c>
      <c r="E121" s="90"/>
      <c r="F121" s="91"/>
      <c r="G121" s="91"/>
      <c r="H121" s="91"/>
      <c r="I121" s="91"/>
      <c r="J121" s="91"/>
      <c r="K121" s="92"/>
      <c r="L121" s="90"/>
      <c r="M121" s="91"/>
      <c r="N121" s="91"/>
      <c r="O121" s="91"/>
      <c r="P121" s="91"/>
      <c r="Q121" s="91"/>
      <c r="R121" s="92"/>
      <c r="S121" s="90"/>
      <c r="T121" s="91"/>
      <c r="U121" s="91"/>
      <c r="V121" s="91"/>
      <c r="W121" s="91"/>
      <c r="X121" s="91"/>
      <c r="Y121" s="92"/>
      <c r="Z121" s="90"/>
      <c r="AA121" s="91"/>
      <c r="AB121" s="91"/>
      <c r="AC121" s="91"/>
      <c r="AD121" s="91"/>
      <c r="AE121" s="91"/>
      <c r="AF121" s="93"/>
      <c r="AG121" s="90"/>
      <c r="AH121" s="91"/>
      <c r="AI121" s="91"/>
      <c r="AJ121" s="91"/>
      <c r="AK121" s="91"/>
      <c r="AL121" s="91"/>
      <c r="AM121" s="93"/>
      <c r="AN121" s="90"/>
      <c r="AO121" s="91"/>
      <c r="AP121" s="91"/>
      <c r="AQ121" s="91"/>
      <c r="AR121" s="91"/>
      <c r="AS121" s="91"/>
      <c r="AT121" s="93"/>
      <c r="AU121" s="37">
        <f t="shared" si="45"/>
        <v>0</v>
      </c>
      <c r="AV121" s="37">
        <f t="shared" si="46"/>
        <v>0</v>
      </c>
      <c r="AW121" s="37">
        <f t="shared" si="47"/>
        <v>0</v>
      </c>
      <c r="AX121" s="37">
        <f t="shared" si="48"/>
        <v>0</v>
      </c>
      <c r="AY121" s="37">
        <f t="shared" si="49"/>
        <v>0</v>
      </c>
      <c r="AZ121" s="37">
        <f t="shared" si="50"/>
        <v>0</v>
      </c>
      <c r="BA121" s="20"/>
    </row>
    <row r="122" spans="1:53" ht="14.1" customHeight="1" x14ac:dyDescent="0.25">
      <c r="A122" s="89"/>
      <c r="B122" s="101" t="str" cm="1">
        <f t="array" ref="B122">_xlfn.IFNA(INDEX(Employees[Employment Type],MATCH(Schedule!A122:A122,Employees[Employee Names],0)),"")</f>
        <v/>
      </c>
      <c r="C122" s="101" t="str">
        <f>_xlfn.IFNA(INDEX(Employees[Employee Role],MATCH(Schedule!A122,Employees[Employee Names],0)),"")</f>
        <v/>
      </c>
      <c r="D122" s="103">
        <f>COUNTA(IF(Settings!$D$14 = TRUE,E122:AT122,$E122:$AF122))</f>
        <v>0</v>
      </c>
      <c r="E122" s="90"/>
      <c r="F122" s="91"/>
      <c r="G122" s="91"/>
      <c r="H122" s="91"/>
      <c r="I122" s="91"/>
      <c r="J122" s="91"/>
      <c r="K122" s="92"/>
      <c r="L122" s="90"/>
      <c r="M122" s="91"/>
      <c r="N122" s="91"/>
      <c r="O122" s="91"/>
      <c r="P122" s="91"/>
      <c r="Q122" s="91"/>
      <c r="R122" s="92"/>
      <c r="S122" s="90"/>
      <c r="T122" s="91"/>
      <c r="U122" s="91"/>
      <c r="V122" s="91"/>
      <c r="W122" s="91"/>
      <c r="X122" s="91"/>
      <c r="Y122" s="92"/>
      <c r="Z122" s="90"/>
      <c r="AA122" s="91"/>
      <c r="AB122" s="91"/>
      <c r="AC122" s="91"/>
      <c r="AD122" s="91"/>
      <c r="AE122" s="91"/>
      <c r="AF122" s="93"/>
      <c r="AG122" s="90"/>
      <c r="AH122" s="91"/>
      <c r="AI122" s="91"/>
      <c r="AJ122" s="91"/>
      <c r="AK122" s="91"/>
      <c r="AL122" s="91"/>
      <c r="AM122" s="93"/>
      <c r="AN122" s="90"/>
      <c r="AO122" s="91"/>
      <c r="AP122" s="91"/>
      <c r="AQ122" s="91"/>
      <c r="AR122" s="91"/>
      <c r="AS122" s="91"/>
      <c r="AT122" s="93"/>
      <c r="AU122" s="37">
        <f t="shared" si="45"/>
        <v>0</v>
      </c>
      <c r="AV122" s="37">
        <f t="shared" si="46"/>
        <v>0</v>
      </c>
      <c r="AW122" s="37">
        <f t="shared" si="47"/>
        <v>0</v>
      </c>
      <c r="AX122" s="37">
        <f t="shared" si="48"/>
        <v>0</v>
      </c>
      <c r="AY122" s="37">
        <f t="shared" si="49"/>
        <v>0</v>
      </c>
      <c r="AZ122" s="37">
        <f t="shared" si="50"/>
        <v>0</v>
      </c>
      <c r="BA122" s="20"/>
    </row>
    <row r="123" spans="1:53" ht="14.1" customHeight="1" x14ac:dyDescent="0.25">
      <c r="A123" s="89"/>
      <c r="B123" s="101" t="str" cm="1">
        <f t="array" ref="B123">_xlfn.IFNA(INDEX(Employees[Employment Type],MATCH(Schedule!A123:A123,Employees[Employee Names],0)),"")</f>
        <v/>
      </c>
      <c r="C123" s="101" t="str">
        <f>_xlfn.IFNA(INDEX(Employees[Employee Role],MATCH(Schedule!A123,Employees[Employee Names],0)),"")</f>
        <v/>
      </c>
      <c r="D123" s="103">
        <f>COUNTA(IF(Settings!$D$14 = TRUE,E123:AT123,$E123:$AF123))</f>
        <v>0</v>
      </c>
      <c r="E123" s="90"/>
      <c r="F123" s="91"/>
      <c r="G123" s="91"/>
      <c r="H123" s="91"/>
      <c r="I123" s="91"/>
      <c r="J123" s="91"/>
      <c r="K123" s="92"/>
      <c r="L123" s="90"/>
      <c r="M123" s="91"/>
      <c r="N123" s="91"/>
      <c r="O123" s="91"/>
      <c r="P123" s="91"/>
      <c r="Q123" s="91"/>
      <c r="R123" s="92"/>
      <c r="S123" s="90"/>
      <c r="T123" s="91"/>
      <c r="U123" s="91"/>
      <c r="V123" s="91"/>
      <c r="W123" s="91"/>
      <c r="X123" s="91"/>
      <c r="Y123" s="92"/>
      <c r="Z123" s="90"/>
      <c r="AA123" s="91"/>
      <c r="AB123" s="91"/>
      <c r="AC123" s="91"/>
      <c r="AD123" s="91"/>
      <c r="AE123" s="91"/>
      <c r="AF123" s="93"/>
      <c r="AG123" s="90"/>
      <c r="AH123" s="91"/>
      <c r="AI123" s="91"/>
      <c r="AJ123" s="91"/>
      <c r="AK123" s="91"/>
      <c r="AL123" s="91"/>
      <c r="AM123" s="93"/>
      <c r="AN123" s="90"/>
      <c r="AO123" s="91"/>
      <c r="AP123" s="91"/>
      <c r="AQ123" s="91"/>
      <c r="AR123" s="91"/>
      <c r="AS123" s="91"/>
      <c r="AT123" s="93"/>
      <c r="AU123" s="37">
        <f t="shared" si="45"/>
        <v>0</v>
      </c>
      <c r="AV123" s="37">
        <f t="shared" si="46"/>
        <v>0</v>
      </c>
      <c r="AW123" s="37">
        <f t="shared" si="47"/>
        <v>0</v>
      </c>
      <c r="AX123" s="37">
        <f t="shared" si="48"/>
        <v>0</v>
      </c>
      <c r="AY123" s="37">
        <f t="shared" si="49"/>
        <v>0</v>
      </c>
      <c r="AZ123" s="37">
        <f t="shared" si="50"/>
        <v>0</v>
      </c>
      <c r="BA123" s="20"/>
    </row>
    <row r="124" spans="1:53" ht="14.1" customHeight="1" x14ac:dyDescent="0.25">
      <c r="A124" s="89"/>
      <c r="B124" s="101" t="str" cm="1">
        <f t="array" ref="B124">_xlfn.IFNA(INDEX(Employees[Employment Type],MATCH(Schedule!A124:A124,Employees[Employee Names],0)),"")</f>
        <v/>
      </c>
      <c r="C124" s="101" t="str">
        <f>_xlfn.IFNA(INDEX(Employees[Employee Role],MATCH(Schedule!A124,Employees[Employee Names],0)),"")</f>
        <v/>
      </c>
      <c r="D124" s="103">
        <f>COUNTA(IF(Settings!$D$14 = TRUE,E124:AT124,$E124:$AF124))</f>
        <v>0</v>
      </c>
      <c r="E124" s="90"/>
      <c r="F124" s="91"/>
      <c r="G124" s="91"/>
      <c r="H124" s="91"/>
      <c r="I124" s="91"/>
      <c r="J124" s="91"/>
      <c r="K124" s="92"/>
      <c r="L124" s="90"/>
      <c r="M124" s="91"/>
      <c r="N124" s="91"/>
      <c r="O124" s="91"/>
      <c r="P124" s="91"/>
      <c r="Q124" s="91"/>
      <c r="R124" s="92"/>
      <c r="S124" s="90"/>
      <c r="T124" s="91"/>
      <c r="U124" s="91"/>
      <c r="V124" s="91"/>
      <c r="W124" s="91"/>
      <c r="X124" s="91"/>
      <c r="Y124" s="92"/>
      <c r="Z124" s="90"/>
      <c r="AA124" s="91"/>
      <c r="AB124" s="91"/>
      <c r="AC124" s="91"/>
      <c r="AD124" s="91"/>
      <c r="AE124" s="91"/>
      <c r="AF124" s="93"/>
      <c r="AG124" s="90"/>
      <c r="AH124" s="91"/>
      <c r="AI124" s="91"/>
      <c r="AJ124" s="91"/>
      <c r="AK124" s="91"/>
      <c r="AL124" s="91"/>
      <c r="AM124" s="93"/>
      <c r="AN124" s="90"/>
      <c r="AO124" s="91"/>
      <c r="AP124" s="91"/>
      <c r="AQ124" s="91"/>
      <c r="AR124" s="91"/>
      <c r="AS124" s="91"/>
      <c r="AT124" s="93"/>
      <c r="AU124" s="37">
        <f t="shared" si="45"/>
        <v>0</v>
      </c>
      <c r="AV124" s="37">
        <f t="shared" si="46"/>
        <v>0</v>
      </c>
      <c r="AW124" s="37">
        <f t="shared" si="47"/>
        <v>0</v>
      </c>
      <c r="AX124" s="37">
        <f t="shared" si="48"/>
        <v>0</v>
      </c>
      <c r="AY124" s="37">
        <f t="shared" si="49"/>
        <v>0</v>
      </c>
      <c r="AZ124" s="37">
        <f t="shared" si="50"/>
        <v>0</v>
      </c>
      <c r="BA124" s="20"/>
    </row>
    <row r="125" spans="1:53" ht="14.1" customHeight="1" x14ac:dyDescent="0.25">
      <c r="A125" s="89"/>
      <c r="B125" s="101" t="str" cm="1">
        <f t="array" ref="B125">_xlfn.IFNA(INDEX(Employees[Employment Type],MATCH(Schedule!A125:A125,Employees[Employee Names],0)),"")</f>
        <v/>
      </c>
      <c r="C125" s="101" t="str">
        <f>_xlfn.IFNA(INDEX(Employees[Employee Role],MATCH(Schedule!A125,Employees[Employee Names],0)),"")</f>
        <v/>
      </c>
      <c r="D125" s="103">
        <f>COUNTA(IF(Settings!$D$14 = TRUE,E125:AT125,$E125:$AF125))</f>
        <v>0</v>
      </c>
      <c r="E125" s="90"/>
      <c r="F125" s="91"/>
      <c r="G125" s="91"/>
      <c r="H125" s="91"/>
      <c r="I125" s="91"/>
      <c r="J125" s="91"/>
      <c r="K125" s="92"/>
      <c r="L125" s="90"/>
      <c r="M125" s="91"/>
      <c r="N125" s="91"/>
      <c r="O125" s="91"/>
      <c r="P125" s="91"/>
      <c r="Q125" s="91"/>
      <c r="R125" s="92"/>
      <c r="S125" s="90"/>
      <c r="T125" s="91"/>
      <c r="U125" s="91"/>
      <c r="V125" s="91"/>
      <c r="W125" s="91"/>
      <c r="X125" s="91"/>
      <c r="Y125" s="92"/>
      <c r="Z125" s="90"/>
      <c r="AA125" s="91"/>
      <c r="AB125" s="91"/>
      <c r="AC125" s="91"/>
      <c r="AD125" s="91"/>
      <c r="AE125" s="91"/>
      <c r="AF125" s="93"/>
      <c r="AG125" s="90"/>
      <c r="AH125" s="91"/>
      <c r="AI125" s="91"/>
      <c r="AJ125" s="91"/>
      <c r="AK125" s="91"/>
      <c r="AL125" s="91"/>
      <c r="AM125" s="93"/>
      <c r="AN125" s="90"/>
      <c r="AO125" s="91"/>
      <c r="AP125" s="91"/>
      <c r="AQ125" s="91"/>
      <c r="AR125" s="91"/>
      <c r="AS125" s="91"/>
      <c r="AT125" s="93"/>
      <c r="AU125" s="37">
        <f t="shared" si="45"/>
        <v>0</v>
      </c>
      <c r="AV125" s="37">
        <f t="shared" si="46"/>
        <v>0</v>
      </c>
      <c r="AW125" s="37">
        <f t="shared" si="47"/>
        <v>0</v>
      </c>
      <c r="AX125" s="37">
        <f t="shared" si="48"/>
        <v>0</v>
      </c>
      <c r="AY125" s="37">
        <f t="shared" si="49"/>
        <v>0</v>
      </c>
      <c r="AZ125" s="37">
        <f t="shared" si="50"/>
        <v>0</v>
      </c>
      <c r="BA125" s="20"/>
    </row>
    <row r="126" spans="1:53" ht="14.1" customHeight="1" x14ac:dyDescent="0.25">
      <c r="A126" s="89"/>
      <c r="B126" s="101" t="str" cm="1">
        <f t="array" ref="B126">_xlfn.IFNA(INDEX(Employees[Employment Type],MATCH(Schedule!A126:A126,Employees[Employee Names],0)),"")</f>
        <v/>
      </c>
      <c r="C126" s="101" t="str">
        <f>_xlfn.IFNA(INDEX(Employees[Employee Role],MATCH(Schedule!A126,Employees[Employee Names],0)),"")</f>
        <v/>
      </c>
      <c r="D126" s="103">
        <f>COUNTA(IF(Settings!$D$14 = TRUE,E126:AT126,$E126:$AF126))</f>
        <v>0</v>
      </c>
      <c r="E126" s="90"/>
      <c r="F126" s="91"/>
      <c r="G126" s="91"/>
      <c r="H126" s="91"/>
      <c r="I126" s="91"/>
      <c r="J126" s="91"/>
      <c r="K126" s="92"/>
      <c r="L126" s="90"/>
      <c r="M126" s="91"/>
      <c r="N126" s="91"/>
      <c r="O126" s="91"/>
      <c r="P126" s="91"/>
      <c r="Q126" s="91"/>
      <c r="R126" s="92"/>
      <c r="S126" s="90"/>
      <c r="T126" s="91"/>
      <c r="U126" s="91"/>
      <c r="V126" s="91"/>
      <c r="W126" s="91"/>
      <c r="X126" s="91"/>
      <c r="Y126" s="92"/>
      <c r="Z126" s="90"/>
      <c r="AA126" s="91"/>
      <c r="AB126" s="91"/>
      <c r="AC126" s="91"/>
      <c r="AD126" s="91"/>
      <c r="AE126" s="91"/>
      <c r="AF126" s="93"/>
      <c r="AG126" s="90"/>
      <c r="AH126" s="91"/>
      <c r="AI126" s="91"/>
      <c r="AJ126" s="91"/>
      <c r="AK126" s="91"/>
      <c r="AL126" s="91"/>
      <c r="AM126" s="93"/>
      <c r="AN126" s="90"/>
      <c r="AO126" s="91"/>
      <c r="AP126" s="91"/>
      <c r="AQ126" s="91"/>
      <c r="AR126" s="91"/>
      <c r="AS126" s="91"/>
      <c r="AT126" s="93"/>
      <c r="AU126" s="37">
        <f t="shared" si="45"/>
        <v>0</v>
      </c>
      <c r="AV126" s="37">
        <f t="shared" si="46"/>
        <v>0</v>
      </c>
      <c r="AW126" s="37">
        <f t="shared" si="47"/>
        <v>0</v>
      </c>
      <c r="AX126" s="37">
        <f t="shared" si="48"/>
        <v>0</v>
      </c>
      <c r="AY126" s="37">
        <f t="shared" si="49"/>
        <v>0</v>
      </c>
      <c r="AZ126" s="37">
        <f t="shared" si="50"/>
        <v>0</v>
      </c>
      <c r="BA126" s="20"/>
    </row>
    <row r="127" spans="1:53" ht="14.1" customHeight="1" x14ac:dyDescent="0.25">
      <c r="A127" s="89"/>
      <c r="B127" s="101" t="str" cm="1">
        <f t="array" ref="B127">_xlfn.IFNA(INDEX(Employees[Employment Type],MATCH(Schedule!A127:A127,Employees[Employee Names],0)),"")</f>
        <v/>
      </c>
      <c r="C127" s="101" t="str">
        <f>_xlfn.IFNA(INDEX(Employees[Employee Role],MATCH(Schedule!A127,Employees[Employee Names],0)),"")</f>
        <v/>
      </c>
      <c r="D127" s="103">
        <f>COUNTA(IF(Settings!$D$14 = TRUE,E127:AT127,$E127:$AF127))</f>
        <v>0</v>
      </c>
      <c r="E127" s="90"/>
      <c r="F127" s="91"/>
      <c r="G127" s="91"/>
      <c r="H127" s="91"/>
      <c r="I127" s="91"/>
      <c r="J127" s="91"/>
      <c r="K127" s="92"/>
      <c r="L127" s="90"/>
      <c r="M127" s="91"/>
      <c r="N127" s="91"/>
      <c r="O127" s="91"/>
      <c r="P127" s="91"/>
      <c r="Q127" s="91"/>
      <c r="R127" s="92"/>
      <c r="S127" s="90"/>
      <c r="T127" s="91"/>
      <c r="U127" s="91"/>
      <c r="V127" s="91"/>
      <c r="W127" s="91"/>
      <c r="X127" s="91"/>
      <c r="Y127" s="92"/>
      <c r="Z127" s="90"/>
      <c r="AA127" s="91"/>
      <c r="AB127" s="91"/>
      <c r="AC127" s="91"/>
      <c r="AD127" s="91"/>
      <c r="AE127" s="91"/>
      <c r="AF127" s="93"/>
      <c r="AG127" s="90"/>
      <c r="AH127" s="91"/>
      <c r="AI127" s="91"/>
      <c r="AJ127" s="91"/>
      <c r="AK127" s="91"/>
      <c r="AL127" s="91"/>
      <c r="AM127" s="93"/>
      <c r="AN127" s="90"/>
      <c r="AO127" s="91"/>
      <c r="AP127" s="91"/>
      <c r="AQ127" s="91"/>
      <c r="AR127" s="91"/>
      <c r="AS127" s="91"/>
      <c r="AT127" s="93"/>
      <c r="AU127" s="37">
        <f t="shared" si="45"/>
        <v>0</v>
      </c>
      <c r="AV127" s="37">
        <f t="shared" si="46"/>
        <v>0</v>
      </c>
      <c r="AW127" s="37">
        <f t="shared" si="47"/>
        <v>0</v>
      </c>
      <c r="AX127" s="37">
        <f t="shared" si="48"/>
        <v>0</v>
      </c>
      <c r="AY127" s="37">
        <f t="shared" si="49"/>
        <v>0</v>
      </c>
      <c r="AZ127" s="37">
        <f t="shared" si="50"/>
        <v>0</v>
      </c>
      <c r="BA127" s="20"/>
    </row>
    <row r="128" spans="1:53" ht="14.1" customHeight="1" x14ac:dyDescent="0.25">
      <c r="A128" s="89"/>
      <c r="B128" s="101" t="str" cm="1">
        <f t="array" ref="B128">_xlfn.IFNA(INDEX(Employees[Employment Type],MATCH(Schedule!A128:A128,Employees[Employee Names],0)),"")</f>
        <v/>
      </c>
      <c r="C128" s="101" t="str">
        <f>_xlfn.IFNA(INDEX(Employees[Employee Role],MATCH(Schedule!A128,Employees[Employee Names],0)),"")</f>
        <v/>
      </c>
      <c r="D128" s="103">
        <f>COUNTA(IF(Settings!$D$14 = TRUE,E128:AT128,$E128:$AF128))</f>
        <v>0</v>
      </c>
      <c r="E128" s="90"/>
      <c r="F128" s="91"/>
      <c r="G128" s="91"/>
      <c r="H128" s="91"/>
      <c r="I128" s="91"/>
      <c r="J128" s="91"/>
      <c r="K128" s="92"/>
      <c r="L128" s="90"/>
      <c r="M128" s="91"/>
      <c r="N128" s="91"/>
      <c r="O128" s="91"/>
      <c r="P128" s="91"/>
      <c r="Q128" s="91"/>
      <c r="R128" s="92"/>
      <c r="S128" s="90"/>
      <c r="T128" s="91"/>
      <c r="U128" s="91"/>
      <c r="V128" s="91"/>
      <c r="W128" s="91"/>
      <c r="X128" s="91"/>
      <c r="Y128" s="92"/>
      <c r="Z128" s="90"/>
      <c r="AA128" s="91"/>
      <c r="AB128" s="91"/>
      <c r="AC128" s="91"/>
      <c r="AD128" s="91"/>
      <c r="AE128" s="91"/>
      <c r="AF128" s="93"/>
      <c r="AG128" s="90"/>
      <c r="AH128" s="91"/>
      <c r="AI128" s="91"/>
      <c r="AJ128" s="91"/>
      <c r="AK128" s="91"/>
      <c r="AL128" s="91"/>
      <c r="AM128" s="93"/>
      <c r="AN128" s="90"/>
      <c r="AO128" s="91"/>
      <c r="AP128" s="91"/>
      <c r="AQ128" s="91"/>
      <c r="AR128" s="91"/>
      <c r="AS128" s="91"/>
      <c r="AT128" s="93"/>
      <c r="AU128" s="37">
        <f t="shared" si="45"/>
        <v>0</v>
      </c>
      <c r="AV128" s="37">
        <f t="shared" si="46"/>
        <v>0</v>
      </c>
      <c r="AW128" s="37">
        <f t="shared" si="47"/>
        <v>0</v>
      </c>
      <c r="AX128" s="37">
        <f t="shared" si="48"/>
        <v>0</v>
      </c>
      <c r="AY128" s="37">
        <f t="shared" si="49"/>
        <v>0</v>
      </c>
      <c r="AZ128" s="37">
        <f t="shared" si="50"/>
        <v>0</v>
      </c>
      <c r="BA128" s="20"/>
    </row>
    <row r="129" spans="1:53" ht="14.1" customHeight="1" x14ac:dyDescent="0.25">
      <c r="A129" s="89"/>
      <c r="B129" s="101" t="str" cm="1">
        <f t="array" ref="B129">_xlfn.IFNA(INDEX(Employees[Employment Type],MATCH(Schedule!A129:A129,Employees[Employee Names],0)),"")</f>
        <v/>
      </c>
      <c r="C129" s="101" t="str">
        <f>_xlfn.IFNA(INDEX(Employees[Employee Role],MATCH(Schedule!A129,Employees[Employee Names],0)),"")</f>
        <v/>
      </c>
      <c r="D129" s="103">
        <f>COUNTA(IF(Settings!$D$14 = TRUE,E129:AT129,$E129:$AF129))</f>
        <v>0</v>
      </c>
      <c r="E129" s="90"/>
      <c r="F129" s="91"/>
      <c r="G129" s="91"/>
      <c r="H129" s="91"/>
      <c r="I129" s="91"/>
      <c r="J129" s="91"/>
      <c r="K129" s="92"/>
      <c r="L129" s="90"/>
      <c r="M129" s="91"/>
      <c r="N129" s="91"/>
      <c r="O129" s="91"/>
      <c r="P129" s="91"/>
      <c r="Q129" s="91"/>
      <c r="R129" s="92"/>
      <c r="S129" s="90"/>
      <c r="T129" s="91"/>
      <c r="U129" s="91"/>
      <c r="V129" s="91"/>
      <c r="W129" s="91"/>
      <c r="X129" s="91"/>
      <c r="Y129" s="92"/>
      <c r="Z129" s="90"/>
      <c r="AA129" s="91"/>
      <c r="AB129" s="91"/>
      <c r="AC129" s="91"/>
      <c r="AD129" s="91"/>
      <c r="AE129" s="91"/>
      <c r="AF129" s="93"/>
      <c r="AG129" s="90"/>
      <c r="AH129" s="91"/>
      <c r="AI129" s="91"/>
      <c r="AJ129" s="91"/>
      <c r="AK129" s="91"/>
      <c r="AL129" s="91"/>
      <c r="AM129" s="93"/>
      <c r="AN129" s="90"/>
      <c r="AO129" s="91"/>
      <c r="AP129" s="91"/>
      <c r="AQ129" s="91"/>
      <c r="AR129" s="91"/>
      <c r="AS129" s="91"/>
      <c r="AT129" s="93"/>
      <c r="AU129" s="37">
        <f t="shared" si="45"/>
        <v>0</v>
      </c>
      <c r="AV129" s="37">
        <f t="shared" si="46"/>
        <v>0</v>
      </c>
      <c r="AW129" s="37">
        <f t="shared" si="47"/>
        <v>0</v>
      </c>
      <c r="AX129" s="37">
        <f t="shared" si="48"/>
        <v>0</v>
      </c>
      <c r="AY129" s="37">
        <f t="shared" si="49"/>
        <v>0</v>
      </c>
      <c r="AZ129" s="37">
        <f t="shared" si="50"/>
        <v>0</v>
      </c>
      <c r="BA129" s="20"/>
    </row>
    <row r="130" spans="1:53" ht="14.1" customHeight="1" x14ac:dyDescent="0.25">
      <c r="A130" s="89"/>
      <c r="B130" s="101" t="str" cm="1">
        <f t="array" ref="B130">_xlfn.IFNA(INDEX(Employees[Employment Type],MATCH(Schedule!A130:A130,Employees[Employee Names],0)),"")</f>
        <v/>
      </c>
      <c r="C130" s="101" t="str">
        <f>_xlfn.IFNA(INDEX(Employees[Employee Role],MATCH(Schedule!A130,Employees[Employee Names],0)),"")</f>
        <v/>
      </c>
      <c r="D130" s="103">
        <f>COUNTA(IF(Settings!$D$14 = TRUE,E130:AT130,$E130:$AF130))</f>
        <v>0</v>
      </c>
      <c r="E130" s="90"/>
      <c r="F130" s="91"/>
      <c r="G130" s="91"/>
      <c r="H130" s="91"/>
      <c r="I130" s="91"/>
      <c r="J130" s="91"/>
      <c r="K130" s="92"/>
      <c r="L130" s="90"/>
      <c r="M130" s="91"/>
      <c r="N130" s="91"/>
      <c r="O130" s="91"/>
      <c r="P130" s="91"/>
      <c r="Q130" s="91"/>
      <c r="R130" s="92"/>
      <c r="S130" s="90"/>
      <c r="T130" s="91"/>
      <c r="U130" s="91"/>
      <c r="V130" s="91"/>
      <c r="W130" s="91"/>
      <c r="X130" s="91"/>
      <c r="Y130" s="92"/>
      <c r="Z130" s="90"/>
      <c r="AA130" s="91"/>
      <c r="AB130" s="91"/>
      <c r="AC130" s="91"/>
      <c r="AD130" s="91"/>
      <c r="AE130" s="91"/>
      <c r="AF130" s="93"/>
      <c r="AG130" s="90"/>
      <c r="AH130" s="91"/>
      <c r="AI130" s="91"/>
      <c r="AJ130" s="91"/>
      <c r="AK130" s="91"/>
      <c r="AL130" s="91"/>
      <c r="AM130" s="93"/>
      <c r="AN130" s="90"/>
      <c r="AO130" s="91"/>
      <c r="AP130" s="91"/>
      <c r="AQ130" s="91"/>
      <c r="AR130" s="91"/>
      <c r="AS130" s="91"/>
      <c r="AT130" s="93"/>
      <c r="AU130" s="37">
        <f t="shared" si="45"/>
        <v>0</v>
      </c>
      <c r="AV130" s="37">
        <f t="shared" si="46"/>
        <v>0</v>
      </c>
      <c r="AW130" s="37">
        <f t="shared" si="47"/>
        <v>0</v>
      </c>
      <c r="AX130" s="37">
        <f t="shared" si="48"/>
        <v>0</v>
      </c>
      <c r="AY130" s="37">
        <f t="shared" si="49"/>
        <v>0</v>
      </c>
      <c r="AZ130" s="37">
        <f t="shared" si="50"/>
        <v>0</v>
      </c>
      <c r="BA130" s="20"/>
    </row>
    <row r="131" spans="1:53" ht="14.1" customHeight="1" x14ac:dyDescent="0.25">
      <c r="A131" s="89"/>
      <c r="B131" s="101" t="str" cm="1">
        <f t="array" ref="B131">_xlfn.IFNA(INDEX(Employees[Employment Type],MATCH(Schedule!A131:A131,Employees[Employee Names],0)),"")</f>
        <v/>
      </c>
      <c r="C131" s="101" t="str">
        <f>_xlfn.IFNA(INDEX(Employees[Employee Role],MATCH(Schedule!A131,Employees[Employee Names],0)),"")</f>
        <v/>
      </c>
      <c r="D131" s="103">
        <f>COUNTA(IF(Settings!$D$14 = TRUE,E131:AT131,$E131:$AF131))</f>
        <v>0</v>
      </c>
      <c r="E131" s="90"/>
      <c r="F131" s="91"/>
      <c r="G131" s="91"/>
      <c r="H131" s="91"/>
      <c r="I131" s="91"/>
      <c r="J131" s="91"/>
      <c r="K131" s="92"/>
      <c r="L131" s="90"/>
      <c r="M131" s="91"/>
      <c r="N131" s="91"/>
      <c r="O131" s="91"/>
      <c r="P131" s="91"/>
      <c r="Q131" s="91"/>
      <c r="R131" s="92"/>
      <c r="S131" s="90"/>
      <c r="T131" s="91"/>
      <c r="U131" s="91"/>
      <c r="V131" s="91"/>
      <c r="W131" s="91"/>
      <c r="X131" s="91"/>
      <c r="Y131" s="92"/>
      <c r="Z131" s="90"/>
      <c r="AA131" s="91"/>
      <c r="AB131" s="91"/>
      <c r="AC131" s="91"/>
      <c r="AD131" s="91"/>
      <c r="AE131" s="91"/>
      <c r="AF131" s="93"/>
      <c r="AG131" s="90"/>
      <c r="AH131" s="91"/>
      <c r="AI131" s="91"/>
      <c r="AJ131" s="91"/>
      <c r="AK131" s="91"/>
      <c r="AL131" s="91"/>
      <c r="AM131" s="93"/>
      <c r="AN131" s="90"/>
      <c r="AO131" s="91"/>
      <c r="AP131" s="91"/>
      <c r="AQ131" s="91"/>
      <c r="AR131" s="91"/>
      <c r="AS131" s="91"/>
      <c r="AT131" s="93"/>
      <c r="AU131" s="37">
        <f t="shared" si="45"/>
        <v>0</v>
      </c>
      <c r="AV131" s="37">
        <f t="shared" si="46"/>
        <v>0</v>
      </c>
      <c r="AW131" s="37">
        <f t="shared" si="47"/>
        <v>0</v>
      </c>
      <c r="AX131" s="37">
        <f t="shared" si="48"/>
        <v>0</v>
      </c>
      <c r="AY131" s="37">
        <f t="shared" si="49"/>
        <v>0</v>
      </c>
      <c r="AZ131" s="37">
        <f t="shared" si="50"/>
        <v>0</v>
      </c>
      <c r="BA131" s="20"/>
    </row>
    <row r="132" spans="1:53" ht="14.1" customHeight="1" x14ac:dyDescent="0.25">
      <c r="A132" s="89"/>
      <c r="B132" s="101" t="str" cm="1">
        <f t="array" ref="B132">_xlfn.IFNA(INDEX(Employees[Employment Type],MATCH(Schedule!A132:A132,Employees[Employee Names],0)),"")</f>
        <v/>
      </c>
      <c r="C132" s="101" t="str">
        <f>_xlfn.IFNA(INDEX(Employees[Employee Role],MATCH(Schedule!A132,Employees[Employee Names],0)),"")</f>
        <v/>
      </c>
      <c r="D132" s="103">
        <f>COUNTA(IF(Settings!$D$14 = TRUE,E132:AT132,$E132:$AF132))</f>
        <v>0</v>
      </c>
      <c r="E132" s="90"/>
      <c r="F132" s="91"/>
      <c r="G132" s="91"/>
      <c r="H132" s="91"/>
      <c r="I132" s="91"/>
      <c r="J132" s="91"/>
      <c r="K132" s="92"/>
      <c r="L132" s="90"/>
      <c r="M132" s="91"/>
      <c r="N132" s="91"/>
      <c r="O132" s="91"/>
      <c r="P132" s="91"/>
      <c r="Q132" s="91"/>
      <c r="R132" s="92"/>
      <c r="S132" s="90"/>
      <c r="T132" s="91"/>
      <c r="U132" s="91"/>
      <c r="V132" s="91"/>
      <c r="W132" s="91"/>
      <c r="X132" s="91"/>
      <c r="Y132" s="92"/>
      <c r="Z132" s="90"/>
      <c r="AA132" s="91"/>
      <c r="AB132" s="91"/>
      <c r="AC132" s="91"/>
      <c r="AD132" s="91"/>
      <c r="AE132" s="91"/>
      <c r="AF132" s="93"/>
      <c r="AG132" s="90"/>
      <c r="AH132" s="91"/>
      <c r="AI132" s="91"/>
      <c r="AJ132" s="91"/>
      <c r="AK132" s="91"/>
      <c r="AL132" s="91"/>
      <c r="AM132" s="93"/>
      <c r="AN132" s="90"/>
      <c r="AO132" s="91"/>
      <c r="AP132" s="91"/>
      <c r="AQ132" s="91"/>
      <c r="AR132" s="91"/>
      <c r="AS132" s="91"/>
      <c r="AT132" s="93"/>
      <c r="AU132" s="37">
        <f t="shared" si="45"/>
        <v>0</v>
      </c>
      <c r="AV132" s="37">
        <f t="shared" si="46"/>
        <v>0</v>
      </c>
      <c r="AW132" s="37">
        <f t="shared" si="47"/>
        <v>0</v>
      </c>
      <c r="AX132" s="37">
        <f t="shared" si="48"/>
        <v>0</v>
      </c>
      <c r="AY132" s="37">
        <f t="shared" si="49"/>
        <v>0</v>
      </c>
      <c r="AZ132" s="37">
        <f t="shared" si="50"/>
        <v>0</v>
      </c>
      <c r="BA132" s="20"/>
    </row>
    <row r="133" spans="1:53" ht="14.1" customHeight="1" x14ac:dyDescent="0.25">
      <c r="A133" s="89"/>
      <c r="B133" s="101" t="str" cm="1">
        <f t="array" ref="B133">_xlfn.IFNA(INDEX(Employees[Employment Type],MATCH(Schedule!A133:A133,Employees[Employee Names],0)),"")</f>
        <v/>
      </c>
      <c r="C133" s="101" t="str">
        <f>_xlfn.IFNA(INDEX(Employees[Employee Role],MATCH(Schedule!A133,Employees[Employee Names],0)),"")</f>
        <v/>
      </c>
      <c r="D133" s="103">
        <f>COUNTA(IF(Settings!$D$14 = TRUE,E133:AT133,$E133:$AF133))</f>
        <v>0</v>
      </c>
      <c r="E133" s="90"/>
      <c r="F133" s="91"/>
      <c r="G133" s="91"/>
      <c r="H133" s="91"/>
      <c r="I133" s="91"/>
      <c r="J133" s="91"/>
      <c r="K133" s="92"/>
      <c r="L133" s="90"/>
      <c r="M133" s="91"/>
      <c r="N133" s="91"/>
      <c r="O133" s="91"/>
      <c r="P133" s="91"/>
      <c r="Q133" s="91"/>
      <c r="R133" s="92"/>
      <c r="S133" s="90"/>
      <c r="T133" s="91"/>
      <c r="U133" s="91"/>
      <c r="V133" s="91"/>
      <c r="W133" s="91"/>
      <c r="X133" s="91"/>
      <c r="Y133" s="92"/>
      <c r="Z133" s="90"/>
      <c r="AA133" s="91"/>
      <c r="AB133" s="91"/>
      <c r="AC133" s="91"/>
      <c r="AD133" s="91"/>
      <c r="AE133" s="91"/>
      <c r="AF133" s="93"/>
      <c r="AG133" s="90"/>
      <c r="AH133" s="91"/>
      <c r="AI133" s="91"/>
      <c r="AJ133" s="91"/>
      <c r="AK133" s="91"/>
      <c r="AL133" s="91"/>
      <c r="AM133" s="93"/>
      <c r="AN133" s="90"/>
      <c r="AO133" s="91"/>
      <c r="AP133" s="91"/>
      <c r="AQ133" s="91"/>
      <c r="AR133" s="91"/>
      <c r="AS133" s="91"/>
      <c r="AT133" s="93"/>
      <c r="AU133" s="37">
        <f t="shared" si="45"/>
        <v>0</v>
      </c>
      <c r="AV133" s="37">
        <f t="shared" si="46"/>
        <v>0</v>
      </c>
      <c r="AW133" s="37">
        <f t="shared" si="47"/>
        <v>0</v>
      </c>
      <c r="AX133" s="37">
        <f t="shared" si="48"/>
        <v>0</v>
      </c>
      <c r="AY133" s="37">
        <f t="shared" si="49"/>
        <v>0</v>
      </c>
      <c r="AZ133" s="37">
        <f t="shared" si="50"/>
        <v>0</v>
      </c>
      <c r="BA133" s="20"/>
    </row>
    <row r="134" spans="1:53" ht="14.1" customHeight="1" x14ac:dyDescent="0.25">
      <c r="A134" s="89"/>
      <c r="B134" s="101" t="str" cm="1">
        <f t="array" ref="B134">_xlfn.IFNA(INDEX(Employees[Employment Type],MATCH(Schedule!A134:A134,Employees[Employee Names],0)),"")</f>
        <v/>
      </c>
      <c r="C134" s="101" t="str">
        <f>_xlfn.IFNA(INDEX(Employees[Employee Role],MATCH(Schedule!A134,Employees[Employee Names],0)),"")</f>
        <v/>
      </c>
      <c r="D134" s="103">
        <f>COUNTA(IF(Settings!$D$14 = TRUE,E134:AT134,$E134:$AF134))</f>
        <v>0</v>
      </c>
      <c r="E134" s="90"/>
      <c r="F134" s="91"/>
      <c r="G134" s="91"/>
      <c r="H134" s="91"/>
      <c r="I134" s="91"/>
      <c r="J134" s="91"/>
      <c r="K134" s="92"/>
      <c r="L134" s="90"/>
      <c r="M134" s="91"/>
      <c r="N134" s="91"/>
      <c r="O134" s="91"/>
      <c r="P134" s="91"/>
      <c r="Q134" s="91"/>
      <c r="R134" s="92"/>
      <c r="S134" s="90"/>
      <c r="T134" s="91"/>
      <c r="U134" s="91"/>
      <c r="V134" s="91"/>
      <c r="W134" s="91"/>
      <c r="X134" s="91"/>
      <c r="Y134" s="92"/>
      <c r="Z134" s="90"/>
      <c r="AA134" s="91"/>
      <c r="AB134" s="91"/>
      <c r="AC134" s="91"/>
      <c r="AD134" s="91"/>
      <c r="AE134" s="91"/>
      <c r="AF134" s="93"/>
      <c r="AG134" s="90"/>
      <c r="AH134" s="91"/>
      <c r="AI134" s="91"/>
      <c r="AJ134" s="91"/>
      <c r="AK134" s="91"/>
      <c r="AL134" s="91"/>
      <c r="AM134" s="93"/>
      <c r="AN134" s="90"/>
      <c r="AO134" s="91"/>
      <c r="AP134" s="91"/>
      <c r="AQ134" s="91"/>
      <c r="AR134" s="91"/>
      <c r="AS134" s="91"/>
      <c r="AT134" s="93"/>
      <c r="AU134" s="37">
        <f t="shared" si="45"/>
        <v>0</v>
      </c>
      <c r="AV134" s="37">
        <f t="shared" si="46"/>
        <v>0</v>
      </c>
      <c r="AW134" s="37">
        <f t="shared" si="47"/>
        <v>0</v>
      </c>
      <c r="AX134" s="37">
        <f t="shared" si="48"/>
        <v>0</v>
      </c>
      <c r="AY134" s="37">
        <f t="shared" si="49"/>
        <v>0</v>
      </c>
      <c r="AZ134" s="37">
        <f t="shared" si="50"/>
        <v>0</v>
      </c>
      <c r="BA134" s="20"/>
    </row>
    <row r="135" spans="1:53" ht="14.1" customHeight="1" x14ac:dyDescent="0.25">
      <c r="A135" s="89"/>
      <c r="B135" s="101" t="str" cm="1">
        <f t="array" ref="B135">_xlfn.IFNA(INDEX(Employees[Employment Type],MATCH(Schedule!A135:A135,Employees[Employee Names],0)),"")</f>
        <v/>
      </c>
      <c r="C135" s="101" t="str">
        <f>_xlfn.IFNA(INDEX(Employees[Employee Role],MATCH(Schedule!A135,Employees[Employee Names],0)),"")</f>
        <v/>
      </c>
      <c r="D135" s="103">
        <f>COUNTA(IF(Settings!$D$14 = TRUE,E135:AT135,$E135:$AF135))</f>
        <v>0</v>
      </c>
      <c r="E135" s="90"/>
      <c r="F135" s="91"/>
      <c r="G135" s="91"/>
      <c r="H135" s="91"/>
      <c r="I135" s="91"/>
      <c r="J135" s="91"/>
      <c r="K135" s="92"/>
      <c r="L135" s="90"/>
      <c r="M135" s="91"/>
      <c r="N135" s="91"/>
      <c r="O135" s="91"/>
      <c r="P135" s="91"/>
      <c r="Q135" s="91"/>
      <c r="R135" s="92"/>
      <c r="S135" s="90"/>
      <c r="T135" s="91"/>
      <c r="U135" s="91"/>
      <c r="V135" s="91"/>
      <c r="W135" s="91"/>
      <c r="X135" s="91"/>
      <c r="Y135" s="92"/>
      <c r="Z135" s="90"/>
      <c r="AA135" s="91"/>
      <c r="AB135" s="91"/>
      <c r="AC135" s="91"/>
      <c r="AD135" s="91"/>
      <c r="AE135" s="91"/>
      <c r="AF135" s="93"/>
      <c r="AG135" s="90"/>
      <c r="AH135" s="91"/>
      <c r="AI135" s="91"/>
      <c r="AJ135" s="91"/>
      <c r="AK135" s="91"/>
      <c r="AL135" s="91"/>
      <c r="AM135" s="93"/>
      <c r="AN135" s="90"/>
      <c r="AO135" s="91"/>
      <c r="AP135" s="91"/>
      <c r="AQ135" s="91"/>
      <c r="AR135" s="91"/>
      <c r="AS135" s="91"/>
      <c r="AT135" s="93"/>
      <c r="AU135" s="37">
        <f t="shared" si="45"/>
        <v>0</v>
      </c>
      <c r="AV135" s="37">
        <f t="shared" si="46"/>
        <v>0</v>
      </c>
      <c r="AW135" s="37">
        <f t="shared" si="47"/>
        <v>0</v>
      </c>
      <c r="AX135" s="37">
        <f t="shared" si="48"/>
        <v>0</v>
      </c>
      <c r="AY135" s="37">
        <f t="shared" si="49"/>
        <v>0</v>
      </c>
      <c r="AZ135" s="37">
        <f t="shared" si="50"/>
        <v>0</v>
      </c>
      <c r="BA135" s="20"/>
    </row>
    <row r="136" spans="1:53" ht="14.1" customHeight="1" x14ac:dyDescent="0.25">
      <c r="A136" s="89"/>
      <c r="B136" s="101" t="str" cm="1">
        <f t="array" ref="B136">_xlfn.IFNA(INDEX(Employees[Employment Type],MATCH(Schedule!A136:A136,Employees[Employee Names],0)),"")</f>
        <v/>
      </c>
      <c r="C136" s="101" t="str">
        <f>_xlfn.IFNA(INDEX(Employees[Employee Role],MATCH(Schedule!A136,Employees[Employee Names],0)),"")</f>
        <v/>
      </c>
      <c r="D136" s="103">
        <f>COUNTA(IF(Settings!$D$14 = TRUE,E136:AT136,$E136:$AF136))</f>
        <v>0</v>
      </c>
      <c r="E136" s="90"/>
      <c r="F136" s="91"/>
      <c r="G136" s="91"/>
      <c r="H136" s="91"/>
      <c r="I136" s="91"/>
      <c r="J136" s="91"/>
      <c r="K136" s="92"/>
      <c r="L136" s="90"/>
      <c r="M136" s="91"/>
      <c r="N136" s="91"/>
      <c r="O136" s="91"/>
      <c r="P136" s="91"/>
      <c r="Q136" s="91"/>
      <c r="R136" s="92"/>
      <c r="S136" s="90"/>
      <c r="T136" s="91"/>
      <c r="U136" s="91"/>
      <c r="V136" s="91"/>
      <c r="W136" s="91"/>
      <c r="X136" s="91"/>
      <c r="Y136" s="92"/>
      <c r="Z136" s="90"/>
      <c r="AA136" s="91"/>
      <c r="AB136" s="91"/>
      <c r="AC136" s="91"/>
      <c r="AD136" s="91"/>
      <c r="AE136" s="91"/>
      <c r="AF136" s="93"/>
      <c r="AG136" s="90"/>
      <c r="AH136" s="91"/>
      <c r="AI136" s="91"/>
      <c r="AJ136" s="91"/>
      <c r="AK136" s="91"/>
      <c r="AL136" s="91"/>
      <c r="AM136" s="93"/>
      <c r="AN136" s="90"/>
      <c r="AO136" s="91"/>
      <c r="AP136" s="91"/>
      <c r="AQ136" s="91"/>
      <c r="AR136" s="91"/>
      <c r="AS136" s="91"/>
      <c r="AT136" s="93"/>
      <c r="AU136" s="37">
        <f t="shared" si="45"/>
        <v>0</v>
      </c>
      <c r="AV136" s="37">
        <f t="shared" si="46"/>
        <v>0</v>
      </c>
      <c r="AW136" s="37">
        <f t="shared" si="47"/>
        <v>0</v>
      </c>
      <c r="AX136" s="37">
        <f t="shared" si="48"/>
        <v>0</v>
      </c>
      <c r="AY136" s="37">
        <f t="shared" si="49"/>
        <v>0</v>
      </c>
      <c r="AZ136" s="37">
        <f t="shared" si="50"/>
        <v>0</v>
      </c>
      <c r="BA136" s="20"/>
    </row>
    <row r="137" spans="1:53" ht="14.1" customHeight="1" x14ac:dyDescent="0.25">
      <c r="A137" s="89"/>
      <c r="B137" s="101" t="str" cm="1">
        <f t="array" ref="B137">_xlfn.IFNA(INDEX(Employees[Employment Type],MATCH(Schedule!A137:A137,Employees[Employee Names],0)),"")</f>
        <v/>
      </c>
      <c r="C137" s="101" t="str">
        <f>_xlfn.IFNA(INDEX(Employees[Employee Role],MATCH(Schedule!A137,Employees[Employee Names],0)),"")</f>
        <v/>
      </c>
      <c r="D137" s="103">
        <f>COUNTA(IF(Settings!$D$14 = TRUE,E137:AT137,$E137:$AF137))</f>
        <v>0</v>
      </c>
      <c r="E137" s="90"/>
      <c r="F137" s="91"/>
      <c r="G137" s="91"/>
      <c r="H137" s="91"/>
      <c r="I137" s="91"/>
      <c r="J137" s="91"/>
      <c r="K137" s="92"/>
      <c r="L137" s="90"/>
      <c r="M137" s="91"/>
      <c r="N137" s="91"/>
      <c r="O137" s="91"/>
      <c r="P137" s="91"/>
      <c r="Q137" s="91"/>
      <c r="R137" s="92"/>
      <c r="S137" s="90"/>
      <c r="T137" s="91"/>
      <c r="U137" s="91"/>
      <c r="V137" s="91"/>
      <c r="W137" s="91"/>
      <c r="X137" s="91"/>
      <c r="Y137" s="92"/>
      <c r="Z137" s="90"/>
      <c r="AA137" s="91"/>
      <c r="AB137" s="91"/>
      <c r="AC137" s="91"/>
      <c r="AD137" s="91"/>
      <c r="AE137" s="91"/>
      <c r="AF137" s="93"/>
      <c r="AG137" s="90"/>
      <c r="AH137" s="91"/>
      <c r="AI137" s="91"/>
      <c r="AJ137" s="91"/>
      <c r="AK137" s="91"/>
      <c r="AL137" s="91"/>
      <c r="AM137" s="93"/>
      <c r="AN137" s="90"/>
      <c r="AO137" s="91"/>
      <c r="AP137" s="91"/>
      <c r="AQ137" s="91"/>
      <c r="AR137" s="91"/>
      <c r="AS137" s="91"/>
      <c r="AT137" s="93"/>
      <c r="AU137" s="37">
        <f t="shared" si="45"/>
        <v>0</v>
      </c>
      <c r="AV137" s="37">
        <f t="shared" si="46"/>
        <v>0</v>
      </c>
      <c r="AW137" s="37">
        <f t="shared" si="47"/>
        <v>0</v>
      </c>
      <c r="AX137" s="37">
        <f t="shared" si="48"/>
        <v>0</v>
      </c>
      <c r="AY137" s="37">
        <f t="shared" si="49"/>
        <v>0</v>
      </c>
      <c r="AZ137" s="37">
        <f t="shared" si="50"/>
        <v>0</v>
      </c>
      <c r="BA137" s="20"/>
    </row>
    <row r="138" spans="1:53" ht="14.1" customHeight="1" x14ac:dyDescent="0.25">
      <c r="A138" s="89"/>
      <c r="B138" s="101" t="str" cm="1">
        <f t="array" ref="B138">_xlfn.IFNA(INDEX(Employees[Employment Type],MATCH(Schedule!A138:A138,Employees[Employee Names],0)),"")</f>
        <v/>
      </c>
      <c r="C138" s="101" t="str">
        <f>_xlfn.IFNA(INDEX(Employees[Employee Role],MATCH(Schedule!A138,Employees[Employee Names],0)),"")</f>
        <v/>
      </c>
      <c r="D138" s="103">
        <f>COUNTA(IF(Settings!$D$14 = TRUE,E138:AT138,$E138:$AF138))</f>
        <v>0</v>
      </c>
      <c r="E138" s="90"/>
      <c r="F138" s="91"/>
      <c r="G138" s="91"/>
      <c r="H138" s="91"/>
      <c r="I138" s="91"/>
      <c r="J138" s="91"/>
      <c r="K138" s="92"/>
      <c r="L138" s="90"/>
      <c r="M138" s="91"/>
      <c r="N138" s="91"/>
      <c r="O138" s="91"/>
      <c r="P138" s="91"/>
      <c r="Q138" s="91"/>
      <c r="R138" s="92"/>
      <c r="S138" s="90"/>
      <c r="T138" s="91"/>
      <c r="U138" s="91"/>
      <c r="V138" s="91"/>
      <c r="W138" s="91"/>
      <c r="X138" s="91"/>
      <c r="Y138" s="92"/>
      <c r="Z138" s="90"/>
      <c r="AA138" s="91"/>
      <c r="AB138" s="91"/>
      <c r="AC138" s="91"/>
      <c r="AD138" s="91"/>
      <c r="AE138" s="91"/>
      <c r="AF138" s="93"/>
      <c r="AG138" s="90"/>
      <c r="AH138" s="91"/>
      <c r="AI138" s="91"/>
      <c r="AJ138" s="91"/>
      <c r="AK138" s="91"/>
      <c r="AL138" s="91"/>
      <c r="AM138" s="93"/>
      <c r="AN138" s="90"/>
      <c r="AO138" s="91"/>
      <c r="AP138" s="91"/>
      <c r="AQ138" s="91"/>
      <c r="AR138" s="91"/>
      <c r="AS138" s="91"/>
      <c r="AT138" s="93"/>
      <c r="AU138" s="37">
        <f t="shared" si="45"/>
        <v>0</v>
      </c>
      <c r="AV138" s="37">
        <f t="shared" si="46"/>
        <v>0</v>
      </c>
      <c r="AW138" s="37">
        <f t="shared" si="47"/>
        <v>0</v>
      </c>
      <c r="AX138" s="37">
        <f t="shared" si="48"/>
        <v>0</v>
      </c>
      <c r="AY138" s="37">
        <f t="shared" si="49"/>
        <v>0</v>
      </c>
      <c r="AZ138" s="37">
        <f t="shared" si="50"/>
        <v>0</v>
      </c>
      <c r="BA138" s="20"/>
    </row>
    <row r="139" spans="1:53" ht="14.1" customHeight="1" x14ac:dyDescent="0.25">
      <c r="A139" s="89"/>
      <c r="B139" s="101" t="str" cm="1">
        <f t="array" ref="B139">_xlfn.IFNA(INDEX(Employees[Employment Type],MATCH(Schedule!A139:A139,Employees[Employee Names],0)),"")</f>
        <v/>
      </c>
      <c r="C139" s="101" t="str">
        <f>_xlfn.IFNA(INDEX(Employees[Employee Role],MATCH(Schedule!A139,Employees[Employee Names],0)),"")</f>
        <v/>
      </c>
      <c r="D139" s="103">
        <f>COUNTA(IF(Settings!$D$14 = TRUE,E139:AT139,$E139:$AF139))</f>
        <v>0</v>
      </c>
      <c r="E139" s="90"/>
      <c r="F139" s="91"/>
      <c r="G139" s="91"/>
      <c r="H139" s="91"/>
      <c r="I139" s="91"/>
      <c r="J139" s="91"/>
      <c r="K139" s="92"/>
      <c r="L139" s="90"/>
      <c r="M139" s="91"/>
      <c r="N139" s="91"/>
      <c r="O139" s="91"/>
      <c r="P139" s="91"/>
      <c r="Q139" s="91"/>
      <c r="R139" s="92"/>
      <c r="S139" s="90"/>
      <c r="T139" s="91"/>
      <c r="U139" s="91"/>
      <c r="V139" s="91"/>
      <c r="W139" s="91"/>
      <c r="X139" s="91"/>
      <c r="Y139" s="92"/>
      <c r="Z139" s="90"/>
      <c r="AA139" s="91"/>
      <c r="AB139" s="91"/>
      <c r="AC139" s="91"/>
      <c r="AD139" s="91"/>
      <c r="AE139" s="91"/>
      <c r="AF139" s="93"/>
      <c r="AG139" s="90"/>
      <c r="AH139" s="91"/>
      <c r="AI139" s="91"/>
      <c r="AJ139" s="91"/>
      <c r="AK139" s="91"/>
      <c r="AL139" s="91"/>
      <c r="AM139" s="93"/>
      <c r="AN139" s="90"/>
      <c r="AO139" s="91"/>
      <c r="AP139" s="91"/>
      <c r="AQ139" s="91"/>
      <c r="AR139" s="91"/>
      <c r="AS139" s="91"/>
      <c r="AT139" s="93"/>
      <c r="AU139" s="37">
        <f t="shared" si="45"/>
        <v>0</v>
      </c>
      <c r="AV139" s="37">
        <f t="shared" si="46"/>
        <v>0</v>
      </c>
      <c r="AW139" s="37">
        <f t="shared" si="47"/>
        <v>0</v>
      </c>
      <c r="AX139" s="37">
        <f t="shared" si="48"/>
        <v>0</v>
      </c>
      <c r="AY139" s="37">
        <f t="shared" si="49"/>
        <v>0</v>
      </c>
      <c r="AZ139" s="37">
        <f t="shared" si="50"/>
        <v>0</v>
      </c>
      <c r="BA139" s="20"/>
    </row>
    <row r="140" spans="1:53" ht="14.1" customHeight="1" x14ac:dyDescent="0.25">
      <c r="A140" s="89"/>
      <c r="B140" s="101" t="str" cm="1">
        <f t="array" ref="B140">_xlfn.IFNA(INDEX(Employees[Employment Type],MATCH(Schedule!A140:A140,Employees[Employee Names],0)),"")</f>
        <v/>
      </c>
      <c r="C140" s="101" t="str">
        <f>_xlfn.IFNA(INDEX(Employees[Employee Role],MATCH(Schedule!A140,Employees[Employee Names],0)),"")</f>
        <v/>
      </c>
      <c r="D140" s="103">
        <f>COUNTA(IF(Settings!$D$14 = TRUE,E140:AT140,$E140:$AF140))</f>
        <v>0</v>
      </c>
      <c r="E140" s="90"/>
      <c r="F140" s="91"/>
      <c r="G140" s="91"/>
      <c r="H140" s="91"/>
      <c r="I140" s="91"/>
      <c r="J140" s="91"/>
      <c r="K140" s="92"/>
      <c r="L140" s="90"/>
      <c r="M140" s="91"/>
      <c r="N140" s="91"/>
      <c r="O140" s="91"/>
      <c r="P140" s="91"/>
      <c r="Q140" s="91"/>
      <c r="R140" s="92"/>
      <c r="S140" s="90"/>
      <c r="T140" s="91"/>
      <c r="U140" s="91"/>
      <c r="V140" s="91"/>
      <c r="W140" s="91"/>
      <c r="X140" s="91"/>
      <c r="Y140" s="92"/>
      <c r="Z140" s="90"/>
      <c r="AA140" s="91"/>
      <c r="AB140" s="91"/>
      <c r="AC140" s="91"/>
      <c r="AD140" s="91"/>
      <c r="AE140" s="91"/>
      <c r="AF140" s="93"/>
      <c r="AG140" s="90"/>
      <c r="AH140" s="91"/>
      <c r="AI140" s="91"/>
      <c r="AJ140" s="91"/>
      <c r="AK140" s="91"/>
      <c r="AL140" s="91"/>
      <c r="AM140" s="93"/>
      <c r="AN140" s="90"/>
      <c r="AO140" s="91"/>
      <c r="AP140" s="91"/>
      <c r="AQ140" s="91"/>
      <c r="AR140" s="91"/>
      <c r="AS140" s="91"/>
      <c r="AT140" s="93"/>
      <c r="AU140" s="37">
        <f t="shared" si="45"/>
        <v>0</v>
      </c>
      <c r="AV140" s="37">
        <f t="shared" si="46"/>
        <v>0</v>
      </c>
      <c r="AW140" s="37">
        <f t="shared" si="47"/>
        <v>0</v>
      </c>
      <c r="AX140" s="37">
        <f t="shared" si="48"/>
        <v>0</v>
      </c>
      <c r="AY140" s="37">
        <f t="shared" si="49"/>
        <v>0</v>
      </c>
      <c r="AZ140" s="37">
        <f t="shared" si="50"/>
        <v>0</v>
      </c>
      <c r="BA140" s="20"/>
    </row>
    <row r="141" spans="1:53" ht="14.1" customHeight="1" x14ac:dyDescent="0.25">
      <c r="A141" s="89"/>
      <c r="B141" s="101" t="str" cm="1">
        <f t="array" ref="B141">_xlfn.IFNA(INDEX(Employees[Employment Type],MATCH(Schedule!A141:A141,Employees[Employee Names],0)),"")</f>
        <v/>
      </c>
      <c r="C141" s="101" t="str">
        <f>_xlfn.IFNA(INDEX(Employees[Employee Role],MATCH(Schedule!A141,Employees[Employee Names],0)),"")</f>
        <v/>
      </c>
      <c r="D141" s="103">
        <f>COUNTA(IF(Settings!$D$14 = TRUE,E141:AT141,$E141:$AF141))</f>
        <v>0</v>
      </c>
      <c r="E141" s="90"/>
      <c r="F141" s="91"/>
      <c r="G141" s="91"/>
      <c r="H141" s="91"/>
      <c r="I141" s="91"/>
      <c r="J141" s="91"/>
      <c r="K141" s="92"/>
      <c r="L141" s="90"/>
      <c r="M141" s="91"/>
      <c r="N141" s="91"/>
      <c r="O141" s="91"/>
      <c r="P141" s="91"/>
      <c r="Q141" s="91"/>
      <c r="R141" s="92"/>
      <c r="S141" s="90"/>
      <c r="T141" s="91"/>
      <c r="U141" s="91"/>
      <c r="V141" s="91"/>
      <c r="W141" s="91"/>
      <c r="X141" s="91"/>
      <c r="Y141" s="92"/>
      <c r="Z141" s="90"/>
      <c r="AA141" s="91"/>
      <c r="AB141" s="91"/>
      <c r="AC141" s="91"/>
      <c r="AD141" s="91"/>
      <c r="AE141" s="91"/>
      <c r="AF141" s="93"/>
      <c r="AG141" s="90"/>
      <c r="AH141" s="91"/>
      <c r="AI141" s="91"/>
      <c r="AJ141" s="91"/>
      <c r="AK141" s="91"/>
      <c r="AL141" s="91"/>
      <c r="AM141" s="93"/>
      <c r="AN141" s="90"/>
      <c r="AO141" s="91"/>
      <c r="AP141" s="91"/>
      <c r="AQ141" s="91"/>
      <c r="AR141" s="91"/>
      <c r="AS141" s="91"/>
      <c r="AT141" s="93"/>
      <c r="AU141" s="37">
        <f t="shared" si="45"/>
        <v>0</v>
      </c>
      <c r="AV141" s="37">
        <f t="shared" si="46"/>
        <v>0</v>
      </c>
      <c r="AW141" s="37">
        <f t="shared" si="47"/>
        <v>0</v>
      </c>
      <c r="AX141" s="37">
        <f t="shared" si="48"/>
        <v>0</v>
      </c>
      <c r="AY141" s="37">
        <f t="shared" si="49"/>
        <v>0</v>
      </c>
      <c r="AZ141" s="37">
        <f t="shared" si="50"/>
        <v>0</v>
      </c>
      <c r="BA141" s="20"/>
    </row>
    <row r="142" spans="1:53" ht="14.1" customHeight="1" x14ac:dyDescent="0.25">
      <c r="A142" s="89"/>
      <c r="B142" s="101" t="str" cm="1">
        <f t="array" ref="B142">_xlfn.IFNA(INDEX(Employees[Employment Type],MATCH(Schedule!A142:A142,Employees[Employee Names],0)),"")</f>
        <v/>
      </c>
      <c r="C142" s="101" t="str">
        <f>_xlfn.IFNA(INDEX(Employees[Employee Role],MATCH(Schedule!A142,Employees[Employee Names],0)),"")</f>
        <v/>
      </c>
      <c r="D142" s="103">
        <f>COUNTA(IF(Settings!$D$14 = TRUE,E142:AT142,$E142:$AF142))</f>
        <v>0</v>
      </c>
      <c r="E142" s="90"/>
      <c r="F142" s="91"/>
      <c r="G142" s="91"/>
      <c r="H142" s="91"/>
      <c r="I142" s="91"/>
      <c r="J142" s="91"/>
      <c r="K142" s="92"/>
      <c r="L142" s="90"/>
      <c r="M142" s="91"/>
      <c r="N142" s="91"/>
      <c r="O142" s="91"/>
      <c r="P142" s="91"/>
      <c r="Q142" s="91"/>
      <c r="R142" s="92"/>
      <c r="S142" s="90"/>
      <c r="T142" s="91"/>
      <c r="U142" s="91"/>
      <c r="V142" s="91"/>
      <c r="W142" s="91"/>
      <c r="X142" s="91"/>
      <c r="Y142" s="92"/>
      <c r="Z142" s="90"/>
      <c r="AA142" s="91"/>
      <c r="AB142" s="91"/>
      <c r="AC142" s="91"/>
      <c r="AD142" s="91"/>
      <c r="AE142" s="91"/>
      <c r="AF142" s="93"/>
      <c r="AG142" s="90"/>
      <c r="AH142" s="91"/>
      <c r="AI142" s="91"/>
      <c r="AJ142" s="91"/>
      <c r="AK142" s="91"/>
      <c r="AL142" s="91"/>
      <c r="AM142" s="93"/>
      <c r="AN142" s="90"/>
      <c r="AO142" s="91"/>
      <c r="AP142" s="91"/>
      <c r="AQ142" s="91"/>
      <c r="AR142" s="91"/>
      <c r="AS142" s="91"/>
      <c r="AT142" s="93"/>
      <c r="AU142" s="37">
        <f t="shared" si="45"/>
        <v>0</v>
      </c>
      <c r="AV142" s="37">
        <f t="shared" si="46"/>
        <v>0</v>
      </c>
      <c r="AW142" s="37">
        <f t="shared" si="47"/>
        <v>0</v>
      </c>
      <c r="AX142" s="37">
        <f t="shared" si="48"/>
        <v>0</v>
      </c>
      <c r="AY142" s="37">
        <f t="shared" si="49"/>
        <v>0</v>
      </c>
      <c r="AZ142" s="37">
        <f t="shared" si="50"/>
        <v>0</v>
      </c>
      <c r="BA142" s="20"/>
    </row>
    <row r="143" spans="1:53" ht="14.1" customHeight="1" x14ac:dyDescent="0.25">
      <c r="A143" s="89"/>
      <c r="B143" s="101" t="str" cm="1">
        <f t="array" ref="B143">_xlfn.IFNA(INDEX(Employees[Employment Type],MATCH(Schedule!A143:A143,Employees[Employee Names],0)),"")</f>
        <v/>
      </c>
      <c r="C143" s="101" t="str">
        <f>_xlfn.IFNA(INDEX(Employees[Employee Role],MATCH(Schedule!A143,Employees[Employee Names],0)),"")</f>
        <v/>
      </c>
      <c r="D143" s="103">
        <f>COUNTA(IF(Settings!$D$14 = TRUE,E143:AT143,$E143:$AF143))</f>
        <v>0</v>
      </c>
      <c r="E143" s="90"/>
      <c r="F143" s="91"/>
      <c r="G143" s="91"/>
      <c r="H143" s="91"/>
      <c r="I143" s="91"/>
      <c r="J143" s="91"/>
      <c r="K143" s="92"/>
      <c r="L143" s="90"/>
      <c r="M143" s="91"/>
      <c r="N143" s="91"/>
      <c r="O143" s="91"/>
      <c r="P143" s="91"/>
      <c r="Q143" s="91"/>
      <c r="R143" s="92"/>
      <c r="S143" s="90"/>
      <c r="T143" s="91"/>
      <c r="U143" s="91"/>
      <c r="V143" s="91"/>
      <c r="W143" s="91"/>
      <c r="X143" s="91"/>
      <c r="Y143" s="92"/>
      <c r="Z143" s="90"/>
      <c r="AA143" s="91"/>
      <c r="AB143" s="91"/>
      <c r="AC143" s="91"/>
      <c r="AD143" s="91"/>
      <c r="AE143" s="91"/>
      <c r="AF143" s="93"/>
      <c r="AG143" s="90"/>
      <c r="AH143" s="91"/>
      <c r="AI143" s="91"/>
      <c r="AJ143" s="91"/>
      <c r="AK143" s="91"/>
      <c r="AL143" s="91"/>
      <c r="AM143" s="93"/>
      <c r="AN143" s="90"/>
      <c r="AO143" s="91"/>
      <c r="AP143" s="91"/>
      <c r="AQ143" s="91"/>
      <c r="AR143" s="91"/>
      <c r="AS143" s="91"/>
      <c r="AT143" s="93"/>
      <c r="AU143" s="37">
        <f t="shared" si="45"/>
        <v>0</v>
      </c>
      <c r="AV143" s="37">
        <f t="shared" si="46"/>
        <v>0</v>
      </c>
      <c r="AW143" s="37">
        <f t="shared" si="47"/>
        <v>0</v>
      </c>
      <c r="AX143" s="37">
        <f t="shared" si="48"/>
        <v>0</v>
      </c>
      <c r="AY143" s="37">
        <f t="shared" si="49"/>
        <v>0</v>
      </c>
      <c r="AZ143" s="37">
        <f t="shared" si="50"/>
        <v>0</v>
      </c>
      <c r="BA143" s="20"/>
    </row>
    <row r="144" spans="1:53" ht="14.1" customHeight="1" x14ac:dyDescent="0.25">
      <c r="A144" s="89"/>
      <c r="B144" s="101" t="str" cm="1">
        <f t="array" ref="B144">_xlfn.IFNA(INDEX(Employees[Employment Type],MATCH(Schedule!A144:A144,Employees[Employee Names],0)),"")</f>
        <v/>
      </c>
      <c r="C144" s="101" t="str">
        <f>_xlfn.IFNA(INDEX(Employees[Employee Role],MATCH(Schedule!A144,Employees[Employee Names],0)),"")</f>
        <v/>
      </c>
      <c r="D144" s="103">
        <f>COUNTA(IF(Settings!$D$14 = TRUE,E144:AT144,$E144:$AF144))</f>
        <v>0</v>
      </c>
      <c r="E144" s="90"/>
      <c r="F144" s="91"/>
      <c r="G144" s="91"/>
      <c r="H144" s="91"/>
      <c r="I144" s="91"/>
      <c r="J144" s="91"/>
      <c r="K144" s="92"/>
      <c r="L144" s="90"/>
      <c r="M144" s="91"/>
      <c r="N144" s="91"/>
      <c r="O144" s="91"/>
      <c r="P144" s="91"/>
      <c r="Q144" s="91"/>
      <c r="R144" s="92"/>
      <c r="S144" s="90"/>
      <c r="T144" s="91"/>
      <c r="U144" s="91"/>
      <c r="V144" s="91"/>
      <c r="W144" s="91"/>
      <c r="X144" s="91"/>
      <c r="Y144" s="92"/>
      <c r="Z144" s="90"/>
      <c r="AA144" s="91"/>
      <c r="AB144" s="91"/>
      <c r="AC144" s="91"/>
      <c r="AD144" s="91"/>
      <c r="AE144" s="91"/>
      <c r="AF144" s="93"/>
      <c r="AG144" s="90"/>
      <c r="AH144" s="91"/>
      <c r="AI144" s="91"/>
      <c r="AJ144" s="91"/>
      <c r="AK144" s="91"/>
      <c r="AL144" s="91"/>
      <c r="AM144" s="93"/>
      <c r="AN144" s="90"/>
      <c r="AO144" s="91"/>
      <c r="AP144" s="91"/>
      <c r="AQ144" s="91"/>
      <c r="AR144" s="91"/>
      <c r="AS144" s="91"/>
      <c r="AT144" s="93"/>
      <c r="AU144" s="37">
        <f t="shared" si="45"/>
        <v>0</v>
      </c>
      <c r="AV144" s="37">
        <f t="shared" si="46"/>
        <v>0</v>
      </c>
      <c r="AW144" s="37">
        <f t="shared" si="47"/>
        <v>0</v>
      </c>
      <c r="AX144" s="37">
        <f t="shared" si="48"/>
        <v>0</v>
      </c>
      <c r="AY144" s="37">
        <f t="shared" si="49"/>
        <v>0</v>
      </c>
      <c r="AZ144" s="37">
        <f t="shared" si="50"/>
        <v>0</v>
      </c>
      <c r="BA144" s="20"/>
    </row>
    <row r="145" spans="1:53" ht="14.1" customHeight="1" x14ac:dyDescent="0.25">
      <c r="A145" s="89"/>
      <c r="B145" s="101" t="str" cm="1">
        <f t="array" ref="B145">_xlfn.IFNA(INDEX(Employees[Employment Type],MATCH(Schedule!A145:A145,Employees[Employee Names],0)),"")</f>
        <v/>
      </c>
      <c r="C145" s="101" t="str">
        <f>_xlfn.IFNA(INDEX(Employees[Employee Role],MATCH(Schedule!A145,Employees[Employee Names],0)),"")</f>
        <v/>
      </c>
      <c r="D145" s="103">
        <f>COUNTA(IF(Settings!$D$14 = TRUE,E145:AT145,$E145:$AF145))</f>
        <v>0</v>
      </c>
      <c r="E145" s="90"/>
      <c r="F145" s="91"/>
      <c r="G145" s="91"/>
      <c r="H145" s="91"/>
      <c r="I145" s="91"/>
      <c r="J145" s="91"/>
      <c r="K145" s="92"/>
      <c r="L145" s="90"/>
      <c r="M145" s="91"/>
      <c r="N145" s="91"/>
      <c r="O145" s="91"/>
      <c r="P145" s="91"/>
      <c r="Q145" s="91"/>
      <c r="R145" s="92"/>
      <c r="S145" s="90"/>
      <c r="T145" s="91"/>
      <c r="U145" s="91"/>
      <c r="V145" s="91"/>
      <c r="W145" s="91"/>
      <c r="X145" s="91"/>
      <c r="Y145" s="92"/>
      <c r="Z145" s="90"/>
      <c r="AA145" s="91"/>
      <c r="AB145" s="91"/>
      <c r="AC145" s="91"/>
      <c r="AD145" s="91"/>
      <c r="AE145" s="91"/>
      <c r="AF145" s="93"/>
      <c r="AG145" s="90"/>
      <c r="AH145" s="91"/>
      <c r="AI145" s="91"/>
      <c r="AJ145" s="91"/>
      <c r="AK145" s="91"/>
      <c r="AL145" s="91"/>
      <c r="AM145" s="93"/>
      <c r="AN145" s="90"/>
      <c r="AO145" s="91"/>
      <c r="AP145" s="91"/>
      <c r="AQ145" s="91"/>
      <c r="AR145" s="91"/>
      <c r="AS145" s="91"/>
      <c r="AT145" s="93"/>
      <c r="AU145" s="37">
        <f t="shared" si="45"/>
        <v>0</v>
      </c>
      <c r="AV145" s="37">
        <f t="shared" si="46"/>
        <v>0</v>
      </c>
      <c r="AW145" s="37">
        <f t="shared" si="47"/>
        <v>0</v>
      </c>
      <c r="AX145" s="37">
        <f t="shared" si="48"/>
        <v>0</v>
      </c>
      <c r="AY145" s="37">
        <f t="shared" si="49"/>
        <v>0</v>
      </c>
      <c r="AZ145" s="37">
        <f t="shared" si="50"/>
        <v>0</v>
      </c>
      <c r="BA145" s="20"/>
    </row>
    <row r="146" spans="1:53" ht="14.1" customHeight="1" x14ac:dyDescent="0.25">
      <c r="A146" s="89"/>
      <c r="B146" s="101" t="str" cm="1">
        <f t="array" ref="B146">_xlfn.IFNA(INDEX(Employees[Employment Type],MATCH(Schedule!A146:A146,Employees[Employee Names],0)),"")</f>
        <v/>
      </c>
      <c r="C146" s="101" t="str">
        <f>_xlfn.IFNA(INDEX(Employees[Employee Role],MATCH(Schedule!A146,Employees[Employee Names],0)),"")</f>
        <v/>
      </c>
      <c r="D146" s="103">
        <f>COUNTA(IF(Settings!$D$14 = TRUE,E146:AT146,$E146:$AF146))</f>
        <v>0</v>
      </c>
      <c r="E146" s="90"/>
      <c r="F146" s="91"/>
      <c r="G146" s="91"/>
      <c r="H146" s="91"/>
      <c r="I146" s="91"/>
      <c r="J146" s="91"/>
      <c r="K146" s="92"/>
      <c r="L146" s="90"/>
      <c r="M146" s="91"/>
      <c r="N146" s="91"/>
      <c r="O146" s="91"/>
      <c r="P146" s="91"/>
      <c r="Q146" s="91"/>
      <c r="R146" s="92"/>
      <c r="S146" s="90"/>
      <c r="T146" s="91"/>
      <c r="U146" s="91"/>
      <c r="V146" s="91"/>
      <c r="W146" s="91"/>
      <c r="X146" s="91"/>
      <c r="Y146" s="92"/>
      <c r="Z146" s="90"/>
      <c r="AA146" s="91"/>
      <c r="AB146" s="91"/>
      <c r="AC146" s="91"/>
      <c r="AD146" s="91"/>
      <c r="AE146" s="91"/>
      <c r="AF146" s="93"/>
      <c r="AG146" s="90"/>
      <c r="AH146" s="91"/>
      <c r="AI146" s="91"/>
      <c r="AJ146" s="91"/>
      <c r="AK146" s="91"/>
      <c r="AL146" s="91"/>
      <c r="AM146" s="93"/>
      <c r="AN146" s="90"/>
      <c r="AO146" s="91"/>
      <c r="AP146" s="91"/>
      <c r="AQ146" s="91"/>
      <c r="AR146" s="91"/>
      <c r="AS146" s="91"/>
      <c r="AT146" s="93"/>
      <c r="AU146" s="37">
        <f t="shared" si="45"/>
        <v>0</v>
      </c>
      <c r="AV146" s="37">
        <f t="shared" si="46"/>
        <v>0</v>
      </c>
      <c r="AW146" s="37">
        <f t="shared" si="47"/>
        <v>0</v>
      </c>
      <c r="AX146" s="37">
        <f t="shared" si="48"/>
        <v>0</v>
      </c>
      <c r="AY146" s="37">
        <f t="shared" si="49"/>
        <v>0</v>
      </c>
      <c r="AZ146" s="37">
        <f t="shared" si="50"/>
        <v>0</v>
      </c>
      <c r="BA146" s="20"/>
    </row>
    <row r="147" spans="1:53" ht="14.1" customHeight="1" x14ac:dyDescent="0.25">
      <c r="A147" s="89"/>
      <c r="B147" s="101" t="str" cm="1">
        <f t="array" ref="B147">_xlfn.IFNA(INDEX(Employees[Employment Type],MATCH(Schedule!A147:A147,Employees[Employee Names],0)),"")</f>
        <v/>
      </c>
      <c r="C147" s="101" t="str">
        <f>_xlfn.IFNA(INDEX(Employees[Employee Role],MATCH(Schedule!A147,Employees[Employee Names],0)),"")</f>
        <v/>
      </c>
      <c r="D147" s="103">
        <f>COUNTA(IF(Settings!$D$14 = TRUE,E147:AT147,$E147:$AF147))</f>
        <v>0</v>
      </c>
      <c r="E147" s="90"/>
      <c r="F147" s="91"/>
      <c r="G147" s="91"/>
      <c r="H147" s="91"/>
      <c r="I147" s="91"/>
      <c r="J147" s="91"/>
      <c r="K147" s="92"/>
      <c r="L147" s="90"/>
      <c r="M147" s="91"/>
      <c r="N147" s="91"/>
      <c r="O147" s="91"/>
      <c r="P147" s="91"/>
      <c r="Q147" s="91"/>
      <c r="R147" s="92"/>
      <c r="S147" s="90"/>
      <c r="T147" s="91"/>
      <c r="U147" s="91"/>
      <c r="V147" s="91"/>
      <c r="W147" s="91"/>
      <c r="X147" s="91"/>
      <c r="Y147" s="92"/>
      <c r="Z147" s="90"/>
      <c r="AA147" s="91"/>
      <c r="AB147" s="91"/>
      <c r="AC147" s="91"/>
      <c r="AD147" s="91"/>
      <c r="AE147" s="91"/>
      <c r="AF147" s="93"/>
      <c r="AG147" s="90"/>
      <c r="AH147" s="91"/>
      <c r="AI147" s="91"/>
      <c r="AJ147" s="91"/>
      <c r="AK147" s="91"/>
      <c r="AL147" s="91"/>
      <c r="AM147" s="93"/>
      <c r="AN147" s="90"/>
      <c r="AO147" s="91"/>
      <c r="AP147" s="91"/>
      <c r="AQ147" s="91"/>
      <c r="AR147" s="91"/>
      <c r="AS147" s="91"/>
      <c r="AT147" s="93"/>
      <c r="AU147" s="37">
        <f t="shared" si="45"/>
        <v>0</v>
      </c>
      <c r="AV147" s="37">
        <f t="shared" si="46"/>
        <v>0</v>
      </c>
      <c r="AW147" s="37">
        <f t="shared" si="47"/>
        <v>0</v>
      </c>
      <c r="AX147" s="37">
        <f t="shared" si="48"/>
        <v>0</v>
      </c>
      <c r="AY147" s="37">
        <f t="shared" si="49"/>
        <v>0</v>
      </c>
      <c r="AZ147" s="37">
        <f t="shared" si="50"/>
        <v>0</v>
      </c>
      <c r="BA147" s="20"/>
    </row>
    <row r="148" spans="1:53" ht="14.1" customHeight="1" x14ac:dyDescent="0.25">
      <c r="A148" s="89"/>
      <c r="B148" s="101" t="str" cm="1">
        <f t="array" ref="B148">_xlfn.IFNA(INDEX(Employees[Employment Type],MATCH(Schedule!A148:A148,Employees[Employee Names],0)),"")</f>
        <v/>
      </c>
      <c r="C148" s="101" t="str">
        <f>_xlfn.IFNA(INDEX(Employees[Employee Role],MATCH(Schedule!A148,Employees[Employee Names],0)),"")</f>
        <v/>
      </c>
      <c r="D148" s="103">
        <f>COUNTA(IF(Settings!$D$14 = TRUE,E148:AT148,$E148:$AF148))</f>
        <v>0</v>
      </c>
      <c r="E148" s="90"/>
      <c r="F148" s="91"/>
      <c r="G148" s="91"/>
      <c r="H148" s="91"/>
      <c r="I148" s="91"/>
      <c r="J148" s="91"/>
      <c r="K148" s="92"/>
      <c r="L148" s="90"/>
      <c r="M148" s="91"/>
      <c r="N148" s="91"/>
      <c r="O148" s="91"/>
      <c r="P148" s="91"/>
      <c r="Q148" s="91"/>
      <c r="R148" s="92"/>
      <c r="S148" s="90"/>
      <c r="T148" s="91"/>
      <c r="U148" s="91"/>
      <c r="V148" s="91"/>
      <c r="W148" s="91"/>
      <c r="X148" s="91"/>
      <c r="Y148" s="92"/>
      <c r="Z148" s="90"/>
      <c r="AA148" s="91"/>
      <c r="AB148" s="91"/>
      <c r="AC148" s="91"/>
      <c r="AD148" s="91"/>
      <c r="AE148" s="91"/>
      <c r="AF148" s="93"/>
      <c r="AG148" s="90"/>
      <c r="AH148" s="91"/>
      <c r="AI148" s="91"/>
      <c r="AJ148" s="91"/>
      <c r="AK148" s="91"/>
      <c r="AL148" s="91"/>
      <c r="AM148" s="93"/>
      <c r="AN148" s="90"/>
      <c r="AO148" s="91"/>
      <c r="AP148" s="91"/>
      <c r="AQ148" s="91"/>
      <c r="AR148" s="91"/>
      <c r="AS148" s="91"/>
      <c r="AT148" s="93"/>
      <c r="AU148" s="37">
        <f t="shared" si="45"/>
        <v>0</v>
      </c>
      <c r="AV148" s="37">
        <f t="shared" si="46"/>
        <v>0</v>
      </c>
      <c r="AW148" s="37">
        <f t="shared" si="47"/>
        <v>0</v>
      </c>
      <c r="AX148" s="37">
        <f t="shared" si="48"/>
        <v>0</v>
      </c>
      <c r="AY148" s="37">
        <f t="shared" si="49"/>
        <v>0</v>
      </c>
      <c r="AZ148" s="37">
        <f t="shared" si="50"/>
        <v>0</v>
      </c>
      <c r="BA148" s="20"/>
    </row>
    <row r="149" spans="1:53" ht="14.1" customHeight="1" x14ac:dyDescent="0.25">
      <c r="A149" s="89"/>
      <c r="B149" s="101" t="str" cm="1">
        <f t="array" ref="B149">_xlfn.IFNA(INDEX(Employees[Employment Type],MATCH(Schedule!A149:A149,Employees[Employee Names],0)),"")</f>
        <v/>
      </c>
      <c r="C149" s="101" t="str">
        <f>_xlfn.IFNA(INDEX(Employees[Employee Role],MATCH(Schedule!A149,Employees[Employee Names],0)),"")</f>
        <v/>
      </c>
      <c r="D149" s="103">
        <f>COUNTA(IF(Settings!$D$14 = TRUE,E149:AT149,$E149:$AF149))</f>
        <v>0</v>
      </c>
      <c r="E149" s="90"/>
      <c r="F149" s="91"/>
      <c r="G149" s="91"/>
      <c r="H149" s="91"/>
      <c r="I149" s="91"/>
      <c r="J149" s="91"/>
      <c r="K149" s="92"/>
      <c r="L149" s="90"/>
      <c r="M149" s="91"/>
      <c r="N149" s="91"/>
      <c r="O149" s="91"/>
      <c r="P149" s="91"/>
      <c r="Q149" s="91"/>
      <c r="R149" s="92"/>
      <c r="S149" s="90"/>
      <c r="T149" s="91"/>
      <c r="U149" s="91"/>
      <c r="V149" s="91"/>
      <c r="W149" s="91"/>
      <c r="X149" s="91"/>
      <c r="Y149" s="92"/>
      <c r="Z149" s="90"/>
      <c r="AA149" s="91"/>
      <c r="AB149" s="91"/>
      <c r="AC149" s="91"/>
      <c r="AD149" s="91"/>
      <c r="AE149" s="91"/>
      <c r="AF149" s="93"/>
      <c r="AG149" s="90"/>
      <c r="AH149" s="91"/>
      <c r="AI149" s="91"/>
      <c r="AJ149" s="91"/>
      <c r="AK149" s="91"/>
      <c r="AL149" s="91"/>
      <c r="AM149" s="93"/>
      <c r="AN149" s="90"/>
      <c r="AO149" s="91"/>
      <c r="AP149" s="91"/>
      <c r="AQ149" s="91"/>
      <c r="AR149" s="91"/>
      <c r="AS149" s="91"/>
      <c r="AT149" s="93"/>
      <c r="AU149" s="37">
        <f t="shared" si="45"/>
        <v>0</v>
      </c>
      <c r="AV149" s="37">
        <f t="shared" si="46"/>
        <v>0</v>
      </c>
      <c r="AW149" s="37">
        <f t="shared" si="47"/>
        <v>0</v>
      </c>
      <c r="AX149" s="37">
        <f t="shared" si="48"/>
        <v>0</v>
      </c>
      <c r="AY149" s="37">
        <f t="shared" si="49"/>
        <v>0</v>
      </c>
      <c r="AZ149" s="37">
        <f t="shared" si="50"/>
        <v>0</v>
      </c>
      <c r="BA149" s="20"/>
    </row>
    <row r="150" spans="1:53" ht="14.1" customHeight="1" x14ac:dyDescent="0.25">
      <c r="A150" s="89"/>
      <c r="B150" s="101" t="str" cm="1">
        <f t="array" ref="B150">_xlfn.IFNA(INDEX(Employees[Employment Type],MATCH(Schedule!A150:A150,Employees[Employee Names],0)),"")</f>
        <v/>
      </c>
      <c r="C150" s="101" t="str">
        <f>_xlfn.IFNA(INDEX(Employees[Employee Role],MATCH(Schedule!A150,Employees[Employee Names],0)),"")</f>
        <v/>
      </c>
      <c r="D150" s="103">
        <f>COUNTA(IF(Settings!$D$14 = TRUE,E150:AT150,$E150:$AF150))</f>
        <v>0</v>
      </c>
      <c r="E150" s="90"/>
      <c r="F150" s="91"/>
      <c r="G150" s="91"/>
      <c r="H150" s="91"/>
      <c r="I150" s="91"/>
      <c r="J150" s="91"/>
      <c r="K150" s="92"/>
      <c r="L150" s="90"/>
      <c r="M150" s="91"/>
      <c r="N150" s="91"/>
      <c r="O150" s="91"/>
      <c r="P150" s="91"/>
      <c r="Q150" s="91"/>
      <c r="R150" s="92"/>
      <c r="S150" s="90"/>
      <c r="T150" s="91"/>
      <c r="U150" s="91"/>
      <c r="V150" s="91"/>
      <c r="W150" s="91"/>
      <c r="X150" s="91"/>
      <c r="Y150" s="92"/>
      <c r="Z150" s="90"/>
      <c r="AA150" s="91"/>
      <c r="AB150" s="91"/>
      <c r="AC150" s="91"/>
      <c r="AD150" s="91"/>
      <c r="AE150" s="91"/>
      <c r="AF150" s="93"/>
      <c r="AG150" s="90"/>
      <c r="AH150" s="91"/>
      <c r="AI150" s="91"/>
      <c r="AJ150" s="91"/>
      <c r="AK150" s="91"/>
      <c r="AL150" s="91"/>
      <c r="AM150" s="93"/>
      <c r="AN150" s="90"/>
      <c r="AO150" s="91"/>
      <c r="AP150" s="91"/>
      <c r="AQ150" s="91"/>
      <c r="AR150" s="91"/>
      <c r="AS150" s="91"/>
      <c r="AT150" s="93"/>
      <c r="AU150" s="37">
        <f t="shared" si="45"/>
        <v>0</v>
      </c>
      <c r="AV150" s="37">
        <f t="shared" si="46"/>
        <v>0</v>
      </c>
      <c r="AW150" s="37">
        <f t="shared" si="47"/>
        <v>0</v>
      </c>
      <c r="AX150" s="37">
        <f t="shared" si="48"/>
        <v>0</v>
      </c>
      <c r="AY150" s="37">
        <f t="shared" si="49"/>
        <v>0</v>
      </c>
      <c r="AZ150" s="37">
        <f t="shared" si="50"/>
        <v>0</v>
      </c>
      <c r="BA150" s="20"/>
    </row>
    <row r="151" spans="1:53" ht="14.1" customHeight="1" x14ac:dyDescent="0.25">
      <c r="A151" s="89"/>
      <c r="B151" s="101" t="str" cm="1">
        <f t="array" ref="B151">_xlfn.IFNA(INDEX(Employees[Employment Type],MATCH(Schedule!A151:A151,Employees[Employee Names],0)),"")</f>
        <v/>
      </c>
      <c r="C151" s="101" t="str">
        <f>_xlfn.IFNA(INDEX(Employees[Employee Role],MATCH(Schedule!A151,Employees[Employee Names],0)),"")</f>
        <v/>
      </c>
      <c r="D151" s="103">
        <f>COUNTA(IF(Settings!$D$14 = TRUE,E151:AT151,$E151:$AF151))</f>
        <v>0</v>
      </c>
      <c r="E151" s="90"/>
      <c r="F151" s="91"/>
      <c r="G151" s="91"/>
      <c r="H151" s="91"/>
      <c r="I151" s="91"/>
      <c r="J151" s="91"/>
      <c r="K151" s="92"/>
      <c r="L151" s="90"/>
      <c r="M151" s="91"/>
      <c r="N151" s="91"/>
      <c r="O151" s="91"/>
      <c r="P151" s="91"/>
      <c r="Q151" s="91"/>
      <c r="R151" s="92"/>
      <c r="S151" s="90"/>
      <c r="T151" s="91"/>
      <c r="U151" s="91"/>
      <c r="V151" s="91"/>
      <c r="W151" s="91"/>
      <c r="X151" s="91"/>
      <c r="Y151" s="92"/>
      <c r="Z151" s="90"/>
      <c r="AA151" s="91"/>
      <c r="AB151" s="91"/>
      <c r="AC151" s="91"/>
      <c r="AD151" s="91"/>
      <c r="AE151" s="91"/>
      <c r="AF151" s="93"/>
      <c r="AG151" s="90"/>
      <c r="AH151" s="91"/>
      <c r="AI151" s="91"/>
      <c r="AJ151" s="91"/>
      <c r="AK151" s="91"/>
      <c r="AL151" s="91"/>
      <c r="AM151" s="93"/>
      <c r="AN151" s="90"/>
      <c r="AO151" s="91"/>
      <c r="AP151" s="91"/>
      <c r="AQ151" s="91"/>
      <c r="AR151" s="91"/>
      <c r="AS151" s="91"/>
      <c r="AT151" s="93"/>
      <c r="AU151" s="37">
        <f t="shared" si="45"/>
        <v>0</v>
      </c>
      <c r="AV151" s="37">
        <f t="shared" si="46"/>
        <v>0</v>
      </c>
      <c r="AW151" s="37">
        <f t="shared" si="47"/>
        <v>0</v>
      </c>
      <c r="AX151" s="37">
        <f t="shared" si="48"/>
        <v>0</v>
      </c>
      <c r="AY151" s="37">
        <f t="shared" si="49"/>
        <v>0</v>
      </c>
      <c r="AZ151" s="37">
        <f t="shared" si="50"/>
        <v>0</v>
      </c>
      <c r="BA151" s="20"/>
    </row>
    <row r="152" spans="1:53" ht="14.1" customHeight="1" x14ac:dyDescent="0.25">
      <c r="A152" s="89"/>
      <c r="B152" s="101" t="str" cm="1">
        <f t="array" ref="B152">_xlfn.IFNA(INDEX(Employees[Employment Type],MATCH(Schedule!A152:A152,Employees[Employee Names],0)),"")</f>
        <v/>
      </c>
      <c r="C152" s="101" t="str">
        <f>_xlfn.IFNA(INDEX(Employees[Employee Role],MATCH(Schedule!A152,Employees[Employee Names],0)),"")</f>
        <v/>
      </c>
      <c r="D152" s="103">
        <f>COUNTA(IF(Settings!$D$14 = TRUE,E152:AT152,$E152:$AF152))</f>
        <v>0</v>
      </c>
      <c r="E152" s="90"/>
      <c r="F152" s="91"/>
      <c r="G152" s="91"/>
      <c r="H152" s="91"/>
      <c r="I152" s="91"/>
      <c r="J152" s="91"/>
      <c r="K152" s="92"/>
      <c r="L152" s="90"/>
      <c r="M152" s="91"/>
      <c r="N152" s="91"/>
      <c r="O152" s="91"/>
      <c r="P152" s="91"/>
      <c r="Q152" s="91"/>
      <c r="R152" s="92"/>
      <c r="S152" s="90"/>
      <c r="T152" s="91"/>
      <c r="U152" s="91"/>
      <c r="V152" s="91"/>
      <c r="W152" s="91"/>
      <c r="X152" s="91"/>
      <c r="Y152" s="92"/>
      <c r="Z152" s="90"/>
      <c r="AA152" s="91"/>
      <c r="AB152" s="91"/>
      <c r="AC152" s="91"/>
      <c r="AD152" s="91"/>
      <c r="AE152" s="91"/>
      <c r="AF152" s="93"/>
      <c r="AG152" s="90"/>
      <c r="AH152" s="91"/>
      <c r="AI152" s="91"/>
      <c r="AJ152" s="91"/>
      <c r="AK152" s="91"/>
      <c r="AL152" s="91"/>
      <c r="AM152" s="93"/>
      <c r="AN152" s="90"/>
      <c r="AO152" s="91"/>
      <c r="AP152" s="91"/>
      <c r="AQ152" s="91"/>
      <c r="AR152" s="91"/>
      <c r="AS152" s="91"/>
      <c r="AT152" s="93"/>
      <c r="AU152" s="37">
        <f t="shared" si="45"/>
        <v>0</v>
      </c>
      <c r="AV152" s="37">
        <f t="shared" si="46"/>
        <v>0</v>
      </c>
      <c r="AW152" s="37">
        <f t="shared" si="47"/>
        <v>0</v>
      </c>
      <c r="AX152" s="37">
        <f t="shared" si="48"/>
        <v>0</v>
      </c>
      <c r="AY152" s="37">
        <f t="shared" si="49"/>
        <v>0</v>
      </c>
      <c r="AZ152" s="37">
        <f t="shared" si="50"/>
        <v>0</v>
      </c>
      <c r="BA152" s="20"/>
    </row>
    <row r="153" spans="1:53" ht="14.1" customHeight="1" x14ac:dyDescent="0.25">
      <c r="A153" s="89"/>
      <c r="B153" s="101" t="str" cm="1">
        <f t="array" ref="B153">_xlfn.IFNA(INDEX(Employees[Employment Type],MATCH(Schedule!A153:A153,Employees[Employee Names],0)),"")</f>
        <v/>
      </c>
      <c r="C153" s="101" t="str">
        <f>_xlfn.IFNA(INDEX(Employees[Employee Role],MATCH(Schedule!A153,Employees[Employee Names],0)),"")</f>
        <v/>
      </c>
      <c r="D153" s="103">
        <f>COUNTA(IF(Settings!$D$14 = TRUE,E153:AT153,$E153:$AF153))</f>
        <v>0</v>
      </c>
      <c r="E153" s="90"/>
      <c r="F153" s="91"/>
      <c r="G153" s="91"/>
      <c r="H153" s="91"/>
      <c r="I153" s="91"/>
      <c r="J153" s="91"/>
      <c r="K153" s="92"/>
      <c r="L153" s="90"/>
      <c r="M153" s="91"/>
      <c r="N153" s="91"/>
      <c r="O153" s="91"/>
      <c r="P153" s="91"/>
      <c r="Q153" s="91"/>
      <c r="R153" s="92"/>
      <c r="S153" s="90"/>
      <c r="T153" s="91"/>
      <c r="U153" s="91"/>
      <c r="V153" s="91"/>
      <c r="W153" s="91"/>
      <c r="X153" s="91"/>
      <c r="Y153" s="92"/>
      <c r="Z153" s="90"/>
      <c r="AA153" s="91"/>
      <c r="AB153" s="91"/>
      <c r="AC153" s="91"/>
      <c r="AD153" s="91"/>
      <c r="AE153" s="91"/>
      <c r="AF153" s="93"/>
      <c r="AG153" s="90"/>
      <c r="AH153" s="91"/>
      <c r="AI153" s="91"/>
      <c r="AJ153" s="91"/>
      <c r="AK153" s="91"/>
      <c r="AL153" s="91"/>
      <c r="AM153" s="93"/>
      <c r="AN153" s="90"/>
      <c r="AO153" s="91"/>
      <c r="AP153" s="91"/>
      <c r="AQ153" s="91"/>
      <c r="AR153" s="91"/>
      <c r="AS153" s="91"/>
      <c r="AT153" s="93"/>
      <c r="AU153" s="37">
        <f t="shared" si="45"/>
        <v>0</v>
      </c>
      <c r="AV153" s="37">
        <f t="shared" si="46"/>
        <v>0</v>
      </c>
      <c r="AW153" s="37">
        <f t="shared" si="47"/>
        <v>0</v>
      </c>
      <c r="AX153" s="37">
        <f t="shared" si="48"/>
        <v>0</v>
      </c>
      <c r="AY153" s="37">
        <f t="shared" si="49"/>
        <v>0</v>
      </c>
      <c r="AZ153" s="37">
        <f t="shared" si="50"/>
        <v>0</v>
      </c>
      <c r="BA153" s="20"/>
    </row>
    <row r="154" spans="1:53" ht="14.1" customHeight="1" x14ac:dyDescent="0.25">
      <c r="A154" s="89"/>
      <c r="B154" s="101" t="str" cm="1">
        <f t="array" ref="B154">_xlfn.IFNA(INDEX(Employees[Employment Type],MATCH(Schedule!A154:A154,Employees[Employee Names],0)),"")</f>
        <v/>
      </c>
      <c r="C154" s="101" t="str">
        <f>_xlfn.IFNA(INDEX(Employees[Employee Role],MATCH(Schedule!A154,Employees[Employee Names],0)),"")</f>
        <v/>
      </c>
      <c r="D154" s="103">
        <f>COUNTA(IF(Settings!$D$14 = TRUE,E154:AT154,$E154:$AF154))</f>
        <v>0</v>
      </c>
      <c r="E154" s="90"/>
      <c r="F154" s="91"/>
      <c r="G154" s="91"/>
      <c r="H154" s="91"/>
      <c r="I154" s="91"/>
      <c r="J154" s="91"/>
      <c r="K154" s="92"/>
      <c r="L154" s="90"/>
      <c r="M154" s="91"/>
      <c r="N154" s="91"/>
      <c r="O154" s="91"/>
      <c r="P154" s="91"/>
      <c r="Q154" s="91"/>
      <c r="R154" s="92"/>
      <c r="S154" s="90"/>
      <c r="T154" s="91"/>
      <c r="U154" s="91"/>
      <c r="V154" s="91"/>
      <c r="W154" s="91"/>
      <c r="X154" s="91"/>
      <c r="Y154" s="92"/>
      <c r="Z154" s="90"/>
      <c r="AA154" s="91"/>
      <c r="AB154" s="91"/>
      <c r="AC154" s="91"/>
      <c r="AD154" s="91"/>
      <c r="AE154" s="91"/>
      <c r="AF154" s="93"/>
      <c r="AG154" s="90"/>
      <c r="AH154" s="91"/>
      <c r="AI154" s="91"/>
      <c r="AJ154" s="91"/>
      <c r="AK154" s="91"/>
      <c r="AL154" s="91"/>
      <c r="AM154" s="93"/>
      <c r="AN154" s="90"/>
      <c r="AO154" s="91"/>
      <c r="AP154" s="91"/>
      <c r="AQ154" s="91"/>
      <c r="AR154" s="91"/>
      <c r="AS154" s="91"/>
      <c r="AT154" s="93"/>
      <c r="AU154" s="37">
        <f t="shared" si="45"/>
        <v>0</v>
      </c>
      <c r="AV154" s="37">
        <f t="shared" si="46"/>
        <v>0</v>
      </c>
      <c r="AW154" s="37">
        <f t="shared" si="47"/>
        <v>0</v>
      </c>
      <c r="AX154" s="37">
        <f t="shared" si="48"/>
        <v>0</v>
      </c>
      <c r="AY154" s="37">
        <f t="shared" si="49"/>
        <v>0</v>
      </c>
      <c r="AZ154" s="37">
        <f t="shared" si="50"/>
        <v>0</v>
      </c>
      <c r="BA154" s="20"/>
    </row>
    <row r="155" spans="1:53" ht="14.1" customHeight="1" x14ac:dyDescent="0.25">
      <c r="A155" s="89"/>
      <c r="B155" s="101" t="str" cm="1">
        <f t="array" ref="B155">_xlfn.IFNA(INDEX(Employees[Employment Type],MATCH(Schedule!A155:A155,Employees[Employee Names],0)),"")</f>
        <v/>
      </c>
      <c r="C155" s="101" t="str">
        <f>_xlfn.IFNA(INDEX(Employees[Employee Role],MATCH(Schedule!A155,Employees[Employee Names],0)),"")</f>
        <v/>
      </c>
      <c r="D155" s="103">
        <f>COUNTA(IF(Settings!$D$14 = TRUE,E155:AT155,$E155:$AF155))</f>
        <v>0</v>
      </c>
      <c r="E155" s="90"/>
      <c r="F155" s="91"/>
      <c r="G155" s="91"/>
      <c r="H155" s="91"/>
      <c r="I155" s="91"/>
      <c r="J155" s="91"/>
      <c r="K155" s="92"/>
      <c r="L155" s="90"/>
      <c r="M155" s="91"/>
      <c r="N155" s="91"/>
      <c r="O155" s="91"/>
      <c r="P155" s="91"/>
      <c r="Q155" s="91"/>
      <c r="R155" s="92"/>
      <c r="S155" s="90"/>
      <c r="T155" s="91"/>
      <c r="U155" s="91"/>
      <c r="V155" s="91"/>
      <c r="W155" s="91"/>
      <c r="X155" s="91"/>
      <c r="Y155" s="92"/>
      <c r="Z155" s="90"/>
      <c r="AA155" s="91"/>
      <c r="AB155" s="91"/>
      <c r="AC155" s="91"/>
      <c r="AD155" s="91"/>
      <c r="AE155" s="91"/>
      <c r="AF155" s="93"/>
      <c r="AG155" s="90"/>
      <c r="AH155" s="91"/>
      <c r="AI155" s="91"/>
      <c r="AJ155" s="91"/>
      <c r="AK155" s="91"/>
      <c r="AL155" s="91"/>
      <c r="AM155" s="93"/>
      <c r="AN155" s="90"/>
      <c r="AO155" s="91"/>
      <c r="AP155" s="91"/>
      <c r="AQ155" s="91"/>
      <c r="AR155" s="91"/>
      <c r="AS155" s="91"/>
      <c r="AT155" s="93"/>
      <c r="AU155" s="37">
        <f t="shared" si="45"/>
        <v>0</v>
      </c>
      <c r="AV155" s="37">
        <f t="shared" si="46"/>
        <v>0</v>
      </c>
      <c r="AW155" s="37">
        <f t="shared" si="47"/>
        <v>0</v>
      </c>
      <c r="AX155" s="37">
        <f t="shared" si="48"/>
        <v>0</v>
      </c>
      <c r="AY155" s="37">
        <f t="shared" si="49"/>
        <v>0</v>
      </c>
      <c r="AZ155" s="37">
        <f t="shared" si="50"/>
        <v>0</v>
      </c>
      <c r="BA155" s="20"/>
    </row>
    <row r="156" spans="1:53" ht="14.1" customHeight="1" x14ac:dyDescent="0.25">
      <c r="A156" s="89"/>
      <c r="B156" s="101" t="str" cm="1">
        <f t="array" ref="B156">_xlfn.IFNA(INDEX(Employees[Employment Type],MATCH(Schedule!A156:A156,Employees[Employee Names],0)),"")</f>
        <v/>
      </c>
      <c r="C156" s="101" t="str">
        <f>_xlfn.IFNA(INDEX(Employees[Employee Role],MATCH(Schedule!A156,Employees[Employee Names],0)),"")</f>
        <v/>
      </c>
      <c r="D156" s="103">
        <f>COUNTA(IF(Settings!$D$14 = TRUE,E156:AT156,$E156:$AF156))</f>
        <v>0</v>
      </c>
      <c r="E156" s="90"/>
      <c r="F156" s="91"/>
      <c r="G156" s="91"/>
      <c r="H156" s="91"/>
      <c r="I156" s="91"/>
      <c r="J156" s="91"/>
      <c r="K156" s="92"/>
      <c r="L156" s="90"/>
      <c r="M156" s="91"/>
      <c r="N156" s="91"/>
      <c r="O156" s="91"/>
      <c r="P156" s="91"/>
      <c r="Q156" s="91"/>
      <c r="R156" s="92"/>
      <c r="S156" s="90"/>
      <c r="T156" s="91"/>
      <c r="U156" s="91"/>
      <c r="V156" s="91"/>
      <c r="W156" s="91"/>
      <c r="X156" s="91"/>
      <c r="Y156" s="92"/>
      <c r="Z156" s="90"/>
      <c r="AA156" s="91"/>
      <c r="AB156" s="91"/>
      <c r="AC156" s="91"/>
      <c r="AD156" s="91"/>
      <c r="AE156" s="91"/>
      <c r="AF156" s="93"/>
      <c r="AG156" s="90"/>
      <c r="AH156" s="91"/>
      <c r="AI156" s="91"/>
      <c r="AJ156" s="91"/>
      <c r="AK156" s="91"/>
      <c r="AL156" s="91"/>
      <c r="AM156" s="93"/>
      <c r="AN156" s="90"/>
      <c r="AO156" s="91"/>
      <c r="AP156" s="91"/>
      <c r="AQ156" s="91"/>
      <c r="AR156" s="91"/>
      <c r="AS156" s="91"/>
      <c r="AT156" s="93"/>
      <c r="AU156" s="37">
        <f t="shared" si="45"/>
        <v>0</v>
      </c>
      <c r="AV156" s="37">
        <f t="shared" si="46"/>
        <v>0</v>
      </c>
      <c r="AW156" s="37">
        <f t="shared" si="47"/>
        <v>0</v>
      </c>
      <c r="AX156" s="37">
        <f t="shared" si="48"/>
        <v>0</v>
      </c>
      <c r="AY156" s="37">
        <f t="shared" si="49"/>
        <v>0</v>
      </c>
      <c r="AZ156" s="37">
        <f t="shared" si="50"/>
        <v>0</v>
      </c>
      <c r="BA156" s="20"/>
    </row>
    <row r="157" spans="1:53" ht="14.1" customHeight="1" x14ac:dyDescent="0.25">
      <c r="A157" s="89"/>
      <c r="B157" s="101" t="str" cm="1">
        <f t="array" ref="B157">_xlfn.IFNA(INDEX(Employees[Employment Type],MATCH(Schedule!A157:A157,Employees[Employee Names],0)),"")</f>
        <v/>
      </c>
      <c r="C157" s="101" t="str">
        <f>_xlfn.IFNA(INDEX(Employees[Employee Role],MATCH(Schedule!A157,Employees[Employee Names],0)),"")</f>
        <v/>
      </c>
      <c r="D157" s="103">
        <f>COUNTA(IF(Settings!$D$14 = TRUE,E157:AT157,$E157:$AF157))</f>
        <v>0</v>
      </c>
      <c r="E157" s="90"/>
      <c r="F157" s="91"/>
      <c r="G157" s="91"/>
      <c r="H157" s="91"/>
      <c r="I157" s="91"/>
      <c r="J157" s="91"/>
      <c r="K157" s="92"/>
      <c r="L157" s="90"/>
      <c r="M157" s="91"/>
      <c r="N157" s="91"/>
      <c r="O157" s="91"/>
      <c r="P157" s="91"/>
      <c r="Q157" s="91"/>
      <c r="R157" s="92"/>
      <c r="S157" s="90"/>
      <c r="T157" s="91"/>
      <c r="U157" s="91"/>
      <c r="V157" s="91"/>
      <c r="W157" s="91"/>
      <c r="X157" s="91"/>
      <c r="Y157" s="92"/>
      <c r="Z157" s="90"/>
      <c r="AA157" s="91"/>
      <c r="AB157" s="91"/>
      <c r="AC157" s="91"/>
      <c r="AD157" s="91"/>
      <c r="AE157" s="91"/>
      <c r="AF157" s="93"/>
      <c r="AG157" s="90"/>
      <c r="AH157" s="91"/>
      <c r="AI157" s="91"/>
      <c r="AJ157" s="91"/>
      <c r="AK157" s="91"/>
      <c r="AL157" s="91"/>
      <c r="AM157" s="93"/>
      <c r="AN157" s="90"/>
      <c r="AO157" s="91"/>
      <c r="AP157" s="91"/>
      <c r="AQ157" s="91"/>
      <c r="AR157" s="91"/>
      <c r="AS157" s="91"/>
      <c r="AT157" s="93"/>
      <c r="AU157" s="37">
        <f t="shared" si="45"/>
        <v>0</v>
      </c>
      <c r="AV157" s="37">
        <f t="shared" si="46"/>
        <v>0</v>
      </c>
      <c r="AW157" s="37">
        <f t="shared" si="47"/>
        <v>0</v>
      </c>
      <c r="AX157" s="37">
        <f t="shared" si="48"/>
        <v>0</v>
      </c>
      <c r="AY157" s="37">
        <f t="shared" si="49"/>
        <v>0</v>
      </c>
      <c r="AZ157" s="37">
        <f t="shared" si="50"/>
        <v>0</v>
      </c>
      <c r="BA157" s="20"/>
    </row>
    <row r="158" spans="1:53" ht="14.1" customHeight="1" x14ac:dyDescent="0.25">
      <c r="A158" s="89"/>
      <c r="B158" s="101" t="str" cm="1">
        <f t="array" ref="B158">_xlfn.IFNA(INDEX(Employees[Employment Type],MATCH(Schedule!A158:A158,Employees[Employee Names],0)),"")</f>
        <v/>
      </c>
      <c r="C158" s="101" t="str">
        <f>_xlfn.IFNA(INDEX(Employees[Employee Role],MATCH(Schedule!A158,Employees[Employee Names],0)),"")</f>
        <v/>
      </c>
      <c r="D158" s="103">
        <f>COUNTA(IF(Settings!$D$14 = TRUE,E158:AT158,$E158:$AF158))</f>
        <v>0</v>
      </c>
      <c r="E158" s="90"/>
      <c r="F158" s="91"/>
      <c r="G158" s="91"/>
      <c r="H158" s="91"/>
      <c r="I158" s="91"/>
      <c r="J158" s="91"/>
      <c r="K158" s="92"/>
      <c r="L158" s="90"/>
      <c r="M158" s="91"/>
      <c r="N158" s="91"/>
      <c r="O158" s="91"/>
      <c r="P158" s="91"/>
      <c r="Q158" s="91"/>
      <c r="R158" s="92"/>
      <c r="S158" s="90"/>
      <c r="T158" s="91"/>
      <c r="U158" s="91"/>
      <c r="V158" s="91"/>
      <c r="W158" s="91"/>
      <c r="X158" s="91"/>
      <c r="Y158" s="92"/>
      <c r="Z158" s="90"/>
      <c r="AA158" s="91"/>
      <c r="AB158" s="91"/>
      <c r="AC158" s="91"/>
      <c r="AD158" s="91"/>
      <c r="AE158" s="91"/>
      <c r="AF158" s="93"/>
      <c r="AG158" s="90"/>
      <c r="AH158" s="91"/>
      <c r="AI158" s="91"/>
      <c r="AJ158" s="91"/>
      <c r="AK158" s="91"/>
      <c r="AL158" s="91"/>
      <c r="AM158" s="93"/>
      <c r="AN158" s="90"/>
      <c r="AO158" s="91"/>
      <c r="AP158" s="91"/>
      <c r="AQ158" s="91"/>
      <c r="AR158" s="91"/>
      <c r="AS158" s="91"/>
      <c r="AT158" s="93"/>
      <c r="AU158" s="37">
        <f t="shared" si="45"/>
        <v>0</v>
      </c>
      <c r="AV158" s="37">
        <f t="shared" si="46"/>
        <v>0</v>
      </c>
      <c r="AW158" s="37">
        <f t="shared" si="47"/>
        <v>0</v>
      </c>
      <c r="AX158" s="37">
        <f t="shared" si="48"/>
        <v>0</v>
      </c>
      <c r="AY158" s="37">
        <f t="shared" si="49"/>
        <v>0</v>
      </c>
      <c r="AZ158" s="37">
        <f t="shared" si="50"/>
        <v>0</v>
      </c>
      <c r="BA158" s="20"/>
    </row>
    <row r="159" spans="1:53" ht="14.1" customHeight="1" x14ac:dyDescent="0.25">
      <c r="A159" s="89"/>
      <c r="B159" s="101" t="str" cm="1">
        <f t="array" ref="B159">_xlfn.IFNA(INDEX(Employees[Employment Type],MATCH(Schedule!A159:A159,Employees[Employee Names],0)),"")</f>
        <v/>
      </c>
      <c r="C159" s="101" t="str">
        <f>_xlfn.IFNA(INDEX(Employees[Employee Role],MATCH(Schedule!A159,Employees[Employee Names],0)),"")</f>
        <v/>
      </c>
      <c r="D159" s="103">
        <f>COUNTA(IF(Settings!$D$14 = TRUE,E159:AT159,$E159:$AF159))</f>
        <v>0</v>
      </c>
      <c r="E159" s="90"/>
      <c r="F159" s="91"/>
      <c r="G159" s="91"/>
      <c r="H159" s="91"/>
      <c r="I159" s="91"/>
      <c r="J159" s="91"/>
      <c r="K159" s="92"/>
      <c r="L159" s="90"/>
      <c r="M159" s="91"/>
      <c r="N159" s="91"/>
      <c r="O159" s="91"/>
      <c r="P159" s="91"/>
      <c r="Q159" s="91"/>
      <c r="R159" s="92"/>
      <c r="S159" s="90"/>
      <c r="T159" s="91"/>
      <c r="U159" s="91"/>
      <c r="V159" s="91"/>
      <c r="W159" s="91"/>
      <c r="X159" s="91"/>
      <c r="Y159" s="92"/>
      <c r="Z159" s="90"/>
      <c r="AA159" s="91"/>
      <c r="AB159" s="91"/>
      <c r="AC159" s="91"/>
      <c r="AD159" s="91"/>
      <c r="AE159" s="91"/>
      <c r="AF159" s="93"/>
      <c r="AG159" s="90"/>
      <c r="AH159" s="91"/>
      <c r="AI159" s="91"/>
      <c r="AJ159" s="91"/>
      <c r="AK159" s="91"/>
      <c r="AL159" s="91"/>
      <c r="AM159" s="93"/>
      <c r="AN159" s="90"/>
      <c r="AO159" s="91"/>
      <c r="AP159" s="91"/>
      <c r="AQ159" s="91"/>
      <c r="AR159" s="91"/>
      <c r="AS159" s="91"/>
      <c r="AT159" s="93"/>
      <c r="AU159" s="37">
        <f t="shared" si="45"/>
        <v>0</v>
      </c>
      <c r="AV159" s="37">
        <f t="shared" si="46"/>
        <v>0</v>
      </c>
      <c r="AW159" s="37">
        <f t="shared" si="47"/>
        <v>0</v>
      </c>
      <c r="AX159" s="37">
        <f t="shared" si="48"/>
        <v>0</v>
      </c>
      <c r="AY159" s="37">
        <f t="shared" si="49"/>
        <v>0</v>
      </c>
      <c r="AZ159" s="37">
        <f t="shared" si="50"/>
        <v>0</v>
      </c>
      <c r="BA159" s="20"/>
    </row>
    <row r="160" spans="1:53" ht="14.1" customHeight="1" x14ac:dyDescent="0.25">
      <c r="A160" s="89"/>
      <c r="B160" s="101" t="str" cm="1">
        <f t="array" ref="B160">_xlfn.IFNA(INDEX(Employees[Employment Type],MATCH(Schedule!A160:A160,Employees[Employee Names],0)),"")</f>
        <v/>
      </c>
      <c r="C160" s="101" t="str">
        <f>_xlfn.IFNA(INDEX(Employees[Employee Role],MATCH(Schedule!A160,Employees[Employee Names],0)),"")</f>
        <v/>
      </c>
      <c r="D160" s="103">
        <f>COUNTA(IF(Settings!$D$14 = TRUE,E160:AT160,$E160:$AF160))</f>
        <v>0</v>
      </c>
      <c r="E160" s="90"/>
      <c r="F160" s="91"/>
      <c r="G160" s="91"/>
      <c r="H160" s="91"/>
      <c r="I160" s="91"/>
      <c r="J160" s="91"/>
      <c r="K160" s="92"/>
      <c r="L160" s="90"/>
      <c r="M160" s="91"/>
      <c r="N160" s="91"/>
      <c r="O160" s="91"/>
      <c r="P160" s="91"/>
      <c r="Q160" s="91"/>
      <c r="R160" s="92"/>
      <c r="S160" s="90"/>
      <c r="T160" s="91"/>
      <c r="U160" s="91"/>
      <c r="V160" s="91"/>
      <c r="W160" s="91"/>
      <c r="X160" s="91"/>
      <c r="Y160" s="92"/>
      <c r="Z160" s="90"/>
      <c r="AA160" s="91"/>
      <c r="AB160" s="91"/>
      <c r="AC160" s="91"/>
      <c r="AD160" s="91"/>
      <c r="AE160" s="91"/>
      <c r="AF160" s="93"/>
      <c r="AG160" s="90"/>
      <c r="AH160" s="91"/>
      <c r="AI160" s="91"/>
      <c r="AJ160" s="91"/>
      <c r="AK160" s="91"/>
      <c r="AL160" s="91"/>
      <c r="AM160" s="93"/>
      <c r="AN160" s="90"/>
      <c r="AO160" s="91"/>
      <c r="AP160" s="91"/>
      <c r="AQ160" s="91"/>
      <c r="AR160" s="91"/>
      <c r="AS160" s="91"/>
      <c r="AT160" s="93"/>
      <c r="AU160" s="37">
        <f t="shared" si="45"/>
        <v>0</v>
      </c>
      <c r="AV160" s="37">
        <f t="shared" si="46"/>
        <v>0</v>
      </c>
      <c r="AW160" s="37">
        <f t="shared" si="47"/>
        <v>0</v>
      </c>
      <c r="AX160" s="37">
        <f t="shared" si="48"/>
        <v>0</v>
      </c>
      <c r="AY160" s="37">
        <f t="shared" si="49"/>
        <v>0</v>
      </c>
      <c r="AZ160" s="37">
        <f t="shared" si="50"/>
        <v>0</v>
      </c>
      <c r="BA160" s="20"/>
    </row>
    <row r="161" spans="1:53" ht="14.1" customHeight="1" x14ac:dyDescent="0.25">
      <c r="A161" s="89"/>
      <c r="B161" s="101" t="str" cm="1">
        <f t="array" ref="B161">_xlfn.IFNA(INDEX(Employees[Employment Type],MATCH(Schedule!A161:A161,Employees[Employee Names],0)),"")</f>
        <v/>
      </c>
      <c r="C161" s="101" t="str">
        <f>_xlfn.IFNA(INDEX(Employees[Employee Role],MATCH(Schedule!A161,Employees[Employee Names],0)),"")</f>
        <v/>
      </c>
      <c r="D161" s="103">
        <f>COUNTA(IF(Settings!$D$14 = TRUE,E161:AT161,$E161:$AF161))</f>
        <v>0</v>
      </c>
      <c r="E161" s="90"/>
      <c r="F161" s="91"/>
      <c r="G161" s="91"/>
      <c r="H161" s="91"/>
      <c r="I161" s="91"/>
      <c r="J161" s="91"/>
      <c r="K161" s="92"/>
      <c r="L161" s="90"/>
      <c r="M161" s="91"/>
      <c r="N161" s="91"/>
      <c r="O161" s="91"/>
      <c r="P161" s="91"/>
      <c r="Q161" s="91"/>
      <c r="R161" s="92"/>
      <c r="S161" s="90"/>
      <c r="T161" s="91"/>
      <c r="U161" s="91"/>
      <c r="V161" s="91"/>
      <c r="W161" s="91"/>
      <c r="X161" s="91"/>
      <c r="Y161" s="92"/>
      <c r="Z161" s="90"/>
      <c r="AA161" s="91"/>
      <c r="AB161" s="91"/>
      <c r="AC161" s="91"/>
      <c r="AD161" s="91"/>
      <c r="AE161" s="91"/>
      <c r="AF161" s="93"/>
      <c r="AG161" s="90"/>
      <c r="AH161" s="91"/>
      <c r="AI161" s="91"/>
      <c r="AJ161" s="91"/>
      <c r="AK161" s="91"/>
      <c r="AL161" s="91"/>
      <c r="AM161" s="93"/>
      <c r="AN161" s="90"/>
      <c r="AO161" s="91"/>
      <c r="AP161" s="91"/>
      <c r="AQ161" s="91"/>
      <c r="AR161" s="91"/>
      <c r="AS161" s="91"/>
      <c r="AT161" s="93"/>
      <c r="AU161" s="37">
        <f t="shared" si="45"/>
        <v>0</v>
      </c>
      <c r="AV161" s="37">
        <f t="shared" si="46"/>
        <v>0</v>
      </c>
      <c r="AW161" s="37">
        <f t="shared" si="47"/>
        <v>0</v>
      </c>
      <c r="AX161" s="37">
        <f t="shared" si="48"/>
        <v>0</v>
      </c>
      <c r="AY161" s="37">
        <f t="shared" si="49"/>
        <v>0</v>
      </c>
      <c r="AZ161" s="37">
        <f t="shared" si="50"/>
        <v>0</v>
      </c>
      <c r="BA161" s="20"/>
    </row>
    <row r="162" spans="1:53" ht="14.1" customHeight="1" x14ac:dyDescent="0.25">
      <c r="A162" s="89"/>
      <c r="B162" s="101" t="str" cm="1">
        <f t="array" ref="B162">_xlfn.IFNA(INDEX(Employees[Employment Type],MATCH(Schedule!A162:A162,Employees[Employee Names],0)),"")</f>
        <v/>
      </c>
      <c r="C162" s="101" t="str">
        <f>_xlfn.IFNA(INDEX(Employees[Employee Role],MATCH(Schedule!A162,Employees[Employee Names],0)),"")</f>
        <v/>
      </c>
      <c r="D162" s="103">
        <f>COUNTA(IF(Settings!$D$14 = TRUE,E162:AT162,$E162:$AF162))</f>
        <v>0</v>
      </c>
      <c r="E162" s="90"/>
      <c r="F162" s="91"/>
      <c r="G162" s="91"/>
      <c r="H162" s="91"/>
      <c r="I162" s="91"/>
      <c r="J162" s="91"/>
      <c r="K162" s="92"/>
      <c r="L162" s="90"/>
      <c r="M162" s="91"/>
      <c r="N162" s="91"/>
      <c r="O162" s="91"/>
      <c r="P162" s="91"/>
      <c r="Q162" s="91"/>
      <c r="R162" s="92"/>
      <c r="S162" s="90"/>
      <c r="T162" s="91"/>
      <c r="U162" s="91"/>
      <c r="V162" s="91"/>
      <c r="W162" s="91"/>
      <c r="X162" s="91"/>
      <c r="Y162" s="92"/>
      <c r="Z162" s="90"/>
      <c r="AA162" s="91"/>
      <c r="AB162" s="91"/>
      <c r="AC162" s="91"/>
      <c r="AD162" s="91"/>
      <c r="AE162" s="91"/>
      <c r="AF162" s="93"/>
      <c r="AG162" s="90"/>
      <c r="AH162" s="91"/>
      <c r="AI162" s="91"/>
      <c r="AJ162" s="91"/>
      <c r="AK162" s="91"/>
      <c r="AL162" s="91"/>
      <c r="AM162" s="93"/>
      <c r="AN162" s="90"/>
      <c r="AO162" s="91"/>
      <c r="AP162" s="91"/>
      <c r="AQ162" s="91"/>
      <c r="AR162" s="91"/>
      <c r="AS162" s="91"/>
      <c r="AT162" s="93"/>
      <c r="AU162" s="37">
        <f t="shared" si="45"/>
        <v>0</v>
      </c>
      <c r="AV162" s="37">
        <f t="shared" si="46"/>
        <v>0</v>
      </c>
      <c r="AW162" s="37">
        <f t="shared" si="47"/>
        <v>0</v>
      </c>
      <c r="AX162" s="37">
        <f t="shared" si="48"/>
        <v>0</v>
      </c>
      <c r="AY162" s="37">
        <f t="shared" si="49"/>
        <v>0</v>
      </c>
      <c r="AZ162" s="37">
        <f t="shared" si="50"/>
        <v>0</v>
      </c>
      <c r="BA162" s="20"/>
    </row>
    <row r="163" spans="1:53" ht="14.1" customHeight="1" x14ac:dyDescent="0.25">
      <c r="A163" s="89"/>
      <c r="B163" s="101" t="str" cm="1">
        <f t="array" ref="B163">_xlfn.IFNA(INDEX(Employees[Employment Type],MATCH(Schedule!A163:A163,Employees[Employee Names],0)),"")</f>
        <v/>
      </c>
      <c r="C163" s="101" t="str">
        <f>_xlfn.IFNA(INDEX(Employees[Employee Role],MATCH(Schedule!A163,Employees[Employee Names],0)),"")</f>
        <v/>
      </c>
      <c r="D163" s="103">
        <f>COUNTA(IF(Settings!$D$14 = TRUE,E163:AT163,$E163:$AF163))</f>
        <v>0</v>
      </c>
      <c r="E163" s="90"/>
      <c r="F163" s="91"/>
      <c r="G163" s="91"/>
      <c r="H163" s="91"/>
      <c r="I163" s="91"/>
      <c r="J163" s="91"/>
      <c r="K163" s="92"/>
      <c r="L163" s="90"/>
      <c r="M163" s="91"/>
      <c r="N163" s="91"/>
      <c r="O163" s="91"/>
      <c r="P163" s="91"/>
      <c r="Q163" s="91"/>
      <c r="R163" s="92"/>
      <c r="S163" s="90"/>
      <c r="T163" s="91"/>
      <c r="U163" s="91"/>
      <c r="V163" s="91"/>
      <c r="W163" s="91"/>
      <c r="X163" s="91"/>
      <c r="Y163" s="92"/>
      <c r="Z163" s="90"/>
      <c r="AA163" s="91"/>
      <c r="AB163" s="91"/>
      <c r="AC163" s="91"/>
      <c r="AD163" s="91"/>
      <c r="AE163" s="91"/>
      <c r="AF163" s="93"/>
      <c r="AG163" s="90"/>
      <c r="AH163" s="91"/>
      <c r="AI163" s="91"/>
      <c r="AJ163" s="91"/>
      <c r="AK163" s="91"/>
      <c r="AL163" s="91"/>
      <c r="AM163" s="93"/>
      <c r="AN163" s="90"/>
      <c r="AO163" s="91"/>
      <c r="AP163" s="91"/>
      <c r="AQ163" s="91"/>
      <c r="AR163" s="91"/>
      <c r="AS163" s="91"/>
      <c r="AT163" s="93"/>
      <c r="AU163" s="37">
        <f t="shared" si="45"/>
        <v>0</v>
      </c>
      <c r="AV163" s="37">
        <f t="shared" si="46"/>
        <v>0</v>
      </c>
      <c r="AW163" s="37">
        <f t="shared" si="47"/>
        <v>0</v>
      </c>
      <c r="AX163" s="37">
        <f t="shared" si="48"/>
        <v>0</v>
      </c>
      <c r="AY163" s="37">
        <f t="shared" si="49"/>
        <v>0</v>
      </c>
      <c r="AZ163" s="37">
        <f t="shared" si="50"/>
        <v>0</v>
      </c>
      <c r="BA163" s="20"/>
    </row>
    <row r="164" spans="1:53" ht="14.1" customHeight="1" x14ac:dyDescent="0.25">
      <c r="A164" s="89"/>
      <c r="B164" s="101" t="str" cm="1">
        <f t="array" ref="B164">_xlfn.IFNA(INDEX(Employees[Employment Type],MATCH(Schedule!A164:A164,Employees[Employee Names],0)),"")</f>
        <v/>
      </c>
      <c r="C164" s="101" t="str">
        <f>_xlfn.IFNA(INDEX(Employees[Employee Role],MATCH(Schedule!A164,Employees[Employee Names],0)),"")</f>
        <v/>
      </c>
      <c r="D164" s="103">
        <f>COUNTA(IF(Settings!$D$14 = TRUE,E164:AT164,$E164:$AF164))</f>
        <v>0</v>
      </c>
      <c r="E164" s="90"/>
      <c r="F164" s="91"/>
      <c r="G164" s="91"/>
      <c r="H164" s="91"/>
      <c r="I164" s="91"/>
      <c r="J164" s="91"/>
      <c r="K164" s="92"/>
      <c r="L164" s="90"/>
      <c r="M164" s="91"/>
      <c r="N164" s="91"/>
      <c r="O164" s="91"/>
      <c r="P164" s="91"/>
      <c r="Q164" s="91"/>
      <c r="R164" s="92"/>
      <c r="S164" s="90"/>
      <c r="T164" s="91"/>
      <c r="U164" s="91"/>
      <c r="V164" s="91"/>
      <c r="W164" s="91"/>
      <c r="X164" s="91"/>
      <c r="Y164" s="92"/>
      <c r="Z164" s="90"/>
      <c r="AA164" s="91"/>
      <c r="AB164" s="91"/>
      <c r="AC164" s="91"/>
      <c r="AD164" s="91"/>
      <c r="AE164" s="91"/>
      <c r="AF164" s="93"/>
      <c r="AG164" s="90"/>
      <c r="AH164" s="91"/>
      <c r="AI164" s="91"/>
      <c r="AJ164" s="91"/>
      <c r="AK164" s="91"/>
      <c r="AL164" s="91"/>
      <c r="AM164" s="93"/>
      <c r="AN164" s="90"/>
      <c r="AO164" s="91"/>
      <c r="AP164" s="91"/>
      <c r="AQ164" s="91"/>
      <c r="AR164" s="91"/>
      <c r="AS164" s="91"/>
      <c r="AT164" s="93"/>
      <c r="AU164" s="37">
        <f t="shared" si="45"/>
        <v>0</v>
      </c>
      <c r="AV164" s="37">
        <f t="shared" si="46"/>
        <v>0</v>
      </c>
      <c r="AW164" s="37">
        <f t="shared" si="47"/>
        <v>0</v>
      </c>
      <c r="AX164" s="37">
        <f t="shared" si="48"/>
        <v>0</v>
      </c>
      <c r="AY164" s="37">
        <f t="shared" si="49"/>
        <v>0</v>
      </c>
      <c r="AZ164" s="37">
        <f t="shared" si="50"/>
        <v>0</v>
      </c>
      <c r="BA164" s="20"/>
    </row>
    <row r="165" spans="1:53" ht="14.1" customHeight="1" x14ac:dyDescent="0.25">
      <c r="A165" s="89"/>
      <c r="B165" s="101" t="str" cm="1">
        <f t="array" ref="B165">_xlfn.IFNA(INDEX(Employees[Employment Type],MATCH(Schedule!A165:A165,Employees[Employee Names],0)),"")</f>
        <v/>
      </c>
      <c r="C165" s="101" t="str">
        <f>_xlfn.IFNA(INDEX(Employees[Employee Role],MATCH(Schedule!A165,Employees[Employee Names],0)),"")</f>
        <v/>
      </c>
      <c r="D165" s="103">
        <f>COUNTA(IF(Settings!$D$14 = TRUE,E165:AT165,$E165:$AF165))</f>
        <v>0</v>
      </c>
      <c r="E165" s="90"/>
      <c r="F165" s="91"/>
      <c r="G165" s="91"/>
      <c r="H165" s="91"/>
      <c r="I165" s="91"/>
      <c r="J165" s="91"/>
      <c r="K165" s="92"/>
      <c r="L165" s="90"/>
      <c r="M165" s="91"/>
      <c r="N165" s="91"/>
      <c r="O165" s="91"/>
      <c r="P165" s="91"/>
      <c r="Q165" s="91"/>
      <c r="R165" s="92"/>
      <c r="S165" s="90"/>
      <c r="T165" s="91"/>
      <c r="U165" s="91"/>
      <c r="V165" s="91"/>
      <c r="W165" s="91"/>
      <c r="X165" s="91"/>
      <c r="Y165" s="92"/>
      <c r="Z165" s="90"/>
      <c r="AA165" s="91"/>
      <c r="AB165" s="91"/>
      <c r="AC165" s="91"/>
      <c r="AD165" s="91"/>
      <c r="AE165" s="91"/>
      <c r="AF165" s="93"/>
      <c r="AG165" s="90"/>
      <c r="AH165" s="91"/>
      <c r="AI165" s="91"/>
      <c r="AJ165" s="91"/>
      <c r="AK165" s="91"/>
      <c r="AL165" s="91"/>
      <c r="AM165" s="93"/>
      <c r="AN165" s="90"/>
      <c r="AO165" s="91"/>
      <c r="AP165" s="91"/>
      <c r="AQ165" s="91"/>
      <c r="AR165" s="91"/>
      <c r="AS165" s="91"/>
      <c r="AT165" s="93"/>
      <c r="AU165" s="37">
        <f t="shared" si="45"/>
        <v>0</v>
      </c>
      <c r="AV165" s="37">
        <f t="shared" si="46"/>
        <v>0</v>
      </c>
      <c r="AW165" s="37">
        <f t="shared" si="47"/>
        <v>0</v>
      </c>
      <c r="AX165" s="37">
        <f t="shared" si="48"/>
        <v>0</v>
      </c>
      <c r="AY165" s="37">
        <f t="shared" si="49"/>
        <v>0</v>
      </c>
      <c r="AZ165" s="37">
        <f t="shared" si="50"/>
        <v>0</v>
      </c>
      <c r="BA165" s="20"/>
    </row>
    <row r="166" spans="1:53" ht="14.1" customHeight="1" x14ac:dyDescent="0.25">
      <c r="A166" s="89"/>
      <c r="B166" s="101" t="str" cm="1">
        <f t="array" ref="B166">_xlfn.IFNA(INDEX(Employees[Employment Type],MATCH(Schedule!A166:A166,Employees[Employee Names],0)),"")</f>
        <v/>
      </c>
      <c r="C166" s="101" t="str">
        <f>_xlfn.IFNA(INDEX(Employees[Employee Role],MATCH(Schedule!A166,Employees[Employee Names],0)),"")</f>
        <v/>
      </c>
      <c r="D166" s="103">
        <f>COUNTA(IF(Settings!$D$14 = TRUE,E166:AT166,$E166:$AF166))</f>
        <v>0</v>
      </c>
      <c r="E166" s="90"/>
      <c r="F166" s="91"/>
      <c r="G166" s="91"/>
      <c r="H166" s="91"/>
      <c r="I166" s="91"/>
      <c r="J166" s="91"/>
      <c r="K166" s="92"/>
      <c r="L166" s="90"/>
      <c r="M166" s="91"/>
      <c r="N166" s="91"/>
      <c r="O166" s="91"/>
      <c r="P166" s="91"/>
      <c r="Q166" s="91"/>
      <c r="R166" s="92"/>
      <c r="S166" s="90"/>
      <c r="T166" s="91"/>
      <c r="U166" s="91"/>
      <c r="V166" s="91"/>
      <c r="W166" s="91"/>
      <c r="X166" s="91"/>
      <c r="Y166" s="92"/>
      <c r="Z166" s="90"/>
      <c r="AA166" s="91"/>
      <c r="AB166" s="91"/>
      <c r="AC166" s="91"/>
      <c r="AD166" s="91"/>
      <c r="AE166" s="91"/>
      <c r="AF166" s="93"/>
      <c r="AG166" s="90"/>
      <c r="AH166" s="91"/>
      <c r="AI166" s="91"/>
      <c r="AJ166" s="91"/>
      <c r="AK166" s="91"/>
      <c r="AL166" s="91"/>
      <c r="AM166" s="93"/>
      <c r="AN166" s="90"/>
      <c r="AO166" s="91"/>
      <c r="AP166" s="91"/>
      <c r="AQ166" s="91"/>
      <c r="AR166" s="91"/>
      <c r="AS166" s="91"/>
      <c r="AT166" s="93"/>
      <c r="AU166" s="37">
        <f t="shared" si="45"/>
        <v>0</v>
      </c>
      <c r="AV166" s="37">
        <f t="shared" si="46"/>
        <v>0</v>
      </c>
      <c r="AW166" s="37">
        <f t="shared" si="47"/>
        <v>0</v>
      </c>
      <c r="AX166" s="37">
        <f t="shared" si="48"/>
        <v>0</v>
      </c>
      <c r="AY166" s="37">
        <f t="shared" si="49"/>
        <v>0</v>
      </c>
      <c r="AZ166" s="37">
        <f t="shared" si="50"/>
        <v>0</v>
      </c>
      <c r="BA166" s="20"/>
    </row>
    <row r="167" spans="1:53" ht="14.1" customHeight="1" x14ac:dyDescent="0.25">
      <c r="A167" s="89"/>
      <c r="B167" s="101" t="str" cm="1">
        <f t="array" ref="B167">_xlfn.IFNA(INDEX(Employees[Employment Type],MATCH(Schedule!A167:A167,Employees[Employee Names],0)),"")</f>
        <v/>
      </c>
      <c r="C167" s="101" t="str">
        <f>_xlfn.IFNA(INDEX(Employees[Employee Role],MATCH(Schedule!A167,Employees[Employee Names],0)),"")</f>
        <v/>
      </c>
      <c r="D167" s="103">
        <f>COUNTA(IF(Settings!$D$14 = TRUE,E167:AT167,$E167:$AF167))</f>
        <v>0</v>
      </c>
      <c r="E167" s="90"/>
      <c r="F167" s="91"/>
      <c r="G167" s="91"/>
      <c r="H167" s="91"/>
      <c r="I167" s="91"/>
      <c r="J167" s="91"/>
      <c r="K167" s="92"/>
      <c r="L167" s="90"/>
      <c r="M167" s="91"/>
      <c r="N167" s="91"/>
      <c r="O167" s="91"/>
      <c r="P167" s="91"/>
      <c r="Q167" s="91"/>
      <c r="R167" s="92"/>
      <c r="S167" s="90"/>
      <c r="T167" s="91"/>
      <c r="U167" s="91"/>
      <c r="V167" s="91"/>
      <c r="W167" s="91"/>
      <c r="X167" s="91"/>
      <c r="Y167" s="92"/>
      <c r="Z167" s="90"/>
      <c r="AA167" s="91"/>
      <c r="AB167" s="91"/>
      <c r="AC167" s="91"/>
      <c r="AD167" s="91"/>
      <c r="AE167" s="91"/>
      <c r="AF167" s="93"/>
      <c r="AG167" s="90"/>
      <c r="AH167" s="91"/>
      <c r="AI167" s="91"/>
      <c r="AJ167" s="91"/>
      <c r="AK167" s="91"/>
      <c r="AL167" s="91"/>
      <c r="AM167" s="93"/>
      <c r="AN167" s="90"/>
      <c r="AO167" s="91"/>
      <c r="AP167" s="91"/>
      <c r="AQ167" s="91"/>
      <c r="AR167" s="91"/>
      <c r="AS167" s="91"/>
      <c r="AT167" s="93"/>
      <c r="AU167" s="37">
        <f t="shared" si="45"/>
        <v>0</v>
      </c>
      <c r="AV167" s="37">
        <f t="shared" si="46"/>
        <v>0</v>
      </c>
      <c r="AW167" s="37">
        <f t="shared" si="47"/>
        <v>0</v>
      </c>
      <c r="AX167" s="37">
        <f t="shared" si="48"/>
        <v>0</v>
      </c>
      <c r="AY167" s="37">
        <f t="shared" si="49"/>
        <v>0</v>
      </c>
      <c r="AZ167" s="37">
        <f t="shared" si="50"/>
        <v>0</v>
      </c>
      <c r="BA167" s="20"/>
    </row>
    <row r="168" spans="1:53" ht="14.1" customHeight="1" x14ac:dyDescent="0.25">
      <c r="A168" s="89"/>
      <c r="B168" s="101" t="str" cm="1">
        <f t="array" ref="B168">_xlfn.IFNA(INDEX(Employees[Employment Type],MATCH(Schedule!A168:A168,Employees[Employee Names],0)),"")</f>
        <v/>
      </c>
      <c r="C168" s="101" t="str">
        <f>_xlfn.IFNA(INDEX(Employees[Employee Role],MATCH(Schedule!A168,Employees[Employee Names],0)),"")</f>
        <v/>
      </c>
      <c r="D168" s="103">
        <f>COUNTA(IF(Settings!$D$14 = TRUE,E168:AT168,$E168:$AF168))</f>
        <v>0</v>
      </c>
      <c r="E168" s="90"/>
      <c r="F168" s="91"/>
      <c r="G168" s="91"/>
      <c r="H168" s="91"/>
      <c r="I168" s="91"/>
      <c r="J168" s="91"/>
      <c r="K168" s="92"/>
      <c r="L168" s="90"/>
      <c r="M168" s="91"/>
      <c r="N168" s="91"/>
      <c r="O168" s="91"/>
      <c r="P168" s="91"/>
      <c r="Q168" s="91"/>
      <c r="R168" s="92"/>
      <c r="S168" s="90"/>
      <c r="T168" s="91"/>
      <c r="U168" s="91"/>
      <c r="V168" s="91"/>
      <c r="W168" s="91"/>
      <c r="X168" s="91"/>
      <c r="Y168" s="92"/>
      <c r="Z168" s="90"/>
      <c r="AA168" s="91"/>
      <c r="AB168" s="91"/>
      <c r="AC168" s="91"/>
      <c r="AD168" s="91"/>
      <c r="AE168" s="91"/>
      <c r="AF168" s="93"/>
      <c r="AG168" s="90"/>
      <c r="AH168" s="91"/>
      <c r="AI168" s="91"/>
      <c r="AJ168" s="91"/>
      <c r="AK168" s="91"/>
      <c r="AL168" s="91"/>
      <c r="AM168" s="93"/>
      <c r="AN168" s="90"/>
      <c r="AO168" s="91"/>
      <c r="AP168" s="91"/>
      <c r="AQ168" s="91"/>
      <c r="AR168" s="91"/>
      <c r="AS168" s="91"/>
      <c r="AT168" s="93"/>
      <c r="AU168" s="37">
        <f t="shared" si="45"/>
        <v>0</v>
      </c>
      <c r="AV168" s="37">
        <f t="shared" si="46"/>
        <v>0</v>
      </c>
      <c r="AW168" s="37">
        <f t="shared" si="47"/>
        <v>0</v>
      </c>
      <c r="AX168" s="37">
        <f t="shared" si="48"/>
        <v>0</v>
      </c>
      <c r="AY168" s="37">
        <f t="shared" si="49"/>
        <v>0</v>
      </c>
      <c r="AZ168" s="37">
        <f t="shared" si="50"/>
        <v>0</v>
      </c>
      <c r="BA168" s="20"/>
    </row>
    <row r="169" spans="1:53" ht="14.1" customHeight="1" x14ac:dyDescent="0.25">
      <c r="A169" s="89"/>
      <c r="B169" s="101" t="str" cm="1">
        <f t="array" ref="B169">_xlfn.IFNA(INDEX(Employees[Employment Type],MATCH(Schedule!A169:A169,Employees[Employee Names],0)),"")</f>
        <v/>
      </c>
      <c r="C169" s="101" t="str">
        <f>_xlfn.IFNA(INDEX(Employees[Employee Role],MATCH(Schedule!A169,Employees[Employee Names],0)),"")</f>
        <v/>
      </c>
      <c r="D169" s="103">
        <f>COUNTA(IF(Settings!$D$14 = TRUE,E169:AT169,$E169:$AF169))</f>
        <v>0</v>
      </c>
      <c r="E169" s="90"/>
      <c r="F169" s="91"/>
      <c r="G169" s="91"/>
      <c r="H169" s="91"/>
      <c r="I169" s="91"/>
      <c r="J169" s="91"/>
      <c r="K169" s="92"/>
      <c r="L169" s="90"/>
      <c r="M169" s="91"/>
      <c r="N169" s="91"/>
      <c r="O169" s="91"/>
      <c r="P169" s="91"/>
      <c r="Q169" s="91"/>
      <c r="R169" s="92"/>
      <c r="S169" s="90"/>
      <c r="T169" s="91"/>
      <c r="U169" s="91"/>
      <c r="V169" s="91"/>
      <c r="W169" s="91"/>
      <c r="X169" s="91"/>
      <c r="Y169" s="92"/>
      <c r="Z169" s="90"/>
      <c r="AA169" s="91"/>
      <c r="AB169" s="91"/>
      <c r="AC169" s="91"/>
      <c r="AD169" s="91"/>
      <c r="AE169" s="91"/>
      <c r="AF169" s="93"/>
      <c r="AG169" s="90"/>
      <c r="AH169" s="91"/>
      <c r="AI169" s="91"/>
      <c r="AJ169" s="91"/>
      <c r="AK169" s="91"/>
      <c r="AL169" s="91"/>
      <c r="AM169" s="93"/>
      <c r="AN169" s="90"/>
      <c r="AO169" s="91"/>
      <c r="AP169" s="91"/>
      <c r="AQ169" s="91"/>
      <c r="AR169" s="91"/>
      <c r="AS169" s="91"/>
      <c r="AT169" s="93"/>
      <c r="AU169" s="37">
        <f t="shared" si="45"/>
        <v>0</v>
      </c>
      <c r="AV169" s="37">
        <f t="shared" si="46"/>
        <v>0</v>
      </c>
      <c r="AW169" s="37">
        <f t="shared" si="47"/>
        <v>0</v>
      </c>
      <c r="AX169" s="37">
        <f t="shared" si="48"/>
        <v>0</v>
      </c>
      <c r="AY169" s="37">
        <f t="shared" si="49"/>
        <v>0</v>
      </c>
      <c r="AZ169" s="37">
        <f t="shared" si="50"/>
        <v>0</v>
      </c>
      <c r="BA169" s="20"/>
    </row>
    <row r="170" spans="1:53" ht="14.1" customHeight="1" x14ac:dyDescent="0.25">
      <c r="A170" s="89"/>
      <c r="B170" s="101" t="str" cm="1">
        <f t="array" ref="B170">_xlfn.IFNA(INDEX(Employees[Employment Type],MATCH(Schedule!A170:A170,Employees[Employee Names],0)),"")</f>
        <v/>
      </c>
      <c r="C170" s="101" t="str">
        <f>_xlfn.IFNA(INDEX(Employees[Employee Role],MATCH(Schedule!A170,Employees[Employee Names],0)),"")</f>
        <v/>
      </c>
      <c r="D170" s="103">
        <f>COUNTA(IF(Settings!$D$14 = TRUE,E170:AT170,$E170:$AF170))</f>
        <v>0</v>
      </c>
      <c r="E170" s="90"/>
      <c r="F170" s="91"/>
      <c r="G170" s="91"/>
      <c r="H170" s="91"/>
      <c r="I170" s="91"/>
      <c r="J170" s="91"/>
      <c r="K170" s="92"/>
      <c r="L170" s="90"/>
      <c r="M170" s="91"/>
      <c r="N170" s="91"/>
      <c r="O170" s="91"/>
      <c r="P170" s="91"/>
      <c r="Q170" s="91"/>
      <c r="R170" s="92"/>
      <c r="S170" s="90"/>
      <c r="T170" s="91"/>
      <c r="U170" s="91"/>
      <c r="V170" s="91"/>
      <c r="W170" s="91"/>
      <c r="X170" s="91"/>
      <c r="Y170" s="92"/>
      <c r="Z170" s="90"/>
      <c r="AA170" s="91"/>
      <c r="AB170" s="91"/>
      <c r="AC170" s="91"/>
      <c r="AD170" s="91"/>
      <c r="AE170" s="91"/>
      <c r="AF170" s="93"/>
      <c r="AG170" s="90"/>
      <c r="AH170" s="91"/>
      <c r="AI170" s="91"/>
      <c r="AJ170" s="91"/>
      <c r="AK170" s="91"/>
      <c r="AL170" s="91"/>
      <c r="AM170" s="93"/>
      <c r="AN170" s="90"/>
      <c r="AO170" s="91"/>
      <c r="AP170" s="91"/>
      <c r="AQ170" s="91"/>
      <c r="AR170" s="91"/>
      <c r="AS170" s="91"/>
      <c r="AT170" s="93"/>
      <c r="AU170" s="37">
        <f t="shared" si="45"/>
        <v>0</v>
      </c>
      <c r="AV170" s="37">
        <f t="shared" si="46"/>
        <v>0</v>
      </c>
      <c r="AW170" s="37">
        <f t="shared" si="47"/>
        <v>0</v>
      </c>
      <c r="AX170" s="37">
        <f t="shared" si="48"/>
        <v>0</v>
      </c>
      <c r="AY170" s="37">
        <f t="shared" si="49"/>
        <v>0</v>
      </c>
      <c r="AZ170" s="37">
        <f t="shared" si="50"/>
        <v>0</v>
      </c>
      <c r="BA170" s="20"/>
    </row>
    <row r="171" spans="1:53" ht="14.1" customHeight="1" x14ac:dyDescent="0.25">
      <c r="A171" s="89"/>
      <c r="B171" s="101" t="str" cm="1">
        <f t="array" ref="B171">_xlfn.IFNA(INDEX(Employees[Employment Type],MATCH(Schedule!A171:A171,Employees[Employee Names],0)),"")</f>
        <v/>
      </c>
      <c r="C171" s="101" t="str">
        <f>_xlfn.IFNA(INDEX(Employees[Employee Role],MATCH(Schedule!A171,Employees[Employee Names],0)),"")</f>
        <v/>
      </c>
      <c r="D171" s="103">
        <f>COUNTA(IF(Settings!$D$14 = TRUE,E171:AT171,$E171:$AF171))</f>
        <v>0</v>
      </c>
      <c r="E171" s="90"/>
      <c r="F171" s="91"/>
      <c r="G171" s="91"/>
      <c r="H171" s="91"/>
      <c r="I171" s="91"/>
      <c r="J171" s="91"/>
      <c r="K171" s="92"/>
      <c r="L171" s="90"/>
      <c r="M171" s="91"/>
      <c r="N171" s="91"/>
      <c r="O171" s="91"/>
      <c r="P171" s="91"/>
      <c r="Q171" s="91"/>
      <c r="R171" s="92"/>
      <c r="S171" s="90"/>
      <c r="T171" s="91"/>
      <c r="U171" s="91"/>
      <c r="V171" s="91"/>
      <c r="W171" s="91"/>
      <c r="X171" s="91"/>
      <c r="Y171" s="92"/>
      <c r="Z171" s="90"/>
      <c r="AA171" s="91"/>
      <c r="AB171" s="91"/>
      <c r="AC171" s="91"/>
      <c r="AD171" s="91"/>
      <c r="AE171" s="91"/>
      <c r="AF171" s="93"/>
      <c r="AG171" s="90"/>
      <c r="AH171" s="91"/>
      <c r="AI171" s="91"/>
      <c r="AJ171" s="91"/>
      <c r="AK171" s="91"/>
      <c r="AL171" s="91"/>
      <c r="AM171" s="93"/>
      <c r="AN171" s="90"/>
      <c r="AO171" s="91"/>
      <c r="AP171" s="91"/>
      <c r="AQ171" s="91"/>
      <c r="AR171" s="91"/>
      <c r="AS171" s="91"/>
      <c r="AT171" s="93"/>
      <c r="AU171" s="37">
        <f t="shared" si="45"/>
        <v>0</v>
      </c>
      <c r="AV171" s="37">
        <f t="shared" si="46"/>
        <v>0</v>
      </c>
      <c r="AW171" s="37">
        <f t="shared" si="47"/>
        <v>0</v>
      </c>
      <c r="AX171" s="37">
        <f t="shared" si="48"/>
        <v>0</v>
      </c>
      <c r="AY171" s="37">
        <f t="shared" si="49"/>
        <v>0</v>
      </c>
      <c r="AZ171" s="37">
        <f t="shared" si="50"/>
        <v>0</v>
      </c>
      <c r="BA171" s="20"/>
    </row>
    <row r="172" spans="1:53" ht="14.1" customHeight="1" x14ac:dyDescent="0.25">
      <c r="A172" s="89"/>
      <c r="B172" s="101" t="str" cm="1">
        <f t="array" ref="B172">_xlfn.IFNA(INDEX(Employees[Employment Type],MATCH(Schedule!A172:A172,Employees[Employee Names],0)),"")</f>
        <v/>
      </c>
      <c r="C172" s="101" t="str">
        <f>_xlfn.IFNA(INDEX(Employees[Employee Role],MATCH(Schedule!A172,Employees[Employee Names],0)),"")</f>
        <v/>
      </c>
      <c r="D172" s="103">
        <f>COUNTA(IF(Settings!$D$14 = TRUE,E172:AT172,$E172:$AF172))</f>
        <v>0</v>
      </c>
      <c r="E172" s="90"/>
      <c r="F172" s="91"/>
      <c r="G172" s="91"/>
      <c r="H172" s="91"/>
      <c r="I172" s="91"/>
      <c r="J172" s="91"/>
      <c r="K172" s="92"/>
      <c r="L172" s="90"/>
      <c r="M172" s="91"/>
      <c r="N172" s="91"/>
      <c r="O172" s="91"/>
      <c r="P172" s="91"/>
      <c r="Q172" s="91"/>
      <c r="R172" s="92"/>
      <c r="S172" s="90"/>
      <c r="T172" s="91"/>
      <c r="U172" s="91"/>
      <c r="V172" s="91"/>
      <c r="W172" s="91"/>
      <c r="X172" s="91"/>
      <c r="Y172" s="92"/>
      <c r="Z172" s="90"/>
      <c r="AA172" s="91"/>
      <c r="AB172" s="91"/>
      <c r="AC172" s="91"/>
      <c r="AD172" s="91"/>
      <c r="AE172" s="91"/>
      <c r="AF172" s="93"/>
      <c r="AG172" s="90"/>
      <c r="AH172" s="91"/>
      <c r="AI172" s="91"/>
      <c r="AJ172" s="91"/>
      <c r="AK172" s="91"/>
      <c r="AL172" s="91"/>
      <c r="AM172" s="93"/>
      <c r="AN172" s="90"/>
      <c r="AO172" s="91"/>
      <c r="AP172" s="91"/>
      <c r="AQ172" s="91"/>
      <c r="AR172" s="91"/>
      <c r="AS172" s="91"/>
      <c r="AT172" s="93"/>
      <c r="AU172" s="37">
        <f t="shared" si="45"/>
        <v>0</v>
      </c>
      <c r="AV172" s="37">
        <f t="shared" si="46"/>
        <v>0</v>
      </c>
      <c r="AW172" s="37">
        <f t="shared" si="47"/>
        <v>0</v>
      </c>
      <c r="AX172" s="37">
        <f t="shared" si="48"/>
        <v>0</v>
      </c>
      <c r="AY172" s="37">
        <f t="shared" si="49"/>
        <v>0</v>
      </c>
      <c r="AZ172" s="37">
        <f t="shared" si="50"/>
        <v>0</v>
      </c>
      <c r="BA172" s="20"/>
    </row>
    <row r="173" spans="1:53" ht="14.1" customHeight="1" x14ac:dyDescent="0.25">
      <c r="A173" s="89"/>
      <c r="B173" s="101" t="str" cm="1">
        <f t="array" ref="B173">_xlfn.IFNA(INDEX(Employees[Employment Type],MATCH(Schedule!A173:A173,Employees[Employee Names],0)),"")</f>
        <v/>
      </c>
      <c r="C173" s="101" t="str">
        <f>_xlfn.IFNA(INDEX(Employees[Employee Role],MATCH(Schedule!A173,Employees[Employee Names],0)),"")</f>
        <v/>
      </c>
      <c r="D173" s="103">
        <f>COUNTA(IF(Settings!$D$14 = TRUE,E173:AT173,$E173:$AF173))</f>
        <v>0</v>
      </c>
      <c r="E173" s="90"/>
      <c r="F173" s="91"/>
      <c r="G173" s="91"/>
      <c r="H173" s="91"/>
      <c r="I173" s="91"/>
      <c r="J173" s="91"/>
      <c r="K173" s="92"/>
      <c r="L173" s="90"/>
      <c r="M173" s="91"/>
      <c r="N173" s="91"/>
      <c r="O173" s="91"/>
      <c r="P173" s="91"/>
      <c r="Q173" s="91"/>
      <c r="R173" s="92"/>
      <c r="S173" s="90"/>
      <c r="T173" s="91"/>
      <c r="U173" s="91"/>
      <c r="V173" s="91"/>
      <c r="W173" s="91"/>
      <c r="X173" s="91"/>
      <c r="Y173" s="92"/>
      <c r="Z173" s="90"/>
      <c r="AA173" s="91"/>
      <c r="AB173" s="91"/>
      <c r="AC173" s="91"/>
      <c r="AD173" s="91"/>
      <c r="AE173" s="91"/>
      <c r="AF173" s="93"/>
      <c r="AG173" s="90"/>
      <c r="AH173" s="91"/>
      <c r="AI173" s="91"/>
      <c r="AJ173" s="91"/>
      <c r="AK173" s="91"/>
      <c r="AL173" s="91"/>
      <c r="AM173" s="93"/>
      <c r="AN173" s="90"/>
      <c r="AO173" s="91"/>
      <c r="AP173" s="91"/>
      <c r="AQ173" s="91"/>
      <c r="AR173" s="91"/>
      <c r="AS173" s="91"/>
      <c r="AT173" s="93"/>
      <c r="AU173" s="37">
        <f t="shared" si="45"/>
        <v>0</v>
      </c>
      <c r="AV173" s="37">
        <f t="shared" si="46"/>
        <v>0</v>
      </c>
      <c r="AW173" s="37">
        <f t="shared" si="47"/>
        <v>0</v>
      </c>
      <c r="AX173" s="37">
        <f t="shared" si="48"/>
        <v>0</v>
      </c>
      <c r="AY173" s="37">
        <f t="shared" si="49"/>
        <v>0</v>
      </c>
      <c r="AZ173" s="37">
        <f t="shared" si="50"/>
        <v>0</v>
      </c>
      <c r="BA173" s="20"/>
    </row>
    <row r="174" spans="1:53" ht="14.1" customHeight="1" x14ac:dyDescent="0.25">
      <c r="A174" s="89"/>
      <c r="B174" s="101" t="str" cm="1">
        <f t="array" ref="B174">_xlfn.IFNA(INDEX(Employees[Employment Type],MATCH(Schedule!A174:A174,Employees[Employee Names],0)),"")</f>
        <v/>
      </c>
      <c r="C174" s="101" t="str">
        <f>_xlfn.IFNA(INDEX(Employees[Employee Role],MATCH(Schedule!A174,Employees[Employee Names],0)),"")</f>
        <v/>
      </c>
      <c r="D174" s="103">
        <f>COUNTA(IF(Settings!$D$14 = TRUE,E174:AT174,$E174:$AF174))</f>
        <v>0</v>
      </c>
      <c r="E174" s="90"/>
      <c r="F174" s="91"/>
      <c r="G174" s="91"/>
      <c r="H174" s="91"/>
      <c r="I174" s="91"/>
      <c r="J174" s="91"/>
      <c r="K174" s="92"/>
      <c r="L174" s="90"/>
      <c r="M174" s="91"/>
      <c r="N174" s="91"/>
      <c r="O174" s="91"/>
      <c r="P174" s="91"/>
      <c r="Q174" s="91"/>
      <c r="R174" s="92"/>
      <c r="S174" s="90"/>
      <c r="T174" s="91"/>
      <c r="U174" s="91"/>
      <c r="V174" s="91"/>
      <c r="W174" s="91"/>
      <c r="X174" s="91"/>
      <c r="Y174" s="92"/>
      <c r="Z174" s="90"/>
      <c r="AA174" s="91"/>
      <c r="AB174" s="91"/>
      <c r="AC174" s="91"/>
      <c r="AD174" s="91"/>
      <c r="AE174" s="91"/>
      <c r="AF174" s="93"/>
      <c r="AG174" s="90"/>
      <c r="AH174" s="91"/>
      <c r="AI174" s="91"/>
      <c r="AJ174" s="91"/>
      <c r="AK174" s="91"/>
      <c r="AL174" s="91"/>
      <c r="AM174" s="93"/>
      <c r="AN174" s="90"/>
      <c r="AO174" s="91"/>
      <c r="AP174" s="91"/>
      <c r="AQ174" s="91"/>
      <c r="AR174" s="91"/>
      <c r="AS174" s="91"/>
      <c r="AT174" s="93"/>
      <c r="AU174" s="37">
        <f t="shared" si="45"/>
        <v>0</v>
      </c>
      <c r="AV174" s="37">
        <f t="shared" si="46"/>
        <v>0</v>
      </c>
      <c r="AW174" s="37">
        <f t="shared" si="47"/>
        <v>0</v>
      </c>
      <c r="AX174" s="37">
        <f t="shared" si="48"/>
        <v>0</v>
      </c>
      <c r="AY174" s="37">
        <f t="shared" si="49"/>
        <v>0</v>
      </c>
      <c r="AZ174" s="37">
        <f t="shared" si="50"/>
        <v>0</v>
      </c>
      <c r="BA174" s="20"/>
    </row>
    <row r="175" spans="1:53" ht="14.1" customHeight="1" x14ac:dyDescent="0.25">
      <c r="A175" s="89"/>
      <c r="B175" s="101" t="str" cm="1">
        <f t="array" ref="B175">_xlfn.IFNA(INDEX(Employees[Employment Type],MATCH(Schedule!A175:A175,Employees[Employee Names],0)),"")</f>
        <v/>
      </c>
      <c r="C175" s="101" t="str">
        <f>_xlfn.IFNA(INDEX(Employees[Employee Role],MATCH(Schedule!A175,Employees[Employee Names],0)),"")</f>
        <v/>
      </c>
      <c r="D175" s="103">
        <f>COUNTA(IF(Settings!$D$14 = TRUE,E175:AT175,$E175:$AF175))</f>
        <v>0</v>
      </c>
      <c r="E175" s="90"/>
      <c r="F175" s="91"/>
      <c r="G175" s="91"/>
      <c r="H175" s="91"/>
      <c r="I175" s="91"/>
      <c r="J175" s="91"/>
      <c r="K175" s="92"/>
      <c r="L175" s="90"/>
      <c r="M175" s="91"/>
      <c r="N175" s="91"/>
      <c r="O175" s="91"/>
      <c r="P175" s="91"/>
      <c r="Q175" s="91"/>
      <c r="R175" s="92"/>
      <c r="S175" s="90"/>
      <c r="T175" s="91"/>
      <c r="U175" s="91"/>
      <c r="V175" s="91"/>
      <c r="W175" s="91"/>
      <c r="X175" s="91"/>
      <c r="Y175" s="92"/>
      <c r="Z175" s="90"/>
      <c r="AA175" s="91"/>
      <c r="AB175" s="91"/>
      <c r="AC175" s="91"/>
      <c r="AD175" s="91"/>
      <c r="AE175" s="91"/>
      <c r="AF175" s="93"/>
      <c r="AG175" s="90"/>
      <c r="AH175" s="91"/>
      <c r="AI175" s="91"/>
      <c r="AJ175" s="91"/>
      <c r="AK175" s="91"/>
      <c r="AL175" s="91"/>
      <c r="AM175" s="93"/>
      <c r="AN175" s="90"/>
      <c r="AO175" s="91"/>
      <c r="AP175" s="91"/>
      <c r="AQ175" s="91"/>
      <c r="AR175" s="91"/>
      <c r="AS175" s="91"/>
      <c r="AT175" s="93"/>
      <c r="AU175" s="37">
        <f t="shared" si="45"/>
        <v>0</v>
      </c>
      <c r="AV175" s="37">
        <f t="shared" si="46"/>
        <v>0</v>
      </c>
      <c r="AW175" s="37">
        <f t="shared" si="47"/>
        <v>0</v>
      </c>
      <c r="AX175" s="37">
        <f t="shared" si="48"/>
        <v>0</v>
      </c>
      <c r="AY175" s="37">
        <f t="shared" si="49"/>
        <v>0</v>
      </c>
      <c r="AZ175" s="37">
        <f t="shared" si="50"/>
        <v>0</v>
      </c>
      <c r="BA175" s="20"/>
    </row>
    <row r="176" spans="1:53" ht="14.1" customHeight="1" x14ac:dyDescent="0.25">
      <c r="A176" s="89"/>
      <c r="B176" s="101" t="str" cm="1">
        <f t="array" ref="B176">_xlfn.IFNA(INDEX(Employees[Employment Type],MATCH(Schedule!A176:A176,Employees[Employee Names],0)),"")</f>
        <v/>
      </c>
      <c r="C176" s="101" t="str">
        <f>_xlfn.IFNA(INDEX(Employees[Employee Role],MATCH(Schedule!A176,Employees[Employee Names],0)),"")</f>
        <v/>
      </c>
      <c r="D176" s="103">
        <f>COUNTA(IF(Settings!$D$14 = TRUE,E176:AT176,$E176:$AF176))</f>
        <v>0</v>
      </c>
      <c r="E176" s="90"/>
      <c r="F176" s="91"/>
      <c r="G176" s="91"/>
      <c r="H176" s="91"/>
      <c r="I176" s="91"/>
      <c r="J176" s="91"/>
      <c r="K176" s="92"/>
      <c r="L176" s="90"/>
      <c r="M176" s="91"/>
      <c r="N176" s="91"/>
      <c r="O176" s="91"/>
      <c r="P176" s="91"/>
      <c r="Q176" s="91"/>
      <c r="R176" s="92"/>
      <c r="S176" s="90"/>
      <c r="T176" s="91"/>
      <c r="U176" s="91"/>
      <c r="V176" s="91"/>
      <c r="W176" s="91"/>
      <c r="X176" s="91"/>
      <c r="Y176" s="92"/>
      <c r="Z176" s="90"/>
      <c r="AA176" s="91"/>
      <c r="AB176" s="91"/>
      <c r="AC176" s="91"/>
      <c r="AD176" s="91"/>
      <c r="AE176" s="91"/>
      <c r="AF176" s="93"/>
      <c r="AG176" s="90"/>
      <c r="AH176" s="91"/>
      <c r="AI176" s="91"/>
      <c r="AJ176" s="91"/>
      <c r="AK176" s="91"/>
      <c r="AL176" s="91"/>
      <c r="AM176" s="93"/>
      <c r="AN176" s="90"/>
      <c r="AO176" s="91"/>
      <c r="AP176" s="91"/>
      <c r="AQ176" s="91"/>
      <c r="AR176" s="91"/>
      <c r="AS176" s="91"/>
      <c r="AT176" s="93"/>
      <c r="AU176" s="37">
        <f t="shared" si="45"/>
        <v>0</v>
      </c>
      <c r="AV176" s="37">
        <f t="shared" si="46"/>
        <v>0</v>
      </c>
      <c r="AW176" s="37">
        <f t="shared" si="47"/>
        <v>0</v>
      </c>
      <c r="AX176" s="37">
        <f t="shared" si="48"/>
        <v>0</v>
      </c>
      <c r="AY176" s="37">
        <f t="shared" si="49"/>
        <v>0</v>
      </c>
      <c r="AZ176" s="37">
        <f t="shared" si="50"/>
        <v>0</v>
      </c>
      <c r="BA176" s="20"/>
    </row>
    <row r="177" spans="1:53" ht="14.1" customHeight="1" x14ac:dyDescent="0.25">
      <c r="A177" s="89"/>
      <c r="B177" s="101" t="str" cm="1">
        <f t="array" ref="B177">_xlfn.IFNA(INDEX(Employees[Employment Type],MATCH(Schedule!A177:A177,Employees[Employee Names],0)),"")</f>
        <v/>
      </c>
      <c r="C177" s="101" t="str">
        <f>_xlfn.IFNA(INDEX(Employees[Employee Role],MATCH(Schedule!A177,Employees[Employee Names],0)),"")</f>
        <v/>
      </c>
      <c r="D177" s="103">
        <f>COUNTA(IF(Settings!$D$14 = TRUE,E177:AT177,$E177:$AF177))</f>
        <v>0</v>
      </c>
      <c r="E177" s="90"/>
      <c r="F177" s="91"/>
      <c r="G177" s="91"/>
      <c r="H177" s="91"/>
      <c r="I177" s="91"/>
      <c r="J177" s="91"/>
      <c r="K177" s="92"/>
      <c r="L177" s="90"/>
      <c r="M177" s="91"/>
      <c r="N177" s="91"/>
      <c r="O177" s="91"/>
      <c r="P177" s="91"/>
      <c r="Q177" s="91"/>
      <c r="R177" s="92"/>
      <c r="S177" s="90"/>
      <c r="T177" s="91"/>
      <c r="U177" s="91"/>
      <c r="V177" s="91"/>
      <c r="W177" s="91"/>
      <c r="X177" s="91"/>
      <c r="Y177" s="92"/>
      <c r="Z177" s="90"/>
      <c r="AA177" s="91"/>
      <c r="AB177" s="91"/>
      <c r="AC177" s="91"/>
      <c r="AD177" s="91"/>
      <c r="AE177" s="91"/>
      <c r="AF177" s="93"/>
      <c r="AG177" s="90"/>
      <c r="AH177" s="91"/>
      <c r="AI177" s="91"/>
      <c r="AJ177" s="91"/>
      <c r="AK177" s="91"/>
      <c r="AL177" s="91"/>
      <c r="AM177" s="93"/>
      <c r="AN177" s="90"/>
      <c r="AO177" s="91"/>
      <c r="AP177" s="91"/>
      <c r="AQ177" s="91"/>
      <c r="AR177" s="91"/>
      <c r="AS177" s="91"/>
      <c r="AT177" s="93"/>
      <c r="AU177" s="37">
        <f t="shared" si="45"/>
        <v>0</v>
      </c>
      <c r="AV177" s="37">
        <f t="shared" si="46"/>
        <v>0</v>
      </c>
      <c r="AW177" s="37">
        <f t="shared" si="47"/>
        <v>0</v>
      </c>
      <c r="AX177" s="37">
        <f t="shared" si="48"/>
        <v>0</v>
      </c>
      <c r="AY177" s="37">
        <f t="shared" si="49"/>
        <v>0</v>
      </c>
      <c r="AZ177" s="37">
        <f t="shared" si="50"/>
        <v>0</v>
      </c>
      <c r="BA177" s="20"/>
    </row>
    <row r="178" spans="1:53" ht="14.1" customHeight="1" x14ac:dyDescent="0.25">
      <c r="A178" s="89"/>
      <c r="B178" s="101" t="str" cm="1">
        <f t="array" ref="B178">_xlfn.IFNA(INDEX(Employees[Employment Type],MATCH(Schedule!A178:A178,Employees[Employee Names],0)),"")</f>
        <v/>
      </c>
      <c r="C178" s="101" t="str">
        <f>_xlfn.IFNA(INDEX(Employees[Employee Role],MATCH(Schedule!A178,Employees[Employee Names],0)),"")</f>
        <v/>
      </c>
      <c r="D178" s="103">
        <f>COUNTA(IF(Settings!$D$14 = TRUE,E178:AT178,$E178:$AF178))</f>
        <v>0</v>
      </c>
      <c r="E178" s="90"/>
      <c r="F178" s="91"/>
      <c r="G178" s="91"/>
      <c r="H178" s="91"/>
      <c r="I178" s="91"/>
      <c r="J178" s="91"/>
      <c r="K178" s="92"/>
      <c r="L178" s="90"/>
      <c r="M178" s="91"/>
      <c r="N178" s="91"/>
      <c r="O178" s="91"/>
      <c r="P178" s="91"/>
      <c r="Q178" s="91"/>
      <c r="R178" s="92"/>
      <c r="S178" s="90"/>
      <c r="T178" s="91"/>
      <c r="U178" s="91"/>
      <c r="V178" s="91"/>
      <c r="W178" s="91"/>
      <c r="X178" s="91"/>
      <c r="Y178" s="92"/>
      <c r="Z178" s="90"/>
      <c r="AA178" s="91"/>
      <c r="AB178" s="91"/>
      <c r="AC178" s="91"/>
      <c r="AD178" s="91"/>
      <c r="AE178" s="91"/>
      <c r="AF178" s="93"/>
      <c r="AG178" s="90"/>
      <c r="AH178" s="91"/>
      <c r="AI178" s="91"/>
      <c r="AJ178" s="91"/>
      <c r="AK178" s="91"/>
      <c r="AL178" s="91"/>
      <c r="AM178" s="93"/>
      <c r="AN178" s="90"/>
      <c r="AO178" s="91"/>
      <c r="AP178" s="91"/>
      <c r="AQ178" s="91"/>
      <c r="AR178" s="91"/>
      <c r="AS178" s="91"/>
      <c r="AT178" s="93"/>
      <c r="AU178" s="37">
        <f t="shared" si="45"/>
        <v>0</v>
      </c>
      <c r="AV178" s="37">
        <f t="shared" si="46"/>
        <v>0</v>
      </c>
      <c r="AW178" s="37">
        <f t="shared" si="47"/>
        <v>0</v>
      </c>
      <c r="AX178" s="37">
        <f t="shared" si="48"/>
        <v>0</v>
      </c>
      <c r="AY178" s="37">
        <f t="shared" si="49"/>
        <v>0</v>
      </c>
      <c r="AZ178" s="37">
        <f t="shared" si="50"/>
        <v>0</v>
      </c>
      <c r="BA178" s="20"/>
    </row>
    <row r="179" spans="1:53" ht="14.1" customHeight="1" x14ac:dyDescent="0.25">
      <c r="A179" s="89"/>
      <c r="B179" s="101" t="str" cm="1">
        <f t="array" ref="B179">_xlfn.IFNA(INDEX(Employees[Employment Type],MATCH(Schedule!A179:A179,Employees[Employee Names],0)),"")</f>
        <v/>
      </c>
      <c r="C179" s="101" t="str">
        <f>_xlfn.IFNA(INDEX(Employees[Employee Role],MATCH(Schedule!A179,Employees[Employee Names],0)),"")</f>
        <v/>
      </c>
      <c r="D179" s="103">
        <f>COUNTA(IF(Settings!$D$14 = TRUE,E179:AT179,$E179:$AF179))</f>
        <v>0</v>
      </c>
      <c r="E179" s="90"/>
      <c r="F179" s="91"/>
      <c r="G179" s="91"/>
      <c r="H179" s="91"/>
      <c r="I179" s="91"/>
      <c r="J179" s="91"/>
      <c r="K179" s="92"/>
      <c r="L179" s="90"/>
      <c r="M179" s="91"/>
      <c r="N179" s="91"/>
      <c r="O179" s="91"/>
      <c r="P179" s="91"/>
      <c r="Q179" s="91"/>
      <c r="R179" s="92"/>
      <c r="S179" s="90"/>
      <c r="T179" s="91"/>
      <c r="U179" s="91"/>
      <c r="V179" s="91"/>
      <c r="W179" s="91"/>
      <c r="X179" s="91"/>
      <c r="Y179" s="92"/>
      <c r="Z179" s="90"/>
      <c r="AA179" s="91"/>
      <c r="AB179" s="91"/>
      <c r="AC179" s="91"/>
      <c r="AD179" s="91"/>
      <c r="AE179" s="91"/>
      <c r="AF179" s="93"/>
      <c r="AG179" s="90"/>
      <c r="AH179" s="91"/>
      <c r="AI179" s="91"/>
      <c r="AJ179" s="91"/>
      <c r="AK179" s="91"/>
      <c r="AL179" s="91"/>
      <c r="AM179" s="93"/>
      <c r="AN179" s="90"/>
      <c r="AO179" s="91"/>
      <c r="AP179" s="91"/>
      <c r="AQ179" s="91"/>
      <c r="AR179" s="91"/>
      <c r="AS179" s="91"/>
      <c r="AT179" s="93"/>
      <c r="AU179" s="37">
        <f t="shared" si="45"/>
        <v>0</v>
      </c>
      <c r="AV179" s="37">
        <f t="shared" si="46"/>
        <v>0</v>
      </c>
      <c r="AW179" s="37">
        <f t="shared" si="47"/>
        <v>0</v>
      </c>
      <c r="AX179" s="37">
        <f t="shared" si="48"/>
        <v>0</v>
      </c>
      <c r="AY179" s="37">
        <f t="shared" si="49"/>
        <v>0</v>
      </c>
      <c r="AZ179" s="37">
        <f t="shared" si="50"/>
        <v>0</v>
      </c>
      <c r="BA179" s="20"/>
    </row>
    <row r="180" spans="1:53" ht="14.1" customHeight="1" x14ac:dyDescent="0.25">
      <c r="A180" s="89"/>
      <c r="B180" s="101" t="str" cm="1">
        <f t="array" ref="B180">_xlfn.IFNA(INDEX(Employees[Employment Type],MATCH(Schedule!A180:A180,Employees[Employee Names],0)),"")</f>
        <v/>
      </c>
      <c r="C180" s="101" t="str">
        <f>_xlfn.IFNA(INDEX(Employees[Employee Role],MATCH(Schedule!A180,Employees[Employee Names],0)),"")</f>
        <v/>
      </c>
      <c r="D180" s="103">
        <f>COUNTA(IF(Settings!$D$14 = TRUE,E180:AT180,$E180:$AF180))</f>
        <v>0</v>
      </c>
      <c r="E180" s="90"/>
      <c r="F180" s="91"/>
      <c r="G180" s="91"/>
      <c r="H180" s="91"/>
      <c r="I180" s="91"/>
      <c r="J180" s="91"/>
      <c r="K180" s="92"/>
      <c r="L180" s="90"/>
      <c r="M180" s="91"/>
      <c r="N180" s="91"/>
      <c r="O180" s="91"/>
      <c r="P180" s="91"/>
      <c r="Q180" s="91"/>
      <c r="R180" s="92"/>
      <c r="S180" s="90"/>
      <c r="T180" s="91"/>
      <c r="U180" s="91"/>
      <c r="V180" s="91"/>
      <c r="W180" s="91"/>
      <c r="X180" s="91"/>
      <c r="Y180" s="92"/>
      <c r="Z180" s="90"/>
      <c r="AA180" s="91"/>
      <c r="AB180" s="91"/>
      <c r="AC180" s="91"/>
      <c r="AD180" s="91"/>
      <c r="AE180" s="91"/>
      <c r="AF180" s="93"/>
      <c r="AG180" s="90"/>
      <c r="AH180" s="91"/>
      <c r="AI180" s="91"/>
      <c r="AJ180" s="91"/>
      <c r="AK180" s="91"/>
      <c r="AL180" s="91"/>
      <c r="AM180" s="93"/>
      <c r="AN180" s="90"/>
      <c r="AO180" s="91"/>
      <c r="AP180" s="91"/>
      <c r="AQ180" s="91"/>
      <c r="AR180" s="91"/>
      <c r="AS180" s="91"/>
      <c r="AT180" s="93"/>
      <c r="AU180" s="37">
        <f t="shared" si="45"/>
        <v>0</v>
      </c>
      <c r="AV180" s="37">
        <f t="shared" si="46"/>
        <v>0</v>
      </c>
      <c r="AW180" s="37">
        <f t="shared" si="47"/>
        <v>0</v>
      </c>
      <c r="AX180" s="37">
        <f t="shared" si="48"/>
        <v>0</v>
      </c>
      <c r="AY180" s="37">
        <f t="shared" si="49"/>
        <v>0</v>
      </c>
      <c r="AZ180" s="37">
        <f t="shared" si="50"/>
        <v>0</v>
      </c>
      <c r="BA180" s="20"/>
    </row>
    <row r="181" spans="1:53" ht="14.1" customHeight="1" x14ac:dyDescent="0.25">
      <c r="A181" s="89"/>
      <c r="B181" s="101" t="str" cm="1">
        <f t="array" ref="B181">_xlfn.IFNA(INDEX(Employees[Employment Type],MATCH(Schedule!A181:A181,Employees[Employee Names],0)),"")</f>
        <v/>
      </c>
      <c r="C181" s="101" t="str">
        <f>_xlfn.IFNA(INDEX(Employees[Employee Role],MATCH(Schedule!A181,Employees[Employee Names],0)),"")</f>
        <v/>
      </c>
      <c r="D181" s="103">
        <f>COUNTA(IF(Settings!$D$14 = TRUE,E181:AT181,$E181:$AF181))</f>
        <v>0</v>
      </c>
      <c r="E181" s="90"/>
      <c r="F181" s="91"/>
      <c r="G181" s="91"/>
      <c r="H181" s="91"/>
      <c r="I181" s="91"/>
      <c r="J181" s="91"/>
      <c r="K181" s="92"/>
      <c r="L181" s="90"/>
      <c r="M181" s="91"/>
      <c r="N181" s="91"/>
      <c r="O181" s="91"/>
      <c r="P181" s="91"/>
      <c r="Q181" s="91"/>
      <c r="R181" s="92"/>
      <c r="S181" s="90"/>
      <c r="T181" s="91"/>
      <c r="U181" s="91"/>
      <c r="V181" s="91"/>
      <c r="W181" s="91"/>
      <c r="X181" s="91"/>
      <c r="Y181" s="92"/>
      <c r="Z181" s="90"/>
      <c r="AA181" s="91"/>
      <c r="AB181" s="91"/>
      <c r="AC181" s="91"/>
      <c r="AD181" s="91"/>
      <c r="AE181" s="91"/>
      <c r="AF181" s="93"/>
      <c r="AG181" s="90"/>
      <c r="AH181" s="91"/>
      <c r="AI181" s="91"/>
      <c r="AJ181" s="91"/>
      <c r="AK181" s="91"/>
      <c r="AL181" s="91"/>
      <c r="AM181" s="93"/>
      <c r="AN181" s="90"/>
      <c r="AO181" s="91"/>
      <c r="AP181" s="91"/>
      <c r="AQ181" s="91"/>
      <c r="AR181" s="91"/>
      <c r="AS181" s="91"/>
      <c r="AT181" s="93"/>
      <c r="AU181" s="37">
        <f t="shared" ref="AU181:AU215" si="51">SUM($E181:$K181)</f>
        <v>0</v>
      </c>
      <c r="AV181" s="37">
        <f t="shared" ref="AV181:AV215" si="52">SUM($L181:$R181)</f>
        <v>0</v>
      </c>
      <c r="AW181" s="37">
        <f t="shared" ref="AW181:AW215" si="53">SUM($S181:$Y181)</f>
        <v>0</v>
      </c>
      <c r="AX181" s="37">
        <f t="shared" ref="AX181:AX215" si="54">SUM($Z181:$AF181)</f>
        <v>0</v>
      </c>
      <c r="AY181" s="37">
        <f t="shared" ref="AY181:AY215" si="55">SUM($AG181:$AM181)</f>
        <v>0</v>
      </c>
      <c r="AZ181" s="37">
        <f t="shared" ref="AZ181:AZ215" si="56">SUM($AN181:$AT181)</f>
        <v>0</v>
      </c>
      <c r="BA181" s="20"/>
    </row>
    <row r="182" spans="1:53" ht="14.1" customHeight="1" x14ac:dyDescent="0.25">
      <c r="A182" s="89"/>
      <c r="B182" s="101" t="str" cm="1">
        <f t="array" ref="B182">_xlfn.IFNA(INDEX(Employees[Employment Type],MATCH(Schedule!A182:A182,Employees[Employee Names],0)),"")</f>
        <v/>
      </c>
      <c r="C182" s="101" t="str">
        <f>_xlfn.IFNA(INDEX(Employees[Employee Role],MATCH(Schedule!A182,Employees[Employee Names],0)),"")</f>
        <v/>
      </c>
      <c r="D182" s="103">
        <f>COUNTA(IF(Settings!$D$14 = TRUE,E182:AT182,$E182:$AF182))</f>
        <v>0</v>
      </c>
      <c r="E182" s="90"/>
      <c r="F182" s="91"/>
      <c r="G182" s="91"/>
      <c r="H182" s="91"/>
      <c r="I182" s="91"/>
      <c r="J182" s="91"/>
      <c r="K182" s="92"/>
      <c r="L182" s="90"/>
      <c r="M182" s="91"/>
      <c r="N182" s="91"/>
      <c r="O182" s="91"/>
      <c r="P182" s="91"/>
      <c r="Q182" s="91"/>
      <c r="R182" s="92"/>
      <c r="S182" s="90"/>
      <c r="T182" s="91"/>
      <c r="U182" s="91"/>
      <c r="V182" s="91"/>
      <c r="W182" s="91"/>
      <c r="X182" s="91"/>
      <c r="Y182" s="92"/>
      <c r="Z182" s="90"/>
      <c r="AA182" s="91"/>
      <c r="AB182" s="91"/>
      <c r="AC182" s="91"/>
      <c r="AD182" s="91"/>
      <c r="AE182" s="91"/>
      <c r="AF182" s="93"/>
      <c r="AG182" s="90"/>
      <c r="AH182" s="91"/>
      <c r="AI182" s="91"/>
      <c r="AJ182" s="91"/>
      <c r="AK182" s="91"/>
      <c r="AL182" s="91"/>
      <c r="AM182" s="93"/>
      <c r="AN182" s="90"/>
      <c r="AO182" s="91"/>
      <c r="AP182" s="91"/>
      <c r="AQ182" s="91"/>
      <c r="AR182" s="91"/>
      <c r="AS182" s="91"/>
      <c r="AT182" s="93"/>
      <c r="AU182" s="37">
        <f t="shared" si="51"/>
        <v>0</v>
      </c>
      <c r="AV182" s="37">
        <f t="shared" si="52"/>
        <v>0</v>
      </c>
      <c r="AW182" s="37">
        <f t="shared" si="53"/>
        <v>0</v>
      </c>
      <c r="AX182" s="37">
        <f t="shared" si="54"/>
        <v>0</v>
      </c>
      <c r="AY182" s="37">
        <f t="shared" si="55"/>
        <v>0</v>
      </c>
      <c r="AZ182" s="37">
        <f t="shared" si="56"/>
        <v>0</v>
      </c>
      <c r="BA182" s="20"/>
    </row>
    <row r="183" spans="1:53" ht="14.1" customHeight="1" x14ac:dyDescent="0.25">
      <c r="A183" s="89"/>
      <c r="B183" s="101" t="str" cm="1">
        <f t="array" ref="B183">_xlfn.IFNA(INDEX(Employees[Employment Type],MATCH(Schedule!A183:A183,Employees[Employee Names],0)),"")</f>
        <v/>
      </c>
      <c r="C183" s="101" t="str">
        <f>_xlfn.IFNA(INDEX(Employees[Employee Role],MATCH(Schedule!A183,Employees[Employee Names],0)),"")</f>
        <v/>
      </c>
      <c r="D183" s="103">
        <f>COUNTA(IF(Settings!$D$14 = TRUE,E183:AT183,$E183:$AF183))</f>
        <v>0</v>
      </c>
      <c r="E183" s="90"/>
      <c r="F183" s="91"/>
      <c r="G183" s="91"/>
      <c r="H183" s="91"/>
      <c r="I183" s="91"/>
      <c r="J183" s="91"/>
      <c r="K183" s="92"/>
      <c r="L183" s="90"/>
      <c r="M183" s="91"/>
      <c r="N183" s="91"/>
      <c r="O183" s="91"/>
      <c r="P183" s="91"/>
      <c r="Q183" s="91"/>
      <c r="R183" s="92"/>
      <c r="S183" s="90"/>
      <c r="T183" s="91"/>
      <c r="U183" s="91"/>
      <c r="V183" s="91"/>
      <c r="W183" s="91"/>
      <c r="X183" s="91"/>
      <c r="Y183" s="92"/>
      <c r="Z183" s="90"/>
      <c r="AA183" s="91"/>
      <c r="AB183" s="91"/>
      <c r="AC183" s="91"/>
      <c r="AD183" s="91"/>
      <c r="AE183" s="91"/>
      <c r="AF183" s="93"/>
      <c r="AG183" s="90"/>
      <c r="AH183" s="91"/>
      <c r="AI183" s="91"/>
      <c r="AJ183" s="91"/>
      <c r="AK183" s="91"/>
      <c r="AL183" s="91"/>
      <c r="AM183" s="93"/>
      <c r="AN183" s="90"/>
      <c r="AO183" s="91"/>
      <c r="AP183" s="91"/>
      <c r="AQ183" s="91"/>
      <c r="AR183" s="91"/>
      <c r="AS183" s="91"/>
      <c r="AT183" s="93"/>
      <c r="AU183" s="37">
        <f t="shared" si="51"/>
        <v>0</v>
      </c>
      <c r="AV183" s="37">
        <f t="shared" si="52"/>
        <v>0</v>
      </c>
      <c r="AW183" s="37">
        <f t="shared" si="53"/>
        <v>0</v>
      </c>
      <c r="AX183" s="37">
        <f t="shared" si="54"/>
        <v>0</v>
      </c>
      <c r="AY183" s="37">
        <f t="shared" si="55"/>
        <v>0</v>
      </c>
      <c r="AZ183" s="37">
        <f t="shared" si="56"/>
        <v>0</v>
      </c>
      <c r="BA183" s="20"/>
    </row>
    <row r="184" spans="1:53" ht="14.1" customHeight="1" x14ac:dyDescent="0.25">
      <c r="A184" s="89"/>
      <c r="B184" s="101" t="str" cm="1">
        <f t="array" ref="B184">_xlfn.IFNA(INDEX(Employees[Employment Type],MATCH(Schedule!A184:A184,Employees[Employee Names],0)),"")</f>
        <v/>
      </c>
      <c r="C184" s="101" t="str">
        <f>_xlfn.IFNA(INDEX(Employees[Employee Role],MATCH(Schedule!A184,Employees[Employee Names],0)),"")</f>
        <v/>
      </c>
      <c r="D184" s="103">
        <f>COUNTA(IF(Settings!$D$14 = TRUE,E184:AT184,$E184:$AF184))</f>
        <v>0</v>
      </c>
      <c r="E184" s="90"/>
      <c r="F184" s="91"/>
      <c r="G184" s="91"/>
      <c r="H184" s="91"/>
      <c r="I184" s="91"/>
      <c r="J184" s="91"/>
      <c r="K184" s="92"/>
      <c r="L184" s="90"/>
      <c r="M184" s="91"/>
      <c r="N184" s="91"/>
      <c r="O184" s="91"/>
      <c r="P184" s="91"/>
      <c r="Q184" s="91"/>
      <c r="R184" s="92"/>
      <c r="S184" s="90"/>
      <c r="T184" s="91"/>
      <c r="U184" s="91"/>
      <c r="V184" s="91"/>
      <c r="W184" s="91"/>
      <c r="X184" s="91"/>
      <c r="Y184" s="92"/>
      <c r="Z184" s="90"/>
      <c r="AA184" s="91"/>
      <c r="AB184" s="91"/>
      <c r="AC184" s="91"/>
      <c r="AD184" s="91"/>
      <c r="AE184" s="91"/>
      <c r="AF184" s="93"/>
      <c r="AG184" s="90"/>
      <c r="AH184" s="91"/>
      <c r="AI184" s="91"/>
      <c r="AJ184" s="91"/>
      <c r="AK184" s="91"/>
      <c r="AL184" s="91"/>
      <c r="AM184" s="93"/>
      <c r="AN184" s="90"/>
      <c r="AO184" s="91"/>
      <c r="AP184" s="91"/>
      <c r="AQ184" s="91"/>
      <c r="AR184" s="91"/>
      <c r="AS184" s="91"/>
      <c r="AT184" s="93"/>
      <c r="AU184" s="37">
        <f t="shared" si="51"/>
        <v>0</v>
      </c>
      <c r="AV184" s="37">
        <f t="shared" si="52"/>
        <v>0</v>
      </c>
      <c r="AW184" s="37">
        <f t="shared" si="53"/>
        <v>0</v>
      </c>
      <c r="AX184" s="37">
        <f t="shared" si="54"/>
        <v>0</v>
      </c>
      <c r="AY184" s="37">
        <f t="shared" si="55"/>
        <v>0</v>
      </c>
      <c r="AZ184" s="37">
        <f t="shared" si="56"/>
        <v>0</v>
      </c>
      <c r="BA184" s="20"/>
    </row>
    <row r="185" spans="1:53" ht="14.1" customHeight="1" x14ac:dyDescent="0.25">
      <c r="A185" s="89"/>
      <c r="B185" s="101" t="str" cm="1">
        <f t="array" ref="B185">_xlfn.IFNA(INDEX(Employees[Employment Type],MATCH(Schedule!A185:A185,Employees[Employee Names],0)),"")</f>
        <v/>
      </c>
      <c r="C185" s="101" t="str">
        <f>_xlfn.IFNA(INDEX(Employees[Employee Role],MATCH(Schedule!A185,Employees[Employee Names],0)),"")</f>
        <v/>
      </c>
      <c r="D185" s="103">
        <f>COUNTA(IF(Settings!$D$14 = TRUE,E185:AT185,$E185:$AF185))</f>
        <v>0</v>
      </c>
      <c r="E185" s="90"/>
      <c r="F185" s="91"/>
      <c r="G185" s="91"/>
      <c r="H185" s="91"/>
      <c r="I185" s="91"/>
      <c r="J185" s="91"/>
      <c r="K185" s="92"/>
      <c r="L185" s="90"/>
      <c r="M185" s="91"/>
      <c r="N185" s="91"/>
      <c r="O185" s="91"/>
      <c r="P185" s="91"/>
      <c r="Q185" s="91"/>
      <c r="R185" s="92"/>
      <c r="S185" s="90"/>
      <c r="T185" s="91"/>
      <c r="U185" s="91"/>
      <c r="V185" s="91"/>
      <c r="W185" s="91"/>
      <c r="X185" s="91"/>
      <c r="Y185" s="92"/>
      <c r="Z185" s="90"/>
      <c r="AA185" s="91"/>
      <c r="AB185" s="91"/>
      <c r="AC185" s="91"/>
      <c r="AD185" s="91"/>
      <c r="AE185" s="91"/>
      <c r="AF185" s="93"/>
      <c r="AG185" s="90"/>
      <c r="AH185" s="91"/>
      <c r="AI185" s="91"/>
      <c r="AJ185" s="91"/>
      <c r="AK185" s="91"/>
      <c r="AL185" s="91"/>
      <c r="AM185" s="93"/>
      <c r="AN185" s="90"/>
      <c r="AO185" s="91"/>
      <c r="AP185" s="91"/>
      <c r="AQ185" s="91"/>
      <c r="AR185" s="91"/>
      <c r="AS185" s="91"/>
      <c r="AT185" s="93"/>
      <c r="AU185" s="37">
        <f t="shared" si="51"/>
        <v>0</v>
      </c>
      <c r="AV185" s="37">
        <f t="shared" si="52"/>
        <v>0</v>
      </c>
      <c r="AW185" s="37">
        <f t="shared" si="53"/>
        <v>0</v>
      </c>
      <c r="AX185" s="37">
        <f t="shared" si="54"/>
        <v>0</v>
      </c>
      <c r="AY185" s="37">
        <f t="shared" si="55"/>
        <v>0</v>
      </c>
      <c r="AZ185" s="37">
        <f t="shared" si="56"/>
        <v>0</v>
      </c>
      <c r="BA185" s="20"/>
    </row>
    <row r="186" spans="1:53" ht="14.1" customHeight="1" x14ac:dyDescent="0.25">
      <c r="A186" s="89"/>
      <c r="B186" s="101" t="str" cm="1">
        <f t="array" ref="B186">_xlfn.IFNA(INDEX(Employees[Employment Type],MATCH(Schedule!A186:A186,Employees[Employee Names],0)),"")</f>
        <v/>
      </c>
      <c r="C186" s="101" t="str">
        <f>_xlfn.IFNA(INDEX(Employees[Employee Role],MATCH(Schedule!A186,Employees[Employee Names],0)),"")</f>
        <v/>
      </c>
      <c r="D186" s="103">
        <f>COUNTA(IF(Settings!$D$14 = TRUE,E186:AT186,$E186:$AF186))</f>
        <v>0</v>
      </c>
      <c r="E186" s="90"/>
      <c r="F186" s="91"/>
      <c r="G186" s="91"/>
      <c r="H186" s="91"/>
      <c r="I186" s="91"/>
      <c r="J186" s="91"/>
      <c r="K186" s="92"/>
      <c r="L186" s="90"/>
      <c r="M186" s="91"/>
      <c r="N186" s="91"/>
      <c r="O186" s="91"/>
      <c r="P186" s="91"/>
      <c r="Q186" s="91"/>
      <c r="R186" s="92"/>
      <c r="S186" s="90"/>
      <c r="T186" s="91"/>
      <c r="U186" s="91"/>
      <c r="V186" s="91"/>
      <c r="W186" s="91"/>
      <c r="X186" s="91"/>
      <c r="Y186" s="92"/>
      <c r="Z186" s="90"/>
      <c r="AA186" s="91"/>
      <c r="AB186" s="91"/>
      <c r="AC186" s="91"/>
      <c r="AD186" s="91"/>
      <c r="AE186" s="91"/>
      <c r="AF186" s="93"/>
      <c r="AG186" s="90"/>
      <c r="AH186" s="91"/>
      <c r="AI186" s="91"/>
      <c r="AJ186" s="91"/>
      <c r="AK186" s="91"/>
      <c r="AL186" s="91"/>
      <c r="AM186" s="93"/>
      <c r="AN186" s="90"/>
      <c r="AO186" s="91"/>
      <c r="AP186" s="91"/>
      <c r="AQ186" s="91"/>
      <c r="AR186" s="91"/>
      <c r="AS186" s="91"/>
      <c r="AT186" s="93"/>
      <c r="AU186" s="37">
        <f t="shared" si="51"/>
        <v>0</v>
      </c>
      <c r="AV186" s="37">
        <f t="shared" si="52"/>
        <v>0</v>
      </c>
      <c r="AW186" s="37">
        <f t="shared" si="53"/>
        <v>0</v>
      </c>
      <c r="AX186" s="37">
        <f t="shared" si="54"/>
        <v>0</v>
      </c>
      <c r="AY186" s="37">
        <f t="shared" si="55"/>
        <v>0</v>
      </c>
      <c r="AZ186" s="37">
        <f t="shared" si="56"/>
        <v>0</v>
      </c>
      <c r="BA186" s="20"/>
    </row>
    <row r="187" spans="1:53" ht="14.1" customHeight="1" x14ac:dyDescent="0.25">
      <c r="A187" s="89"/>
      <c r="B187" s="101" t="str" cm="1">
        <f t="array" ref="B187">_xlfn.IFNA(INDEX(Employees[Employment Type],MATCH(Schedule!A187:A187,Employees[Employee Names],0)),"")</f>
        <v/>
      </c>
      <c r="C187" s="101" t="str">
        <f>_xlfn.IFNA(INDEX(Employees[Employee Role],MATCH(Schedule!A187,Employees[Employee Names],0)),"")</f>
        <v/>
      </c>
      <c r="D187" s="103">
        <f>COUNTA(IF(Settings!$D$14 = TRUE,E187:AT187,$E187:$AF187))</f>
        <v>0</v>
      </c>
      <c r="E187" s="90"/>
      <c r="F187" s="91"/>
      <c r="G187" s="91"/>
      <c r="H187" s="91"/>
      <c r="I187" s="91"/>
      <c r="J187" s="91"/>
      <c r="K187" s="92"/>
      <c r="L187" s="90"/>
      <c r="M187" s="91"/>
      <c r="N187" s="91"/>
      <c r="O187" s="91"/>
      <c r="P187" s="91"/>
      <c r="Q187" s="91"/>
      <c r="R187" s="92"/>
      <c r="S187" s="90"/>
      <c r="T187" s="91"/>
      <c r="U187" s="91"/>
      <c r="V187" s="91"/>
      <c r="W187" s="91"/>
      <c r="X187" s="91"/>
      <c r="Y187" s="92"/>
      <c r="Z187" s="90"/>
      <c r="AA187" s="91"/>
      <c r="AB187" s="91"/>
      <c r="AC187" s="91"/>
      <c r="AD187" s="91"/>
      <c r="AE187" s="91"/>
      <c r="AF187" s="93"/>
      <c r="AG187" s="90"/>
      <c r="AH187" s="91"/>
      <c r="AI187" s="91"/>
      <c r="AJ187" s="91"/>
      <c r="AK187" s="91"/>
      <c r="AL187" s="91"/>
      <c r="AM187" s="93"/>
      <c r="AN187" s="90"/>
      <c r="AO187" s="91"/>
      <c r="AP187" s="91"/>
      <c r="AQ187" s="91"/>
      <c r="AR187" s="91"/>
      <c r="AS187" s="91"/>
      <c r="AT187" s="93"/>
      <c r="AU187" s="37">
        <f t="shared" si="51"/>
        <v>0</v>
      </c>
      <c r="AV187" s="37">
        <f t="shared" si="52"/>
        <v>0</v>
      </c>
      <c r="AW187" s="37">
        <f t="shared" si="53"/>
        <v>0</v>
      </c>
      <c r="AX187" s="37">
        <f t="shared" si="54"/>
        <v>0</v>
      </c>
      <c r="AY187" s="37">
        <f t="shared" si="55"/>
        <v>0</v>
      </c>
      <c r="AZ187" s="37">
        <f t="shared" si="56"/>
        <v>0</v>
      </c>
      <c r="BA187" s="20"/>
    </row>
    <row r="188" spans="1:53" ht="14.1" customHeight="1" x14ac:dyDescent="0.25">
      <c r="A188" s="89"/>
      <c r="B188" s="101" t="str" cm="1">
        <f t="array" ref="B188">_xlfn.IFNA(INDEX(Employees[Employment Type],MATCH(Schedule!A188:A188,Employees[Employee Names],0)),"")</f>
        <v/>
      </c>
      <c r="C188" s="101" t="str">
        <f>_xlfn.IFNA(INDEX(Employees[Employee Role],MATCH(Schedule!A188,Employees[Employee Names],0)),"")</f>
        <v/>
      </c>
      <c r="D188" s="103">
        <f>COUNTA(IF(Settings!$D$14 = TRUE,E188:AT188,$E188:$AF188))</f>
        <v>0</v>
      </c>
      <c r="E188" s="90"/>
      <c r="F188" s="91"/>
      <c r="G188" s="91"/>
      <c r="H188" s="91"/>
      <c r="I188" s="91"/>
      <c r="J188" s="91"/>
      <c r="K188" s="92"/>
      <c r="L188" s="90"/>
      <c r="M188" s="91"/>
      <c r="N188" s="91"/>
      <c r="O188" s="91"/>
      <c r="P188" s="91"/>
      <c r="Q188" s="91"/>
      <c r="R188" s="92"/>
      <c r="S188" s="90"/>
      <c r="T188" s="91"/>
      <c r="U188" s="91"/>
      <c r="V188" s="91"/>
      <c r="W188" s="91"/>
      <c r="X188" s="91"/>
      <c r="Y188" s="92"/>
      <c r="Z188" s="90"/>
      <c r="AA188" s="91"/>
      <c r="AB188" s="91"/>
      <c r="AC188" s="91"/>
      <c r="AD188" s="91"/>
      <c r="AE188" s="91"/>
      <c r="AF188" s="93"/>
      <c r="AG188" s="90"/>
      <c r="AH188" s="91"/>
      <c r="AI188" s="91"/>
      <c r="AJ188" s="91"/>
      <c r="AK188" s="91"/>
      <c r="AL188" s="91"/>
      <c r="AM188" s="93"/>
      <c r="AN188" s="90"/>
      <c r="AO188" s="91"/>
      <c r="AP188" s="91"/>
      <c r="AQ188" s="91"/>
      <c r="AR188" s="91"/>
      <c r="AS188" s="91"/>
      <c r="AT188" s="93"/>
      <c r="AU188" s="37">
        <f t="shared" si="51"/>
        <v>0</v>
      </c>
      <c r="AV188" s="37">
        <f t="shared" si="52"/>
        <v>0</v>
      </c>
      <c r="AW188" s="37">
        <f t="shared" si="53"/>
        <v>0</v>
      </c>
      <c r="AX188" s="37">
        <f t="shared" si="54"/>
        <v>0</v>
      </c>
      <c r="AY188" s="37">
        <f t="shared" si="55"/>
        <v>0</v>
      </c>
      <c r="AZ188" s="37">
        <f t="shared" si="56"/>
        <v>0</v>
      </c>
      <c r="BA188" s="20"/>
    </row>
    <row r="189" spans="1:53" ht="14.1" customHeight="1" x14ac:dyDescent="0.25">
      <c r="A189" s="89"/>
      <c r="B189" s="101" t="str" cm="1">
        <f t="array" ref="B189">_xlfn.IFNA(INDEX(Employees[Employment Type],MATCH(Schedule!A189:A189,Employees[Employee Names],0)),"")</f>
        <v/>
      </c>
      <c r="C189" s="101" t="str">
        <f>_xlfn.IFNA(INDEX(Employees[Employee Role],MATCH(Schedule!A189,Employees[Employee Names],0)),"")</f>
        <v/>
      </c>
      <c r="D189" s="103">
        <f>COUNTA(IF(Settings!$D$14 = TRUE,E189:AT189,$E189:$AF189))</f>
        <v>0</v>
      </c>
      <c r="E189" s="90"/>
      <c r="F189" s="91"/>
      <c r="G189" s="91"/>
      <c r="H189" s="91"/>
      <c r="I189" s="91"/>
      <c r="J189" s="91"/>
      <c r="K189" s="92"/>
      <c r="L189" s="90"/>
      <c r="M189" s="91"/>
      <c r="N189" s="91"/>
      <c r="O189" s="91"/>
      <c r="P189" s="91"/>
      <c r="Q189" s="91"/>
      <c r="R189" s="92"/>
      <c r="S189" s="90"/>
      <c r="T189" s="91"/>
      <c r="U189" s="91"/>
      <c r="V189" s="91"/>
      <c r="W189" s="91"/>
      <c r="X189" s="91"/>
      <c r="Y189" s="92"/>
      <c r="Z189" s="90"/>
      <c r="AA189" s="91"/>
      <c r="AB189" s="91"/>
      <c r="AC189" s="91"/>
      <c r="AD189" s="91"/>
      <c r="AE189" s="91"/>
      <c r="AF189" s="93"/>
      <c r="AG189" s="90"/>
      <c r="AH189" s="91"/>
      <c r="AI189" s="91"/>
      <c r="AJ189" s="91"/>
      <c r="AK189" s="91"/>
      <c r="AL189" s="91"/>
      <c r="AM189" s="93"/>
      <c r="AN189" s="90"/>
      <c r="AO189" s="91"/>
      <c r="AP189" s="91"/>
      <c r="AQ189" s="91"/>
      <c r="AR189" s="91"/>
      <c r="AS189" s="91"/>
      <c r="AT189" s="93"/>
      <c r="AU189" s="37">
        <f t="shared" si="51"/>
        <v>0</v>
      </c>
      <c r="AV189" s="37">
        <f t="shared" si="52"/>
        <v>0</v>
      </c>
      <c r="AW189" s="37">
        <f t="shared" si="53"/>
        <v>0</v>
      </c>
      <c r="AX189" s="37">
        <f t="shared" si="54"/>
        <v>0</v>
      </c>
      <c r="AY189" s="37">
        <f t="shared" si="55"/>
        <v>0</v>
      </c>
      <c r="AZ189" s="37">
        <f t="shared" si="56"/>
        <v>0</v>
      </c>
      <c r="BA189" s="20"/>
    </row>
    <row r="190" spans="1:53" ht="14.1" customHeight="1" x14ac:dyDescent="0.25">
      <c r="A190" s="89"/>
      <c r="B190" s="101" t="str" cm="1">
        <f t="array" ref="B190">_xlfn.IFNA(INDEX(Employees[Employment Type],MATCH(Schedule!A190:A190,Employees[Employee Names],0)),"")</f>
        <v/>
      </c>
      <c r="C190" s="101" t="str">
        <f>_xlfn.IFNA(INDEX(Employees[Employee Role],MATCH(Schedule!A190,Employees[Employee Names],0)),"")</f>
        <v/>
      </c>
      <c r="D190" s="103">
        <f>COUNTA(IF(Settings!$D$14 = TRUE,E190:AT190,$E190:$AF190))</f>
        <v>0</v>
      </c>
      <c r="E190" s="90"/>
      <c r="F190" s="91"/>
      <c r="G190" s="91"/>
      <c r="H190" s="91"/>
      <c r="I190" s="91"/>
      <c r="J190" s="91"/>
      <c r="K190" s="92"/>
      <c r="L190" s="90"/>
      <c r="M190" s="91"/>
      <c r="N190" s="91"/>
      <c r="O190" s="91"/>
      <c r="P190" s="91"/>
      <c r="Q190" s="91"/>
      <c r="R190" s="92"/>
      <c r="S190" s="90"/>
      <c r="T190" s="91"/>
      <c r="U190" s="91"/>
      <c r="V190" s="91"/>
      <c r="W190" s="91"/>
      <c r="X190" s="91"/>
      <c r="Y190" s="92"/>
      <c r="Z190" s="90"/>
      <c r="AA190" s="91"/>
      <c r="AB190" s="91"/>
      <c r="AC190" s="91"/>
      <c r="AD190" s="91"/>
      <c r="AE190" s="91"/>
      <c r="AF190" s="93"/>
      <c r="AG190" s="90"/>
      <c r="AH190" s="91"/>
      <c r="AI190" s="91"/>
      <c r="AJ190" s="91"/>
      <c r="AK190" s="91"/>
      <c r="AL190" s="91"/>
      <c r="AM190" s="93"/>
      <c r="AN190" s="90"/>
      <c r="AO190" s="91"/>
      <c r="AP190" s="91"/>
      <c r="AQ190" s="91"/>
      <c r="AR190" s="91"/>
      <c r="AS190" s="91"/>
      <c r="AT190" s="93"/>
      <c r="AU190" s="37">
        <f t="shared" si="51"/>
        <v>0</v>
      </c>
      <c r="AV190" s="37">
        <f t="shared" si="52"/>
        <v>0</v>
      </c>
      <c r="AW190" s="37">
        <f t="shared" si="53"/>
        <v>0</v>
      </c>
      <c r="AX190" s="37">
        <f t="shared" si="54"/>
        <v>0</v>
      </c>
      <c r="AY190" s="37">
        <f t="shared" si="55"/>
        <v>0</v>
      </c>
      <c r="AZ190" s="37">
        <f t="shared" si="56"/>
        <v>0</v>
      </c>
      <c r="BA190" s="20"/>
    </row>
    <row r="191" spans="1:53" ht="14.1" customHeight="1" x14ac:dyDescent="0.25">
      <c r="A191" s="89"/>
      <c r="B191" s="101" t="str" cm="1">
        <f t="array" ref="B191">_xlfn.IFNA(INDEX(Employees[Employment Type],MATCH(Schedule!A191:A191,Employees[Employee Names],0)),"")</f>
        <v/>
      </c>
      <c r="C191" s="101" t="str">
        <f>_xlfn.IFNA(INDEX(Employees[Employee Role],MATCH(Schedule!A191,Employees[Employee Names],0)),"")</f>
        <v/>
      </c>
      <c r="D191" s="103">
        <f>COUNTA(IF(Settings!$D$14 = TRUE,E191:AT191,$E191:$AF191))</f>
        <v>0</v>
      </c>
      <c r="E191" s="90"/>
      <c r="F191" s="91"/>
      <c r="G191" s="91"/>
      <c r="H191" s="91"/>
      <c r="I191" s="91"/>
      <c r="J191" s="91"/>
      <c r="K191" s="92"/>
      <c r="L191" s="90"/>
      <c r="M191" s="91"/>
      <c r="N191" s="91"/>
      <c r="O191" s="91"/>
      <c r="P191" s="91"/>
      <c r="Q191" s="91"/>
      <c r="R191" s="92"/>
      <c r="S191" s="90"/>
      <c r="T191" s="91"/>
      <c r="U191" s="91"/>
      <c r="V191" s="91"/>
      <c r="W191" s="91"/>
      <c r="X191" s="91"/>
      <c r="Y191" s="92"/>
      <c r="Z191" s="90"/>
      <c r="AA191" s="91"/>
      <c r="AB191" s="91"/>
      <c r="AC191" s="91"/>
      <c r="AD191" s="91"/>
      <c r="AE191" s="91"/>
      <c r="AF191" s="93"/>
      <c r="AG191" s="90"/>
      <c r="AH191" s="91"/>
      <c r="AI191" s="91"/>
      <c r="AJ191" s="91"/>
      <c r="AK191" s="91"/>
      <c r="AL191" s="91"/>
      <c r="AM191" s="93"/>
      <c r="AN191" s="90"/>
      <c r="AO191" s="91"/>
      <c r="AP191" s="91"/>
      <c r="AQ191" s="91"/>
      <c r="AR191" s="91"/>
      <c r="AS191" s="91"/>
      <c r="AT191" s="93"/>
      <c r="AU191" s="37">
        <f t="shared" si="51"/>
        <v>0</v>
      </c>
      <c r="AV191" s="37">
        <f t="shared" si="52"/>
        <v>0</v>
      </c>
      <c r="AW191" s="37">
        <f t="shared" si="53"/>
        <v>0</v>
      </c>
      <c r="AX191" s="37">
        <f t="shared" si="54"/>
        <v>0</v>
      </c>
      <c r="AY191" s="37">
        <f t="shared" si="55"/>
        <v>0</v>
      </c>
      <c r="AZ191" s="37">
        <f t="shared" si="56"/>
        <v>0</v>
      </c>
      <c r="BA191" s="20"/>
    </row>
    <row r="192" spans="1:53" ht="14.1" customHeight="1" x14ac:dyDescent="0.25">
      <c r="A192" s="89"/>
      <c r="B192" s="101" t="str" cm="1">
        <f t="array" ref="B192">_xlfn.IFNA(INDEX(Employees[Employment Type],MATCH(Schedule!A192:A192,Employees[Employee Names],0)),"")</f>
        <v/>
      </c>
      <c r="C192" s="101" t="str">
        <f>_xlfn.IFNA(INDEX(Employees[Employee Role],MATCH(Schedule!A192,Employees[Employee Names],0)),"")</f>
        <v/>
      </c>
      <c r="D192" s="103">
        <f>COUNTA(IF(Settings!$D$14 = TRUE,E192:AT192,$E192:$AF192))</f>
        <v>0</v>
      </c>
      <c r="E192" s="90"/>
      <c r="F192" s="91"/>
      <c r="G192" s="91"/>
      <c r="H192" s="91"/>
      <c r="I192" s="91"/>
      <c r="J192" s="91"/>
      <c r="K192" s="92"/>
      <c r="L192" s="90"/>
      <c r="M192" s="91"/>
      <c r="N192" s="91"/>
      <c r="O192" s="91"/>
      <c r="P192" s="91"/>
      <c r="Q192" s="91"/>
      <c r="R192" s="92"/>
      <c r="S192" s="90"/>
      <c r="T192" s="91"/>
      <c r="U192" s="91"/>
      <c r="V192" s="91"/>
      <c r="W192" s="91"/>
      <c r="X192" s="91"/>
      <c r="Y192" s="92"/>
      <c r="Z192" s="90"/>
      <c r="AA192" s="91"/>
      <c r="AB192" s="91"/>
      <c r="AC192" s="91"/>
      <c r="AD192" s="91"/>
      <c r="AE192" s="91"/>
      <c r="AF192" s="93"/>
      <c r="AG192" s="90"/>
      <c r="AH192" s="91"/>
      <c r="AI192" s="91"/>
      <c r="AJ192" s="91"/>
      <c r="AK192" s="91"/>
      <c r="AL192" s="91"/>
      <c r="AM192" s="93"/>
      <c r="AN192" s="90"/>
      <c r="AO192" s="91"/>
      <c r="AP192" s="91"/>
      <c r="AQ192" s="91"/>
      <c r="AR192" s="91"/>
      <c r="AS192" s="91"/>
      <c r="AT192" s="93"/>
      <c r="AU192" s="37">
        <f t="shared" si="51"/>
        <v>0</v>
      </c>
      <c r="AV192" s="37">
        <f t="shared" si="52"/>
        <v>0</v>
      </c>
      <c r="AW192" s="37">
        <f t="shared" si="53"/>
        <v>0</v>
      </c>
      <c r="AX192" s="37">
        <f t="shared" si="54"/>
        <v>0</v>
      </c>
      <c r="AY192" s="37">
        <f t="shared" si="55"/>
        <v>0</v>
      </c>
      <c r="AZ192" s="37">
        <f t="shared" si="56"/>
        <v>0</v>
      </c>
      <c r="BA192" s="20"/>
    </row>
    <row r="193" spans="1:53" ht="14.1" customHeight="1" x14ac:dyDescent="0.25">
      <c r="A193" s="89"/>
      <c r="B193" s="101" t="str" cm="1">
        <f t="array" ref="B193">_xlfn.IFNA(INDEX(Employees[Employment Type],MATCH(Schedule!A193:A193,Employees[Employee Names],0)),"")</f>
        <v/>
      </c>
      <c r="C193" s="101" t="str">
        <f>_xlfn.IFNA(INDEX(Employees[Employee Role],MATCH(Schedule!A193,Employees[Employee Names],0)),"")</f>
        <v/>
      </c>
      <c r="D193" s="103">
        <f>COUNTA(IF(Settings!$D$14 = TRUE,E193:AT193,$E193:$AF193))</f>
        <v>0</v>
      </c>
      <c r="E193" s="90"/>
      <c r="F193" s="91"/>
      <c r="G193" s="91"/>
      <c r="H193" s="91"/>
      <c r="I193" s="91"/>
      <c r="J193" s="91"/>
      <c r="K193" s="92"/>
      <c r="L193" s="90"/>
      <c r="M193" s="91"/>
      <c r="N193" s="91"/>
      <c r="O193" s="91"/>
      <c r="P193" s="91"/>
      <c r="Q193" s="91"/>
      <c r="R193" s="92"/>
      <c r="S193" s="90"/>
      <c r="T193" s="91"/>
      <c r="U193" s="91"/>
      <c r="V193" s="91"/>
      <c r="W193" s="91"/>
      <c r="X193" s="91"/>
      <c r="Y193" s="92"/>
      <c r="Z193" s="90"/>
      <c r="AA193" s="91"/>
      <c r="AB193" s="91"/>
      <c r="AC193" s="91"/>
      <c r="AD193" s="91"/>
      <c r="AE193" s="91"/>
      <c r="AF193" s="93"/>
      <c r="AG193" s="90"/>
      <c r="AH193" s="91"/>
      <c r="AI193" s="91"/>
      <c r="AJ193" s="91"/>
      <c r="AK193" s="91"/>
      <c r="AL193" s="91"/>
      <c r="AM193" s="93"/>
      <c r="AN193" s="90"/>
      <c r="AO193" s="91"/>
      <c r="AP193" s="91"/>
      <c r="AQ193" s="91"/>
      <c r="AR193" s="91"/>
      <c r="AS193" s="91"/>
      <c r="AT193" s="93"/>
      <c r="AU193" s="37">
        <f t="shared" si="51"/>
        <v>0</v>
      </c>
      <c r="AV193" s="37">
        <f t="shared" si="52"/>
        <v>0</v>
      </c>
      <c r="AW193" s="37">
        <f t="shared" si="53"/>
        <v>0</v>
      </c>
      <c r="AX193" s="37">
        <f t="shared" si="54"/>
        <v>0</v>
      </c>
      <c r="AY193" s="37">
        <f t="shared" si="55"/>
        <v>0</v>
      </c>
      <c r="AZ193" s="37">
        <f t="shared" si="56"/>
        <v>0</v>
      </c>
      <c r="BA193" s="20"/>
    </row>
    <row r="194" spans="1:53" ht="14.1" customHeight="1" x14ac:dyDescent="0.25">
      <c r="A194" s="89"/>
      <c r="B194" s="101" t="str" cm="1">
        <f t="array" ref="B194">_xlfn.IFNA(INDEX(Employees[Employment Type],MATCH(Schedule!A194:A194,Employees[Employee Names],0)),"")</f>
        <v/>
      </c>
      <c r="C194" s="101" t="str">
        <f>_xlfn.IFNA(INDEX(Employees[Employee Role],MATCH(Schedule!A194,Employees[Employee Names],0)),"")</f>
        <v/>
      </c>
      <c r="D194" s="103">
        <f>COUNTA(IF(Settings!$D$14 = TRUE,E194:AT194,$E194:$AF194))</f>
        <v>0</v>
      </c>
      <c r="E194" s="90"/>
      <c r="F194" s="91"/>
      <c r="G194" s="91"/>
      <c r="H194" s="91"/>
      <c r="I194" s="91"/>
      <c r="J194" s="91"/>
      <c r="K194" s="92"/>
      <c r="L194" s="90"/>
      <c r="M194" s="91"/>
      <c r="N194" s="91"/>
      <c r="O194" s="91"/>
      <c r="P194" s="91"/>
      <c r="Q194" s="91"/>
      <c r="R194" s="92"/>
      <c r="S194" s="90"/>
      <c r="T194" s="91"/>
      <c r="U194" s="91"/>
      <c r="V194" s="91"/>
      <c r="W194" s="91"/>
      <c r="X194" s="91"/>
      <c r="Y194" s="92"/>
      <c r="Z194" s="90"/>
      <c r="AA194" s="91"/>
      <c r="AB194" s="91"/>
      <c r="AC194" s="91"/>
      <c r="AD194" s="91"/>
      <c r="AE194" s="91"/>
      <c r="AF194" s="93"/>
      <c r="AG194" s="90"/>
      <c r="AH194" s="91"/>
      <c r="AI194" s="91"/>
      <c r="AJ194" s="91"/>
      <c r="AK194" s="91"/>
      <c r="AL194" s="91"/>
      <c r="AM194" s="93"/>
      <c r="AN194" s="90"/>
      <c r="AO194" s="91"/>
      <c r="AP194" s="91"/>
      <c r="AQ194" s="91"/>
      <c r="AR194" s="91"/>
      <c r="AS194" s="91"/>
      <c r="AT194" s="93"/>
      <c r="AU194" s="37">
        <f t="shared" si="51"/>
        <v>0</v>
      </c>
      <c r="AV194" s="37">
        <f t="shared" si="52"/>
        <v>0</v>
      </c>
      <c r="AW194" s="37">
        <f t="shared" si="53"/>
        <v>0</v>
      </c>
      <c r="AX194" s="37">
        <f t="shared" si="54"/>
        <v>0</v>
      </c>
      <c r="AY194" s="37">
        <f t="shared" si="55"/>
        <v>0</v>
      </c>
      <c r="AZ194" s="37">
        <f t="shared" si="56"/>
        <v>0</v>
      </c>
      <c r="BA194" s="20"/>
    </row>
    <row r="195" spans="1:53" ht="14.1" customHeight="1" x14ac:dyDescent="0.25">
      <c r="A195" s="89"/>
      <c r="B195" s="101" t="str" cm="1">
        <f t="array" ref="B195">_xlfn.IFNA(INDEX(Employees[Employment Type],MATCH(Schedule!A195:A195,Employees[Employee Names],0)),"")</f>
        <v/>
      </c>
      <c r="C195" s="101" t="str">
        <f>_xlfn.IFNA(INDEX(Employees[Employee Role],MATCH(Schedule!A195,Employees[Employee Names],0)),"")</f>
        <v/>
      </c>
      <c r="D195" s="103">
        <f>COUNTA(IF(Settings!$D$14 = TRUE,E195:AT195,$E195:$AF195))</f>
        <v>0</v>
      </c>
      <c r="E195" s="90"/>
      <c r="F195" s="91"/>
      <c r="G195" s="91"/>
      <c r="H195" s="91"/>
      <c r="I195" s="91"/>
      <c r="J195" s="91"/>
      <c r="K195" s="92"/>
      <c r="L195" s="90"/>
      <c r="M195" s="91"/>
      <c r="N195" s="91"/>
      <c r="O195" s="91"/>
      <c r="P195" s="91"/>
      <c r="Q195" s="91"/>
      <c r="R195" s="92"/>
      <c r="S195" s="90"/>
      <c r="T195" s="91"/>
      <c r="U195" s="91"/>
      <c r="V195" s="91"/>
      <c r="W195" s="91"/>
      <c r="X195" s="91"/>
      <c r="Y195" s="92"/>
      <c r="Z195" s="90"/>
      <c r="AA195" s="91"/>
      <c r="AB195" s="91"/>
      <c r="AC195" s="91"/>
      <c r="AD195" s="91"/>
      <c r="AE195" s="91"/>
      <c r="AF195" s="93"/>
      <c r="AG195" s="90"/>
      <c r="AH195" s="91"/>
      <c r="AI195" s="91"/>
      <c r="AJ195" s="91"/>
      <c r="AK195" s="91"/>
      <c r="AL195" s="91"/>
      <c r="AM195" s="93"/>
      <c r="AN195" s="90"/>
      <c r="AO195" s="91"/>
      <c r="AP195" s="91"/>
      <c r="AQ195" s="91"/>
      <c r="AR195" s="91"/>
      <c r="AS195" s="91"/>
      <c r="AT195" s="93"/>
      <c r="AU195" s="37">
        <f t="shared" si="51"/>
        <v>0</v>
      </c>
      <c r="AV195" s="37">
        <f t="shared" si="52"/>
        <v>0</v>
      </c>
      <c r="AW195" s="37">
        <f t="shared" si="53"/>
        <v>0</v>
      </c>
      <c r="AX195" s="37">
        <f t="shared" si="54"/>
        <v>0</v>
      </c>
      <c r="AY195" s="37">
        <f t="shared" si="55"/>
        <v>0</v>
      </c>
      <c r="AZ195" s="37">
        <f t="shared" si="56"/>
        <v>0</v>
      </c>
      <c r="BA195" s="20"/>
    </row>
    <row r="196" spans="1:53" ht="14.1" customHeight="1" x14ac:dyDescent="0.25">
      <c r="A196" s="89"/>
      <c r="B196" s="101" t="str" cm="1">
        <f t="array" ref="B196">_xlfn.IFNA(INDEX(Employees[Employment Type],MATCH(Schedule!A196:A196,Employees[Employee Names],0)),"")</f>
        <v/>
      </c>
      <c r="C196" s="101" t="str">
        <f>_xlfn.IFNA(INDEX(Employees[Employee Role],MATCH(Schedule!A196,Employees[Employee Names],0)),"")</f>
        <v/>
      </c>
      <c r="D196" s="103">
        <f>COUNTA(IF(Settings!$D$14 = TRUE,E196:AT196,$E196:$AF196))</f>
        <v>0</v>
      </c>
      <c r="E196" s="90"/>
      <c r="F196" s="91"/>
      <c r="G196" s="91"/>
      <c r="H196" s="91"/>
      <c r="I196" s="91"/>
      <c r="J196" s="91"/>
      <c r="K196" s="92"/>
      <c r="L196" s="90"/>
      <c r="M196" s="91"/>
      <c r="N196" s="91"/>
      <c r="O196" s="91"/>
      <c r="P196" s="91"/>
      <c r="Q196" s="91"/>
      <c r="R196" s="92"/>
      <c r="S196" s="90"/>
      <c r="T196" s="91"/>
      <c r="U196" s="91"/>
      <c r="V196" s="91"/>
      <c r="W196" s="91"/>
      <c r="X196" s="91"/>
      <c r="Y196" s="92"/>
      <c r="Z196" s="90"/>
      <c r="AA196" s="91"/>
      <c r="AB196" s="91"/>
      <c r="AC196" s="91"/>
      <c r="AD196" s="91"/>
      <c r="AE196" s="91"/>
      <c r="AF196" s="93"/>
      <c r="AG196" s="94"/>
      <c r="AH196" s="95"/>
      <c r="AI196" s="95"/>
      <c r="AJ196" s="95"/>
      <c r="AK196" s="95"/>
      <c r="AL196" s="95"/>
      <c r="AM196" s="96"/>
      <c r="AN196" s="94"/>
      <c r="AO196" s="95"/>
      <c r="AP196" s="95"/>
      <c r="AQ196" s="95"/>
      <c r="AR196" s="95"/>
      <c r="AS196" s="95"/>
      <c r="AT196" s="96"/>
      <c r="AU196" s="37">
        <f t="shared" si="51"/>
        <v>0</v>
      </c>
      <c r="AV196" s="37">
        <f t="shared" si="52"/>
        <v>0</v>
      </c>
      <c r="AW196" s="37">
        <f t="shared" si="53"/>
        <v>0</v>
      </c>
      <c r="AX196" s="37">
        <f t="shared" si="54"/>
        <v>0</v>
      </c>
      <c r="AY196" s="37">
        <f t="shared" si="55"/>
        <v>0</v>
      </c>
      <c r="AZ196" s="37">
        <f t="shared" si="56"/>
        <v>0</v>
      </c>
      <c r="BA196" s="20"/>
    </row>
    <row r="197" spans="1:53" ht="14.1" customHeight="1" x14ac:dyDescent="0.25">
      <c r="A197" s="89"/>
      <c r="B197" s="101" t="str" cm="1">
        <f t="array" ref="B197">_xlfn.IFNA(INDEX(Employees[Employment Type],MATCH(Schedule!A197:A197,Employees[Employee Names],0)),"")</f>
        <v/>
      </c>
      <c r="C197" s="101" t="str">
        <f>_xlfn.IFNA(INDEX(Employees[Employee Role],MATCH(Schedule!A197,Employees[Employee Names],0)),"")</f>
        <v/>
      </c>
      <c r="D197" s="103">
        <f>COUNTA(IF(Settings!$D$14 = TRUE,E197:AT197,$E197:$AF197))</f>
        <v>0</v>
      </c>
      <c r="E197" s="90"/>
      <c r="F197" s="91"/>
      <c r="G197" s="91"/>
      <c r="H197" s="91"/>
      <c r="I197" s="91"/>
      <c r="J197" s="91"/>
      <c r="K197" s="92"/>
      <c r="L197" s="90"/>
      <c r="M197" s="91"/>
      <c r="N197" s="91"/>
      <c r="O197" s="91"/>
      <c r="P197" s="91"/>
      <c r="Q197" s="91"/>
      <c r="R197" s="92"/>
      <c r="S197" s="90"/>
      <c r="T197" s="91"/>
      <c r="U197" s="91"/>
      <c r="V197" s="91"/>
      <c r="W197" s="91"/>
      <c r="X197" s="91"/>
      <c r="Y197" s="92"/>
      <c r="Z197" s="90"/>
      <c r="AA197" s="91"/>
      <c r="AB197" s="91"/>
      <c r="AC197" s="91"/>
      <c r="AD197" s="91"/>
      <c r="AE197" s="91"/>
      <c r="AF197" s="93"/>
      <c r="AG197" s="94"/>
      <c r="AH197" s="95"/>
      <c r="AI197" s="95"/>
      <c r="AJ197" s="95"/>
      <c r="AK197" s="95"/>
      <c r="AL197" s="95"/>
      <c r="AM197" s="96"/>
      <c r="AN197" s="94"/>
      <c r="AO197" s="95"/>
      <c r="AP197" s="95"/>
      <c r="AQ197" s="95"/>
      <c r="AR197" s="95"/>
      <c r="AS197" s="95"/>
      <c r="AT197" s="96"/>
      <c r="AU197" s="37">
        <f t="shared" si="51"/>
        <v>0</v>
      </c>
      <c r="AV197" s="37">
        <f t="shared" si="52"/>
        <v>0</v>
      </c>
      <c r="AW197" s="37">
        <f t="shared" si="53"/>
        <v>0</v>
      </c>
      <c r="AX197" s="37">
        <f t="shared" si="54"/>
        <v>0</v>
      </c>
      <c r="AY197" s="37">
        <f t="shared" si="55"/>
        <v>0</v>
      </c>
      <c r="AZ197" s="37">
        <f t="shared" si="56"/>
        <v>0</v>
      </c>
      <c r="BA197" s="20"/>
    </row>
    <row r="198" spans="1:53" ht="14.1" customHeight="1" x14ac:dyDescent="0.25">
      <c r="A198" s="89"/>
      <c r="B198" s="101" t="str" cm="1">
        <f t="array" ref="B198">_xlfn.IFNA(INDEX(Employees[Employment Type],MATCH(Schedule!A198:A198,Employees[Employee Names],0)),"")</f>
        <v/>
      </c>
      <c r="C198" s="101" t="str">
        <f>_xlfn.IFNA(INDEX(Employees[Employee Role],MATCH(Schedule!A198,Employees[Employee Names],0)),"")</f>
        <v/>
      </c>
      <c r="D198" s="103">
        <f>COUNTA(IF(Settings!$D$14 = TRUE,E198:AT198,$E198:$AF198))</f>
        <v>0</v>
      </c>
      <c r="E198" s="90"/>
      <c r="F198" s="91"/>
      <c r="G198" s="91"/>
      <c r="H198" s="91"/>
      <c r="I198" s="91"/>
      <c r="J198" s="91"/>
      <c r="K198" s="92"/>
      <c r="L198" s="90"/>
      <c r="M198" s="91"/>
      <c r="N198" s="91"/>
      <c r="O198" s="91"/>
      <c r="P198" s="91"/>
      <c r="Q198" s="91"/>
      <c r="R198" s="92"/>
      <c r="S198" s="90"/>
      <c r="T198" s="91"/>
      <c r="U198" s="91"/>
      <c r="V198" s="91"/>
      <c r="W198" s="91"/>
      <c r="X198" s="91"/>
      <c r="Y198" s="92"/>
      <c r="Z198" s="90"/>
      <c r="AA198" s="91"/>
      <c r="AB198" s="91"/>
      <c r="AC198" s="91"/>
      <c r="AD198" s="91"/>
      <c r="AE198" s="91"/>
      <c r="AF198" s="93"/>
      <c r="AG198" s="94"/>
      <c r="AH198" s="95"/>
      <c r="AI198" s="95"/>
      <c r="AJ198" s="95"/>
      <c r="AK198" s="95"/>
      <c r="AL198" s="95"/>
      <c r="AM198" s="96"/>
      <c r="AN198" s="94"/>
      <c r="AO198" s="95"/>
      <c r="AP198" s="95"/>
      <c r="AQ198" s="95"/>
      <c r="AR198" s="95"/>
      <c r="AS198" s="95"/>
      <c r="AT198" s="96"/>
      <c r="AU198" s="37">
        <f t="shared" si="51"/>
        <v>0</v>
      </c>
      <c r="AV198" s="37">
        <f t="shared" si="52"/>
        <v>0</v>
      </c>
      <c r="AW198" s="37">
        <f t="shared" si="53"/>
        <v>0</v>
      </c>
      <c r="AX198" s="37">
        <f t="shared" si="54"/>
        <v>0</v>
      </c>
      <c r="AY198" s="37">
        <f t="shared" si="55"/>
        <v>0</v>
      </c>
      <c r="AZ198" s="37">
        <f t="shared" si="56"/>
        <v>0</v>
      </c>
      <c r="BA198" s="20"/>
    </row>
    <row r="199" spans="1:53" ht="14.1" customHeight="1" x14ac:dyDescent="0.25">
      <c r="A199" s="89"/>
      <c r="B199" s="101" t="str" cm="1">
        <f t="array" ref="B199">_xlfn.IFNA(INDEX(Employees[Employment Type],MATCH(Schedule!A199:A199,Employees[Employee Names],0)),"")</f>
        <v/>
      </c>
      <c r="C199" s="101" t="str">
        <f>_xlfn.IFNA(INDEX(Employees[Employee Role],MATCH(Schedule!A199,Employees[Employee Names],0)),"")</f>
        <v/>
      </c>
      <c r="D199" s="103">
        <f>COUNTA(IF(Settings!$D$14 = TRUE,E199:AT199,$E199:$AF199))</f>
        <v>0</v>
      </c>
      <c r="E199" s="90"/>
      <c r="F199" s="91"/>
      <c r="G199" s="91"/>
      <c r="H199" s="91"/>
      <c r="I199" s="91"/>
      <c r="J199" s="91"/>
      <c r="K199" s="92"/>
      <c r="L199" s="90"/>
      <c r="M199" s="91"/>
      <c r="N199" s="91"/>
      <c r="O199" s="91"/>
      <c r="P199" s="91"/>
      <c r="Q199" s="91"/>
      <c r="R199" s="92"/>
      <c r="S199" s="90"/>
      <c r="T199" s="91"/>
      <c r="U199" s="91"/>
      <c r="V199" s="91"/>
      <c r="W199" s="91"/>
      <c r="X199" s="91"/>
      <c r="Y199" s="92"/>
      <c r="Z199" s="90"/>
      <c r="AA199" s="91"/>
      <c r="AB199" s="91"/>
      <c r="AC199" s="91"/>
      <c r="AD199" s="91"/>
      <c r="AE199" s="91"/>
      <c r="AF199" s="93"/>
      <c r="AG199" s="94"/>
      <c r="AH199" s="95"/>
      <c r="AI199" s="95"/>
      <c r="AJ199" s="95"/>
      <c r="AK199" s="95"/>
      <c r="AL199" s="95"/>
      <c r="AM199" s="96"/>
      <c r="AN199" s="94"/>
      <c r="AO199" s="95"/>
      <c r="AP199" s="95"/>
      <c r="AQ199" s="95"/>
      <c r="AR199" s="95"/>
      <c r="AS199" s="95"/>
      <c r="AT199" s="96"/>
      <c r="AU199" s="37">
        <f t="shared" si="51"/>
        <v>0</v>
      </c>
      <c r="AV199" s="37">
        <f t="shared" si="52"/>
        <v>0</v>
      </c>
      <c r="AW199" s="37">
        <f t="shared" si="53"/>
        <v>0</v>
      </c>
      <c r="AX199" s="37">
        <f t="shared" si="54"/>
        <v>0</v>
      </c>
      <c r="AY199" s="37">
        <f t="shared" si="55"/>
        <v>0</v>
      </c>
      <c r="AZ199" s="37">
        <f t="shared" si="56"/>
        <v>0</v>
      </c>
      <c r="BA199" s="20"/>
    </row>
    <row r="200" spans="1:53" ht="14.1" customHeight="1" x14ac:dyDescent="0.25">
      <c r="A200" s="89"/>
      <c r="B200" s="101" t="str" cm="1">
        <f t="array" ref="B200">_xlfn.IFNA(INDEX(Employees[Employment Type],MATCH(Schedule!A200:A200,Employees[Employee Names],0)),"")</f>
        <v/>
      </c>
      <c r="C200" s="101" t="str">
        <f>_xlfn.IFNA(INDEX(Employees[Employee Role],MATCH(Schedule!A200,Employees[Employee Names],0)),"")</f>
        <v/>
      </c>
      <c r="D200" s="103">
        <f>COUNTA(IF(Settings!$D$14 = TRUE,E200:AT200,$E200:$AF200))</f>
        <v>0</v>
      </c>
      <c r="E200" s="90"/>
      <c r="F200" s="91"/>
      <c r="G200" s="91"/>
      <c r="H200" s="91"/>
      <c r="I200" s="91"/>
      <c r="J200" s="91"/>
      <c r="K200" s="92"/>
      <c r="L200" s="90"/>
      <c r="M200" s="91"/>
      <c r="N200" s="91"/>
      <c r="O200" s="91"/>
      <c r="P200" s="91"/>
      <c r="Q200" s="91"/>
      <c r="R200" s="92"/>
      <c r="S200" s="90"/>
      <c r="T200" s="91"/>
      <c r="U200" s="91"/>
      <c r="V200" s="91"/>
      <c r="W200" s="91"/>
      <c r="X200" s="91"/>
      <c r="Y200" s="92"/>
      <c r="Z200" s="90"/>
      <c r="AA200" s="91"/>
      <c r="AB200" s="91"/>
      <c r="AC200" s="91"/>
      <c r="AD200" s="91"/>
      <c r="AE200" s="91"/>
      <c r="AF200" s="93"/>
      <c r="AG200" s="94"/>
      <c r="AH200" s="95"/>
      <c r="AI200" s="95"/>
      <c r="AJ200" s="95"/>
      <c r="AK200" s="95"/>
      <c r="AL200" s="95"/>
      <c r="AM200" s="96"/>
      <c r="AN200" s="94"/>
      <c r="AO200" s="95"/>
      <c r="AP200" s="95"/>
      <c r="AQ200" s="95"/>
      <c r="AR200" s="95"/>
      <c r="AS200" s="95"/>
      <c r="AT200" s="96"/>
      <c r="AU200" s="37">
        <f t="shared" si="51"/>
        <v>0</v>
      </c>
      <c r="AV200" s="37">
        <f t="shared" si="52"/>
        <v>0</v>
      </c>
      <c r="AW200" s="37">
        <f t="shared" si="53"/>
        <v>0</v>
      </c>
      <c r="AX200" s="37">
        <f t="shared" si="54"/>
        <v>0</v>
      </c>
      <c r="AY200" s="37">
        <f t="shared" si="55"/>
        <v>0</v>
      </c>
      <c r="AZ200" s="37">
        <f t="shared" si="56"/>
        <v>0</v>
      </c>
      <c r="BA200" s="20"/>
    </row>
    <row r="201" spans="1:53" ht="14.1" customHeight="1" x14ac:dyDescent="0.25">
      <c r="A201" s="89"/>
      <c r="B201" s="101" t="str" cm="1">
        <f t="array" ref="B201">_xlfn.IFNA(INDEX(Employees[Employment Type],MATCH(Schedule!A201:A201,Employees[Employee Names],0)),"")</f>
        <v/>
      </c>
      <c r="C201" s="101" t="str">
        <f>_xlfn.IFNA(INDEX(Employees[Employee Role],MATCH(Schedule!A201,Employees[Employee Names],0)),"")</f>
        <v/>
      </c>
      <c r="D201" s="103">
        <f>COUNTA(IF(Settings!$D$14 = TRUE,E201:AT201,$E201:$AF201))</f>
        <v>0</v>
      </c>
      <c r="E201" s="90"/>
      <c r="F201" s="91"/>
      <c r="G201" s="91"/>
      <c r="H201" s="91"/>
      <c r="I201" s="91"/>
      <c r="J201" s="91"/>
      <c r="K201" s="92"/>
      <c r="L201" s="90"/>
      <c r="M201" s="91"/>
      <c r="N201" s="91"/>
      <c r="O201" s="91"/>
      <c r="P201" s="91"/>
      <c r="Q201" s="91"/>
      <c r="R201" s="92"/>
      <c r="S201" s="90"/>
      <c r="T201" s="91"/>
      <c r="U201" s="91"/>
      <c r="V201" s="91"/>
      <c r="W201" s="91"/>
      <c r="X201" s="91"/>
      <c r="Y201" s="92"/>
      <c r="Z201" s="90"/>
      <c r="AA201" s="91"/>
      <c r="AB201" s="91"/>
      <c r="AC201" s="91"/>
      <c r="AD201" s="91"/>
      <c r="AE201" s="91"/>
      <c r="AF201" s="93"/>
      <c r="AG201" s="94"/>
      <c r="AH201" s="95"/>
      <c r="AI201" s="95"/>
      <c r="AJ201" s="95"/>
      <c r="AK201" s="95"/>
      <c r="AL201" s="95"/>
      <c r="AM201" s="96"/>
      <c r="AN201" s="94"/>
      <c r="AO201" s="95"/>
      <c r="AP201" s="95"/>
      <c r="AQ201" s="95"/>
      <c r="AR201" s="95"/>
      <c r="AS201" s="95"/>
      <c r="AT201" s="96"/>
      <c r="AU201" s="37">
        <f t="shared" si="51"/>
        <v>0</v>
      </c>
      <c r="AV201" s="37">
        <f t="shared" si="52"/>
        <v>0</v>
      </c>
      <c r="AW201" s="37">
        <f t="shared" si="53"/>
        <v>0</v>
      </c>
      <c r="AX201" s="37">
        <f t="shared" si="54"/>
        <v>0</v>
      </c>
      <c r="AY201" s="37">
        <f t="shared" si="55"/>
        <v>0</v>
      </c>
      <c r="AZ201" s="37">
        <f t="shared" si="56"/>
        <v>0</v>
      </c>
      <c r="BA201" s="20"/>
    </row>
    <row r="202" spans="1:53" ht="14.1" customHeight="1" x14ac:dyDescent="0.25">
      <c r="A202" s="89"/>
      <c r="B202" s="101" t="str" cm="1">
        <f t="array" ref="B202">_xlfn.IFNA(INDEX(Employees[Employment Type],MATCH(Schedule!A202:A202,Employees[Employee Names],0)),"")</f>
        <v/>
      </c>
      <c r="C202" s="101" t="str">
        <f>_xlfn.IFNA(INDEX(Employees[Employee Role],MATCH(Schedule!A202,Employees[Employee Names],0)),"")</f>
        <v/>
      </c>
      <c r="D202" s="103">
        <f>COUNTA(IF(Settings!$D$14 = TRUE,E202:AT202,$E202:$AF202))</f>
        <v>0</v>
      </c>
      <c r="E202" s="90"/>
      <c r="F202" s="91"/>
      <c r="G202" s="91"/>
      <c r="H202" s="91"/>
      <c r="I202" s="91"/>
      <c r="J202" s="91"/>
      <c r="K202" s="92"/>
      <c r="L202" s="90"/>
      <c r="M202" s="91"/>
      <c r="N202" s="91"/>
      <c r="O202" s="91"/>
      <c r="P202" s="91"/>
      <c r="Q202" s="91"/>
      <c r="R202" s="92"/>
      <c r="S202" s="90"/>
      <c r="T202" s="91"/>
      <c r="U202" s="91"/>
      <c r="V202" s="91"/>
      <c r="W202" s="91"/>
      <c r="X202" s="91"/>
      <c r="Y202" s="92"/>
      <c r="Z202" s="90"/>
      <c r="AA202" s="91"/>
      <c r="AB202" s="91"/>
      <c r="AC202" s="91"/>
      <c r="AD202" s="91"/>
      <c r="AE202" s="91"/>
      <c r="AF202" s="93"/>
      <c r="AG202" s="94"/>
      <c r="AH202" s="95"/>
      <c r="AI202" s="95"/>
      <c r="AJ202" s="95"/>
      <c r="AK202" s="95"/>
      <c r="AL202" s="95"/>
      <c r="AM202" s="96"/>
      <c r="AN202" s="94"/>
      <c r="AO202" s="95"/>
      <c r="AP202" s="95"/>
      <c r="AQ202" s="95"/>
      <c r="AR202" s="95"/>
      <c r="AS202" s="95"/>
      <c r="AT202" s="96"/>
      <c r="AU202" s="37">
        <f t="shared" si="51"/>
        <v>0</v>
      </c>
      <c r="AV202" s="37">
        <f t="shared" si="52"/>
        <v>0</v>
      </c>
      <c r="AW202" s="37">
        <f t="shared" si="53"/>
        <v>0</v>
      </c>
      <c r="AX202" s="37">
        <f t="shared" si="54"/>
        <v>0</v>
      </c>
      <c r="AY202" s="37">
        <f t="shared" si="55"/>
        <v>0</v>
      </c>
      <c r="AZ202" s="37">
        <f t="shared" si="56"/>
        <v>0</v>
      </c>
      <c r="BA202" s="20"/>
    </row>
    <row r="203" spans="1:53" ht="14.1" customHeight="1" x14ac:dyDescent="0.25">
      <c r="A203" s="89"/>
      <c r="B203" s="101" t="str" cm="1">
        <f t="array" ref="B203">_xlfn.IFNA(INDEX(Employees[Employment Type],MATCH(Schedule!A203:A203,Employees[Employee Names],0)),"")</f>
        <v/>
      </c>
      <c r="C203" s="101" t="str">
        <f>_xlfn.IFNA(INDEX(Employees[Employee Role],MATCH(Schedule!A203,Employees[Employee Names],0)),"")</f>
        <v/>
      </c>
      <c r="D203" s="103">
        <f>COUNTA(IF(Settings!$D$14 = TRUE,E203:AT203,$E203:$AF203))</f>
        <v>0</v>
      </c>
      <c r="E203" s="90"/>
      <c r="F203" s="91"/>
      <c r="G203" s="91"/>
      <c r="H203" s="91"/>
      <c r="I203" s="91"/>
      <c r="J203" s="91"/>
      <c r="K203" s="92"/>
      <c r="L203" s="90"/>
      <c r="M203" s="91"/>
      <c r="N203" s="91"/>
      <c r="O203" s="91"/>
      <c r="P203" s="91"/>
      <c r="Q203" s="91"/>
      <c r="R203" s="92"/>
      <c r="S203" s="90"/>
      <c r="T203" s="91"/>
      <c r="U203" s="91"/>
      <c r="V203" s="91"/>
      <c r="W203" s="91"/>
      <c r="X203" s="91"/>
      <c r="Y203" s="92"/>
      <c r="Z203" s="90"/>
      <c r="AA203" s="91"/>
      <c r="AB203" s="91"/>
      <c r="AC203" s="91"/>
      <c r="AD203" s="91"/>
      <c r="AE203" s="91"/>
      <c r="AF203" s="93"/>
      <c r="AG203" s="94"/>
      <c r="AH203" s="95"/>
      <c r="AI203" s="95"/>
      <c r="AJ203" s="95"/>
      <c r="AK203" s="95"/>
      <c r="AL203" s="95"/>
      <c r="AM203" s="96"/>
      <c r="AN203" s="94"/>
      <c r="AO203" s="95"/>
      <c r="AP203" s="95"/>
      <c r="AQ203" s="95"/>
      <c r="AR203" s="95"/>
      <c r="AS203" s="95"/>
      <c r="AT203" s="96"/>
      <c r="AU203" s="37">
        <f t="shared" si="51"/>
        <v>0</v>
      </c>
      <c r="AV203" s="37">
        <f t="shared" si="52"/>
        <v>0</v>
      </c>
      <c r="AW203" s="37">
        <f t="shared" si="53"/>
        <v>0</v>
      </c>
      <c r="AX203" s="37">
        <f t="shared" si="54"/>
        <v>0</v>
      </c>
      <c r="AY203" s="37">
        <f t="shared" si="55"/>
        <v>0</v>
      </c>
      <c r="AZ203" s="37">
        <f t="shared" si="56"/>
        <v>0</v>
      </c>
      <c r="BA203" s="20"/>
    </row>
    <row r="204" spans="1:53" ht="14.1" customHeight="1" x14ac:dyDescent="0.25">
      <c r="A204" s="89"/>
      <c r="B204" s="101" t="str" cm="1">
        <f t="array" ref="B204">_xlfn.IFNA(INDEX(Employees[Employment Type],MATCH(Schedule!A204:A204,Employees[Employee Names],0)),"")</f>
        <v/>
      </c>
      <c r="C204" s="101" t="str">
        <f>_xlfn.IFNA(INDEX(Employees[Employee Role],MATCH(Schedule!A204,Employees[Employee Names],0)),"")</f>
        <v/>
      </c>
      <c r="D204" s="103">
        <f>COUNTA(IF(Settings!$D$14 = TRUE,E204:AT204,$E204:$AF204))</f>
        <v>0</v>
      </c>
      <c r="E204" s="90"/>
      <c r="F204" s="91"/>
      <c r="G204" s="91"/>
      <c r="H204" s="91"/>
      <c r="I204" s="91"/>
      <c r="J204" s="91"/>
      <c r="K204" s="92"/>
      <c r="L204" s="90"/>
      <c r="M204" s="91"/>
      <c r="N204" s="91"/>
      <c r="O204" s="91"/>
      <c r="P204" s="91"/>
      <c r="Q204" s="91"/>
      <c r="R204" s="92"/>
      <c r="S204" s="90"/>
      <c r="T204" s="91"/>
      <c r="U204" s="91"/>
      <c r="V204" s="91"/>
      <c r="W204" s="91"/>
      <c r="X204" s="91"/>
      <c r="Y204" s="92"/>
      <c r="Z204" s="90"/>
      <c r="AA204" s="91"/>
      <c r="AB204" s="91"/>
      <c r="AC204" s="91"/>
      <c r="AD204" s="91"/>
      <c r="AE204" s="91"/>
      <c r="AF204" s="93"/>
      <c r="AG204" s="94"/>
      <c r="AH204" s="95"/>
      <c r="AI204" s="95"/>
      <c r="AJ204" s="95"/>
      <c r="AK204" s="95"/>
      <c r="AL204" s="95"/>
      <c r="AM204" s="96"/>
      <c r="AN204" s="94"/>
      <c r="AO204" s="95"/>
      <c r="AP204" s="95"/>
      <c r="AQ204" s="95"/>
      <c r="AR204" s="95"/>
      <c r="AS204" s="95"/>
      <c r="AT204" s="96"/>
      <c r="AU204" s="37">
        <f t="shared" si="51"/>
        <v>0</v>
      </c>
      <c r="AV204" s="37">
        <f t="shared" si="52"/>
        <v>0</v>
      </c>
      <c r="AW204" s="37">
        <f t="shared" si="53"/>
        <v>0</v>
      </c>
      <c r="AX204" s="37">
        <f t="shared" si="54"/>
        <v>0</v>
      </c>
      <c r="AY204" s="37">
        <f t="shared" si="55"/>
        <v>0</v>
      </c>
      <c r="AZ204" s="37">
        <f t="shared" si="56"/>
        <v>0</v>
      </c>
      <c r="BA204" s="20"/>
    </row>
    <row r="205" spans="1:53" ht="14.1" customHeight="1" x14ac:dyDescent="0.25">
      <c r="A205" s="89"/>
      <c r="B205" s="101" t="str" cm="1">
        <f t="array" ref="B205">_xlfn.IFNA(INDEX(Employees[Employment Type],MATCH(Schedule!A205:A205,Employees[Employee Names],0)),"")</f>
        <v/>
      </c>
      <c r="C205" s="101" t="str">
        <f>_xlfn.IFNA(INDEX(Employees[Employee Role],MATCH(Schedule!A205,Employees[Employee Names],0)),"")</f>
        <v/>
      </c>
      <c r="D205" s="103">
        <f>COUNTA(IF(Settings!$D$14 = TRUE,E205:AT205,$E205:$AF205))</f>
        <v>0</v>
      </c>
      <c r="E205" s="90"/>
      <c r="F205" s="91"/>
      <c r="G205" s="91"/>
      <c r="H205" s="91"/>
      <c r="I205" s="91"/>
      <c r="J205" s="91"/>
      <c r="K205" s="92"/>
      <c r="L205" s="90"/>
      <c r="M205" s="91"/>
      <c r="N205" s="91"/>
      <c r="O205" s="91"/>
      <c r="P205" s="91"/>
      <c r="Q205" s="91"/>
      <c r="R205" s="92"/>
      <c r="S205" s="90"/>
      <c r="T205" s="91"/>
      <c r="U205" s="91"/>
      <c r="V205" s="91"/>
      <c r="W205" s="91"/>
      <c r="X205" s="91"/>
      <c r="Y205" s="92"/>
      <c r="Z205" s="90"/>
      <c r="AA205" s="91"/>
      <c r="AB205" s="91"/>
      <c r="AC205" s="91"/>
      <c r="AD205" s="91"/>
      <c r="AE205" s="91"/>
      <c r="AF205" s="93"/>
      <c r="AG205" s="94"/>
      <c r="AH205" s="95"/>
      <c r="AI205" s="95"/>
      <c r="AJ205" s="95"/>
      <c r="AK205" s="95"/>
      <c r="AL205" s="95"/>
      <c r="AM205" s="96"/>
      <c r="AN205" s="94"/>
      <c r="AO205" s="95"/>
      <c r="AP205" s="95"/>
      <c r="AQ205" s="95"/>
      <c r="AR205" s="95"/>
      <c r="AS205" s="95"/>
      <c r="AT205" s="96"/>
      <c r="AU205" s="37">
        <f t="shared" si="51"/>
        <v>0</v>
      </c>
      <c r="AV205" s="37">
        <f t="shared" si="52"/>
        <v>0</v>
      </c>
      <c r="AW205" s="37">
        <f t="shared" si="53"/>
        <v>0</v>
      </c>
      <c r="AX205" s="37">
        <f t="shared" si="54"/>
        <v>0</v>
      </c>
      <c r="AY205" s="37">
        <f t="shared" si="55"/>
        <v>0</v>
      </c>
      <c r="AZ205" s="37">
        <f t="shared" si="56"/>
        <v>0</v>
      </c>
      <c r="BA205" s="20"/>
    </row>
    <row r="206" spans="1:53" ht="14.1" customHeight="1" x14ac:dyDescent="0.25">
      <c r="A206" s="89"/>
      <c r="B206" s="101" t="str" cm="1">
        <f t="array" ref="B206">_xlfn.IFNA(INDEX(Employees[Employment Type],MATCH(Schedule!A206:A206,Employees[Employee Names],0)),"")</f>
        <v/>
      </c>
      <c r="C206" s="101" t="str">
        <f>_xlfn.IFNA(INDEX(Employees[Employee Role],MATCH(Schedule!A206,Employees[Employee Names],0)),"")</f>
        <v/>
      </c>
      <c r="D206" s="103">
        <f>COUNTA(IF(Settings!$D$14 = TRUE,E206:AT206,$E206:$AF206))</f>
        <v>0</v>
      </c>
      <c r="E206" s="90"/>
      <c r="F206" s="91"/>
      <c r="G206" s="91"/>
      <c r="H206" s="91"/>
      <c r="I206" s="91"/>
      <c r="J206" s="91"/>
      <c r="K206" s="92"/>
      <c r="L206" s="90"/>
      <c r="M206" s="91"/>
      <c r="N206" s="91"/>
      <c r="O206" s="91"/>
      <c r="P206" s="91"/>
      <c r="Q206" s="91"/>
      <c r="R206" s="92"/>
      <c r="S206" s="90"/>
      <c r="T206" s="91"/>
      <c r="U206" s="91"/>
      <c r="V206" s="91"/>
      <c r="W206" s="91"/>
      <c r="X206" s="91"/>
      <c r="Y206" s="92"/>
      <c r="Z206" s="90"/>
      <c r="AA206" s="91"/>
      <c r="AB206" s="91"/>
      <c r="AC206" s="91"/>
      <c r="AD206" s="91"/>
      <c r="AE206" s="91"/>
      <c r="AF206" s="93"/>
      <c r="AG206" s="94"/>
      <c r="AH206" s="95"/>
      <c r="AI206" s="95"/>
      <c r="AJ206" s="95"/>
      <c r="AK206" s="95"/>
      <c r="AL206" s="95"/>
      <c r="AM206" s="96"/>
      <c r="AN206" s="94"/>
      <c r="AO206" s="95"/>
      <c r="AP206" s="95"/>
      <c r="AQ206" s="95"/>
      <c r="AR206" s="95"/>
      <c r="AS206" s="95"/>
      <c r="AT206" s="96"/>
      <c r="AU206" s="37">
        <f t="shared" si="51"/>
        <v>0</v>
      </c>
      <c r="AV206" s="37">
        <f t="shared" si="52"/>
        <v>0</v>
      </c>
      <c r="AW206" s="37">
        <f t="shared" si="53"/>
        <v>0</v>
      </c>
      <c r="AX206" s="37">
        <f t="shared" si="54"/>
        <v>0</v>
      </c>
      <c r="AY206" s="37">
        <f t="shared" si="55"/>
        <v>0</v>
      </c>
      <c r="AZ206" s="37">
        <f t="shared" si="56"/>
        <v>0</v>
      </c>
      <c r="BA206" s="20"/>
    </row>
    <row r="207" spans="1:53" ht="14.1" customHeight="1" x14ac:dyDescent="0.25">
      <c r="A207" s="89"/>
      <c r="B207" s="101" t="str" cm="1">
        <f t="array" ref="B207">_xlfn.IFNA(INDEX(Employees[Employment Type],MATCH(Schedule!A207:A207,Employees[Employee Names],0)),"")</f>
        <v/>
      </c>
      <c r="C207" s="101" t="str">
        <f>_xlfn.IFNA(INDEX(Employees[Employee Role],MATCH(Schedule!A207,Employees[Employee Names],0)),"")</f>
        <v/>
      </c>
      <c r="D207" s="103">
        <f>COUNTA(IF(Settings!$D$14 = TRUE,E207:AT207,$E207:$AF207))</f>
        <v>0</v>
      </c>
      <c r="E207" s="90"/>
      <c r="F207" s="91"/>
      <c r="G207" s="91"/>
      <c r="H207" s="91"/>
      <c r="I207" s="91"/>
      <c r="J207" s="91"/>
      <c r="K207" s="92"/>
      <c r="L207" s="90"/>
      <c r="M207" s="91"/>
      <c r="N207" s="91"/>
      <c r="O207" s="91"/>
      <c r="P207" s="91"/>
      <c r="Q207" s="91"/>
      <c r="R207" s="92"/>
      <c r="S207" s="90"/>
      <c r="T207" s="91"/>
      <c r="U207" s="91"/>
      <c r="V207" s="91"/>
      <c r="W207" s="91"/>
      <c r="X207" s="91"/>
      <c r="Y207" s="92"/>
      <c r="Z207" s="90"/>
      <c r="AA207" s="91"/>
      <c r="AB207" s="91"/>
      <c r="AC207" s="91"/>
      <c r="AD207" s="91"/>
      <c r="AE207" s="91"/>
      <c r="AF207" s="93"/>
      <c r="AG207" s="94"/>
      <c r="AH207" s="95"/>
      <c r="AI207" s="95"/>
      <c r="AJ207" s="95"/>
      <c r="AK207" s="95"/>
      <c r="AL207" s="95"/>
      <c r="AM207" s="96"/>
      <c r="AN207" s="94"/>
      <c r="AO207" s="95"/>
      <c r="AP207" s="95"/>
      <c r="AQ207" s="95"/>
      <c r="AR207" s="95"/>
      <c r="AS207" s="95"/>
      <c r="AT207" s="96"/>
      <c r="AU207" s="37">
        <f t="shared" si="51"/>
        <v>0</v>
      </c>
      <c r="AV207" s="37">
        <f t="shared" si="52"/>
        <v>0</v>
      </c>
      <c r="AW207" s="37">
        <f t="shared" si="53"/>
        <v>0</v>
      </c>
      <c r="AX207" s="37">
        <f t="shared" si="54"/>
        <v>0</v>
      </c>
      <c r="AY207" s="37">
        <f t="shared" si="55"/>
        <v>0</v>
      </c>
      <c r="AZ207" s="37">
        <f t="shared" si="56"/>
        <v>0</v>
      </c>
      <c r="BA207" s="20"/>
    </row>
    <row r="208" spans="1:53" ht="14.1" customHeight="1" x14ac:dyDescent="0.25">
      <c r="A208" s="89"/>
      <c r="B208" s="101" t="str" cm="1">
        <f t="array" ref="B208">_xlfn.IFNA(INDEX(Employees[Employment Type],MATCH(Schedule!A208:A208,Employees[Employee Names],0)),"")</f>
        <v/>
      </c>
      <c r="C208" s="101" t="str">
        <f>_xlfn.IFNA(INDEX(Employees[Employee Role],MATCH(Schedule!A208,Employees[Employee Names],0)),"")</f>
        <v/>
      </c>
      <c r="D208" s="103">
        <f>COUNTA(IF(Settings!$D$14 = TRUE,E208:AT208,$E208:$AF208))</f>
        <v>0</v>
      </c>
      <c r="E208" s="90"/>
      <c r="F208" s="91"/>
      <c r="G208" s="91"/>
      <c r="H208" s="91"/>
      <c r="I208" s="91"/>
      <c r="J208" s="91"/>
      <c r="K208" s="92"/>
      <c r="L208" s="90"/>
      <c r="M208" s="91"/>
      <c r="N208" s="91"/>
      <c r="O208" s="91"/>
      <c r="P208" s="91"/>
      <c r="Q208" s="91"/>
      <c r="R208" s="92"/>
      <c r="S208" s="90"/>
      <c r="T208" s="91"/>
      <c r="U208" s="91"/>
      <c r="V208" s="91"/>
      <c r="W208" s="91"/>
      <c r="X208" s="91"/>
      <c r="Y208" s="92"/>
      <c r="Z208" s="90"/>
      <c r="AA208" s="91"/>
      <c r="AB208" s="91"/>
      <c r="AC208" s="91"/>
      <c r="AD208" s="91"/>
      <c r="AE208" s="91"/>
      <c r="AF208" s="93"/>
      <c r="AG208" s="94"/>
      <c r="AH208" s="95"/>
      <c r="AI208" s="95"/>
      <c r="AJ208" s="95"/>
      <c r="AK208" s="95"/>
      <c r="AL208" s="95"/>
      <c r="AM208" s="96"/>
      <c r="AN208" s="94"/>
      <c r="AO208" s="95"/>
      <c r="AP208" s="95"/>
      <c r="AQ208" s="95"/>
      <c r="AR208" s="95"/>
      <c r="AS208" s="95"/>
      <c r="AT208" s="96"/>
      <c r="AU208" s="37">
        <f t="shared" si="51"/>
        <v>0</v>
      </c>
      <c r="AV208" s="37">
        <f t="shared" si="52"/>
        <v>0</v>
      </c>
      <c r="AW208" s="37">
        <f t="shared" si="53"/>
        <v>0</v>
      </c>
      <c r="AX208" s="37">
        <f t="shared" si="54"/>
        <v>0</v>
      </c>
      <c r="AY208" s="37">
        <f t="shared" si="55"/>
        <v>0</v>
      </c>
      <c r="AZ208" s="37">
        <f t="shared" si="56"/>
        <v>0</v>
      </c>
      <c r="BA208" s="20"/>
    </row>
    <row r="209" spans="1:53" ht="14.1" customHeight="1" x14ac:dyDescent="0.25">
      <c r="A209" s="89"/>
      <c r="B209" s="101" t="str" cm="1">
        <f t="array" ref="B209">_xlfn.IFNA(INDEX(Employees[Employment Type],MATCH(Schedule!A209:A209,Employees[Employee Names],0)),"")</f>
        <v/>
      </c>
      <c r="C209" s="101" t="str">
        <f>_xlfn.IFNA(INDEX(Employees[Employee Role],MATCH(Schedule!A209,Employees[Employee Names],0)),"")</f>
        <v/>
      </c>
      <c r="D209" s="103">
        <f>COUNTA(IF(Settings!$D$14 = TRUE,E209:AT209,$E209:$AF209))</f>
        <v>0</v>
      </c>
      <c r="E209" s="90"/>
      <c r="F209" s="91"/>
      <c r="G209" s="91"/>
      <c r="H209" s="91"/>
      <c r="I209" s="91"/>
      <c r="J209" s="91"/>
      <c r="K209" s="92"/>
      <c r="L209" s="90"/>
      <c r="M209" s="91"/>
      <c r="N209" s="91"/>
      <c r="O209" s="91"/>
      <c r="P209" s="91"/>
      <c r="Q209" s="91"/>
      <c r="R209" s="92"/>
      <c r="S209" s="90"/>
      <c r="T209" s="91"/>
      <c r="U209" s="91"/>
      <c r="V209" s="91"/>
      <c r="W209" s="91"/>
      <c r="X209" s="91"/>
      <c r="Y209" s="92"/>
      <c r="Z209" s="90"/>
      <c r="AA209" s="91"/>
      <c r="AB209" s="91"/>
      <c r="AC209" s="91"/>
      <c r="AD209" s="91"/>
      <c r="AE209" s="91"/>
      <c r="AF209" s="93"/>
      <c r="AG209" s="94"/>
      <c r="AH209" s="95"/>
      <c r="AI209" s="95"/>
      <c r="AJ209" s="95"/>
      <c r="AK209" s="95"/>
      <c r="AL209" s="95"/>
      <c r="AM209" s="96"/>
      <c r="AN209" s="94"/>
      <c r="AO209" s="95"/>
      <c r="AP209" s="95"/>
      <c r="AQ209" s="95"/>
      <c r="AR209" s="95"/>
      <c r="AS209" s="95"/>
      <c r="AT209" s="96"/>
      <c r="AU209" s="37">
        <f t="shared" si="51"/>
        <v>0</v>
      </c>
      <c r="AV209" s="37">
        <f t="shared" si="52"/>
        <v>0</v>
      </c>
      <c r="AW209" s="37">
        <f t="shared" si="53"/>
        <v>0</v>
      </c>
      <c r="AX209" s="37">
        <f t="shared" si="54"/>
        <v>0</v>
      </c>
      <c r="AY209" s="37">
        <f t="shared" si="55"/>
        <v>0</v>
      </c>
      <c r="AZ209" s="37">
        <f t="shared" si="56"/>
        <v>0</v>
      </c>
      <c r="BA209" s="20"/>
    </row>
    <row r="210" spans="1:53" ht="14.1" customHeight="1" x14ac:dyDescent="0.25">
      <c r="A210" s="89"/>
      <c r="B210" s="101" t="str" cm="1">
        <f t="array" ref="B210">_xlfn.IFNA(INDEX(Employees[Employment Type],MATCH(Schedule!A210:A210,Employees[Employee Names],0)),"")</f>
        <v/>
      </c>
      <c r="C210" s="101" t="str">
        <f>_xlfn.IFNA(INDEX(Employees[Employee Role],MATCH(Schedule!A210,Employees[Employee Names],0)),"")</f>
        <v/>
      </c>
      <c r="D210" s="103">
        <f>COUNTA(IF(Settings!$D$14 = TRUE,E210:AT210,$E210:$AF210))</f>
        <v>0</v>
      </c>
      <c r="E210" s="90"/>
      <c r="F210" s="91"/>
      <c r="G210" s="91"/>
      <c r="H210" s="91"/>
      <c r="I210" s="91"/>
      <c r="J210" s="91"/>
      <c r="K210" s="92"/>
      <c r="L210" s="90"/>
      <c r="M210" s="91"/>
      <c r="N210" s="91"/>
      <c r="O210" s="91"/>
      <c r="P210" s="91"/>
      <c r="Q210" s="91"/>
      <c r="R210" s="92"/>
      <c r="S210" s="90"/>
      <c r="T210" s="91"/>
      <c r="U210" s="91"/>
      <c r="V210" s="91"/>
      <c r="W210" s="91"/>
      <c r="X210" s="91"/>
      <c r="Y210" s="92"/>
      <c r="Z210" s="90"/>
      <c r="AA210" s="91"/>
      <c r="AB210" s="91"/>
      <c r="AC210" s="91"/>
      <c r="AD210" s="91"/>
      <c r="AE210" s="91"/>
      <c r="AF210" s="93"/>
      <c r="AG210" s="94"/>
      <c r="AH210" s="95"/>
      <c r="AI210" s="95"/>
      <c r="AJ210" s="95"/>
      <c r="AK210" s="95"/>
      <c r="AL210" s="95"/>
      <c r="AM210" s="96"/>
      <c r="AN210" s="94"/>
      <c r="AO210" s="95"/>
      <c r="AP210" s="95"/>
      <c r="AQ210" s="95"/>
      <c r="AR210" s="95"/>
      <c r="AS210" s="95"/>
      <c r="AT210" s="96"/>
      <c r="AU210" s="37">
        <f t="shared" si="51"/>
        <v>0</v>
      </c>
      <c r="AV210" s="37">
        <f t="shared" si="52"/>
        <v>0</v>
      </c>
      <c r="AW210" s="37">
        <f t="shared" si="53"/>
        <v>0</v>
      </c>
      <c r="AX210" s="37">
        <f t="shared" si="54"/>
        <v>0</v>
      </c>
      <c r="AY210" s="37">
        <f t="shared" si="55"/>
        <v>0</v>
      </c>
      <c r="AZ210" s="37">
        <f t="shared" si="56"/>
        <v>0</v>
      </c>
      <c r="BA210" s="20"/>
    </row>
    <row r="211" spans="1:53" ht="14.1" customHeight="1" x14ac:dyDescent="0.25">
      <c r="A211" s="89"/>
      <c r="B211" s="101" t="str" cm="1">
        <f t="array" ref="B211">_xlfn.IFNA(INDEX(Employees[Employment Type],MATCH(Schedule!A211:A211,Employees[Employee Names],0)),"")</f>
        <v/>
      </c>
      <c r="C211" s="101" t="str">
        <f>_xlfn.IFNA(INDEX(Employees[Employee Role],MATCH(Schedule!A211,Employees[Employee Names],0)),"")</f>
        <v/>
      </c>
      <c r="D211" s="103">
        <f>COUNTA(IF(Settings!$D$14 = TRUE,E211:AT211,$E211:$AF211))</f>
        <v>0</v>
      </c>
      <c r="E211" s="90"/>
      <c r="F211" s="91"/>
      <c r="G211" s="91"/>
      <c r="H211" s="91"/>
      <c r="I211" s="91"/>
      <c r="J211" s="91"/>
      <c r="K211" s="92"/>
      <c r="L211" s="90"/>
      <c r="M211" s="91"/>
      <c r="N211" s="91"/>
      <c r="O211" s="91"/>
      <c r="P211" s="91"/>
      <c r="Q211" s="91"/>
      <c r="R211" s="92"/>
      <c r="S211" s="90"/>
      <c r="T211" s="91"/>
      <c r="U211" s="91"/>
      <c r="V211" s="91"/>
      <c r="W211" s="91"/>
      <c r="X211" s="91"/>
      <c r="Y211" s="92"/>
      <c r="Z211" s="90"/>
      <c r="AA211" s="91"/>
      <c r="AB211" s="91"/>
      <c r="AC211" s="91"/>
      <c r="AD211" s="91"/>
      <c r="AE211" s="91"/>
      <c r="AF211" s="93"/>
      <c r="AG211" s="94"/>
      <c r="AH211" s="95"/>
      <c r="AI211" s="95"/>
      <c r="AJ211" s="95"/>
      <c r="AK211" s="95"/>
      <c r="AL211" s="95"/>
      <c r="AM211" s="96"/>
      <c r="AN211" s="94"/>
      <c r="AO211" s="95"/>
      <c r="AP211" s="95"/>
      <c r="AQ211" s="95"/>
      <c r="AR211" s="95"/>
      <c r="AS211" s="95"/>
      <c r="AT211" s="96"/>
      <c r="AU211" s="37">
        <f t="shared" si="51"/>
        <v>0</v>
      </c>
      <c r="AV211" s="37">
        <f t="shared" si="52"/>
        <v>0</v>
      </c>
      <c r="AW211" s="37">
        <f t="shared" si="53"/>
        <v>0</v>
      </c>
      <c r="AX211" s="37">
        <f t="shared" si="54"/>
        <v>0</v>
      </c>
      <c r="AY211" s="37">
        <f t="shared" si="55"/>
        <v>0</v>
      </c>
      <c r="AZ211" s="37">
        <f t="shared" si="56"/>
        <v>0</v>
      </c>
      <c r="BA211" s="20"/>
    </row>
    <row r="212" spans="1:53" ht="14.1" customHeight="1" x14ac:dyDescent="0.25">
      <c r="A212" s="89"/>
      <c r="B212" s="101" t="str" cm="1">
        <f t="array" ref="B212">_xlfn.IFNA(INDEX(Employees[Employment Type],MATCH(Schedule!A212:A212,Employees[Employee Names],0)),"")</f>
        <v/>
      </c>
      <c r="C212" s="101" t="str">
        <f>_xlfn.IFNA(INDEX(Employees[Employee Role],MATCH(Schedule!A212,Employees[Employee Names],0)),"")</f>
        <v/>
      </c>
      <c r="D212" s="103">
        <f>COUNTA(IF(Settings!$D$14 = TRUE,E212:AT212,$E212:$AF212))</f>
        <v>0</v>
      </c>
      <c r="E212" s="90"/>
      <c r="F212" s="91"/>
      <c r="G212" s="91"/>
      <c r="H212" s="91"/>
      <c r="I212" s="91"/>
      <c r="J212" s="91"/>
      <c r="K212" s="92"/>
      <c r="L212" s="90"/>
      <c r="M212" s="91"/>
      <c r="N212" s="91"/>
      <c r="O212" s="91"/>
      <c r="P212" s="91"/>
      <c r="Q212" s="91"/>
      <c r="R212" s="92"/>
      <c r="S212" s="90"/>
      <c r="T212" s="91"/>
      <c r="U212" s="91"/>
      <c r="V212" s="91"/>
      <c r="W212" s="91"/>
      <c r="X212" s="91"/>
      <c r="Y212" s="92"/>
      <c r="Z212" s="90"/>
      <c r="AA212" s="91"/>
      <c r="AB212" s="91"/>
      <c r="AC212" s="91"/>
      <c r="AD212" s="91"/>
      <c r="AE212" s="91"/>
      <c r="AF212" s="93"/>
      <c r="AG212" s="94"/>
      <c r="AH212" s="95"/>
      <c r="AI212" s="95"/>
      <c r="AJ212" s="95"/>
      <c r="AK212" s="95"/>
      <c r="AL212" s="95"/>
      <c r="AM212" s="96"/>
      <c r="AN212" s="94"/>
      <c r="AO212" s="95"/>
      <c r="AP212" s="95"/>
      <c r="AQ212" s="95"/>
      <c r="AR212" s="95"/>
      <c r="AS212" s="95"/>
      <c r="AT212" s="96"/>
      <c r="AU212" s="37">
        <f t="shared" si="51"/>
        <v>0</v>
      </c>
      <c r="AV212" s="37">
        <f t="shared" si="52"/>
        <v>0</v>
      </c>
      <c r="AW212" s="37">
        <f t="shared" si="53"/>
        <v>0</v>
      </c>
      <c r="AX212" s="37">
        <f t="shared" si="54"/>
        <v>0</v>
      </c>
      <c r="AY212" s="37">
        <f t="shared" si="55"/>
        <v>0</v>
      </c>
      <c r="AZ212" s="37">
        <f t="shared" si="56"/>
        <v>0</v>
      </c>
      <c r="BA212" s="20"/>
    </row>
    <row r="213" spans="1:53" ht="14.1" customHeight="1" x14ac:dyDescent="0.25">
      <c r="A213" s="89"/>
      <c r="B213" s="101" t="str" cm="1">
        <f t="array" ref="B213">_xlfn.IFNA(INDEX(Employees[Employment Type],MATCH(Schedule!A213:A213,Employees[Employee Names],0)),"")</f>
        <v/>
      </c>
      <c r="C213" s="101" t="str">
        <f>_xlfn.IFNA(INDEX(Employees[Employee Role],MATCH(Schedule!A213,Employees[Employee Names],0)),"")</f>
        <v/>
      </c>
      <c r="D213" s="103">
        <f>COUNTA(IF(Settings!$D$14 = TRUE,E213:AT213,$E213:$AF213))</f>
        <v>0</v>
      </c>
      <c r="E213" s="90"/>
      <c r="F213" s="91"/>
      <c r="G213" s="91"/>
      <c r="H213" s="91"/>
      <c r="I213" s="91"/>
      <c r="J213" s="91"/>
      <c r="K213" s="92"/>
      <c r="L213" s="90"/>
      <c r="M213" s="91"/>
      <c r="N213" s="91"/>
      <c r="O213" s="91"/>
      <c r="P213" s="91"/>
      <c r="Q213" s="91"/>
      <c r="R213" s="92"/>
      <c r="S213" s="90"/>
      <c r="T213" s="91"/>
      <c r="U213" s="91"/>
      <c r="V213" s="91"/>
      <c r="W213" s="91"/>
      <c r="X213" s="91"/>
      <c r="Y213" s="92"/>
      <c r="Z213" s="90"/>
      <c r="AA213" s="91"/>
      <c r="AB213" s="91"/>
      <c r="AC213" s="91"/>
      <c r="AD213" s="91"/>
      <c r="AE213" s="91"/>
      <c r="AF213" s="93"/>
      <c r="AG213" s="94"/>
      <c r="AH213" s="95"/>
      <c r="AI213" s="95"/>
      <c r="AJ213" s="95"/>
      <c r="AK213" s="95"/>
      <c r="AL213" s="95"/>
      <c r="AM213" s="96"/>
      <c r="AN213" s="94"/>
      <c r="AO213" s="95"/>
      <c r="AP213" s="95"/>
      <c r="AQ213" s="95"/>
      <c r="AR213" s="95"/>
      <c r="AS213" s="95"/>
      <c r="AT213" s="96"/>
      <c r="AU213" s="37">
        <f t="shared" si="51"/>
        <v>0</v>
      </c>
      <c r="AV213" s="37">
        <f t="shared" si="52"/>
        <v>0</v>
      </c>
      <c r="AW213" s="37">
        <f t="shared" si="53"/>
        <v>0</v>
      </c>
      <c r="AX213" s="37">
        <f t="shared" si="54"/>
        <v>0</v>
      </c>
      <c r="AY213" s="37">
        <f t="shared" si="55"/>
        <v>0</v>
      </c>
      <c r="AZ213" s="37">
        <f t="shared" si="56"/>
        <v>0</v>
      </c>
      <c r="BA213" s="20"/>
    </row>
    <row r="214" spans="1:53" ht="14.1" customHeight="1" x14ac:dyDescent="0.25">
      <c r="A214" s="89"/>
      <c r="B214" s="101" t="str" cm="1">
        <f t="array" ref="B214">_xlfn.IFNA(INDEX(Employees[Employment Type],MATCH(Schedule!A214:A214,Employees[Employee Names],0)),"")</f>
        <v/>
      </c>
      <c r="C214" s="101" t="str">
        <f>_xlfn.IFNA(INDEX(Employees[Employee Role],MATCH(Schedule!A214,Employees[Employee Names],0)),"")</f>
        <v/>
      </c>
      <c r="D214" s="103">
        <f>COUNTA(IF(Settings!$D$14 = TRUE,E214:AT214,$E214:$AF214))</f>
        <v>0</v>
      </c>
      <c r="E214" s="90"/>
      <c r="F214" s="91"/>
      <c r="G214" s="91"/>
      <c r="H214" s="91"/>
      <c r="I214" s="91"/>
      <c r="J214" s="91"/>
      <c r="K214" s="92"/>
      <c r="L214" s="90"/>
      <c r="M214" s="91"/>
      <c r="N214" s="91"/>
      <c r="O214" s="91"/>
      <c r="P214" s="91"/>
      <c r="Q214" s="91"/>
      <c r="R214" s="92"/>
      <c r="S214" s="90"/>
      <c r="T214" s="91"/>
      <c r="U214" s="91"/>
      <c r="V214" s="91"/>
      <c r="W214" s="91"/>
      <c r="X214" s="91"/>
      <c r="Y214" s="92"/>
      <c r="Z214" s="90"/>
      <c r="AA214" s="91"/>
      <c r="AB214" s="91"/>
      <c r="AC214" s="91"/>
      <c r="AD214" s="91"/>
      <c r="AE214" s="91"/>
      <c r="AF214" s="93"/>
      <c r="AG214" s="94"/>
      <c r="AH214" s="95"/>
      <c r="AI214" s="95"/>
      <c r="AJ214" s="95"/>
      <c r="AK214" s="95"/>
      <c r="AL214" s="95"/>
      <c r="AM214" s="96"/>
      <c r="AN214" s="94"/>
      <c r="AO214" s="95"/>
      <c r="AP214" s="95"/>
      <c r="AQ214" s="95"/>
      <c r="AR214" s="95"/>
      <c r="AS214" s="95"/>
      <c r="AT214" s="96"/>
      <c r="AU214" s="37">
        <f t="shared" si="51"/>
        <v>0</v>
      </c>
      <c r="AV214" s="37">
        <f t="shared" si="52"/>
        <v>0</v>
      </c>
      <c r="AW214" s="37">
        <f t="shared" si="53"/>
        <v>0</v>
      </c>
      <c r="AX214" s="37">
        <f t="shared" si="54"/>
        <v>0</v>
      </c>
      <c r="AY214" s="37">
        <f t="shared" si="55"/>
        <v>0</v>
      </c>
      <c r="AZ214" s="37">
        <f t="shared" si="56"/>
        <v>0</v>
      </c>
      <c r="BA214" s="20"/>
    </row>
    <row r="215" spans="1:53" ht="14.1" customHeight="1" x14ac:dyDescent="0.25">
      <c r="A215" s="89"/>
      <c r="B215" s="101" t="str" cm="1">
        <f t="array" ref="B215">_xlfn.IFNA(INDEX(Employees[Employment Type],MATCH(Schedule!A215:A215,Employees[Employee Names],0)),"")</f>
        <v/>
      </c>
      <c r="C215" s="101" t="str">
        <f>_xlfn.IFNA(INDEX(Employees[Employee Role],MATCH(Schedule!A215,Employees[Employee Names],0)),"")</f>
        <v/>
      </c>
      <c r="D215" s="103">
        <f>COUNTA(IF(Settings!$D$14 = TRUE,E215:AT215,$E215:$AF215))</f>
        <v>0</v>
      </c>
      <c r="E215" s="90"/>
      <c r="F215" s="91"/>
      <c r="G215" s="91"/>
      <c r="H215" s="91"/>
      <c r="I215" s="91"/>
      <c r="J215" s="91"/>
      <c r="K215" s="92"/>
      <c r="L215" s="90"/>
      <c r="M215" s="91"/>
      <c r="N215" s="91"/>
      <c r="O215" s="91"/>
      <c r="P215" s="91"/>
      <c r="Q215" s="91"/>
      <c r="R215" s="92"/>
      <c r="S215" s="90"/>
      <c r="T215" s="91"/>
      <c r="U215" s="91"/>
      <c r="V215" s="91"/>
      <c r="W215" s="91"/>
      <c r="X215" s="91"/>
      <c r="Y215" s="92"/>
      <c r="Z215" s="90"/>
      <c r="AA215" s="91"/>
      <c r="AB215" s="91"/>
      <c r="AC215" s="91"/>
      <c r="AD215" s="91"/>
      <c r="AE215" s="91"/>
      <c r="AF215" s="93"/>
      <c r="AG215" s="90"/>
      <c r="AH215" s="91"/>
      <c r="AI215" s="91"/>
      <c r="AJ215" s="91"/>
      <c r="AK215" s="91"/>
      <c r="AL215" s="91"/>
      <c r="AM215" s="93"/>
      <c r="AN215" s="90"/>
      <c r="AO215" s="91"/>
      <c r="AP215" s="91"/>
      <c r="AQ215" s="91"/>
      <c r="AR215" s="91"/>
      <c r="AS215" s="91"/>
      <c r="AT215" s="93"/>
      <c r="AU215" s="37">
        <f t="shared" si="51"/>
        <v>0</v>
      </c>
      <c r="AV215" s="37">
        <f t="shared" si="52"/>
        <v>0</v>
      </c>
      <c r="AW215" s="37">
        <f t="shared" si="53"/>
        <v>0</v>
      </c>
      <c r="AX215" s="37">
        <f t="shared" si="54"/>
        <v>0</v>
      </c>
      <c r="AY215" s="37">
        <f t="shared" si="55"/>
        <v>0</v>
      </c>
      <c r="AZ215" s="37">
        <f t="shared" si="56"/>
        <v>0</v>
      </c>
      <c r="BA215" s="20"/>
    </row>
    <row r="216" spans="1:53" ht="14.1" customHeight="1" x14ac:dyDescent="0.25">
      <c r="A216" s="22"/>
      <c r="B216" s="22"/>
      <c r="C216" s="23"/>
      <c r="D216" s="24"/>
      <c r="E216" s="24"/>
      <c r="F216" s="24"/>
      <c r="G216" s="24"/>
      <c r="H216" s="24"/>
      <c r="I216" s="24"/>
      <c r="J216" s="24"/>
      <c r="K216" s="24"/>
      <c r="L216" s="24"/>
      <c r="M216" s="24"/>
      <c r="N216" s="24"/>
      <c r="O216" s="24"/>
      <c r="P216" s="24"/>
      <c r="Q216" s="24"/>
      <c r="R216" s="24"/>
      <c r="S216" s="24"/>
      <c r="T216" s="24"/>
      <c r="U216" s="24"/>
      <c r="V216" s="24"/>
      <c r="W216" s="24"/>
      <c r="X216" s="24"/>
      <c r="Y216" s="24"/>
      <c r="Z216" s="24"/>
      <c r="AA216" s="24"/>
      <c r="AB216" s="24"/>
      <c r="AC216" s="24"/>
      <c r="AD216" s="24"/>
      <c r="AE216" s="24"/>
      <c r="AF216" s="20"/>
      <c r="AG216" s="24"/>
      <c r="AH216" s="24"/>
      <c r="AI216" s="24"/>
      <c r="AJ216" s="24"/>
      <c r="AK216" s="24"/>
      <c r="AL216" s="24"/>
      <c r="AM216" s="20"/>
      <c r="AN216" s="24"/>
      <c r="AO216" s="24"/>
      <c r="AP216" s="24"/>
      <c r="AQ216" s="24"/>
      <c r="AR216" s="24"/>
      <c r="AS216" s="24"/>
      <c r="AT216" s="20"/>
      <c r="AU216" s="20"/>
      <c r="AV216" s="20"/>
      <c r="AW216" s="20"/>
      <c r="AX216" s="20"/>
      <c r="AY216" s="20"/>
      <c r="AZ216" s="20"/>
      <c r="BA216" s="20"/>
    </row>
    <row r="217" spans="1:53" ht="14.1" customHeight="1" x14ac:dyDescent="0.25">
      <c r="A217" s="116" t="s">
        <v>44</v>
      </c>
      <c r="B217" s="117"/>
      <c r="C217" s="117"/>
      <c r="D217" s="117"/>
      <c r="E217" s="72">
        <f>COUNTA(E116:E215)</f>
        <v>0</v>
      </c>
      <c r="F217" s="73">
        <f t="shared" ref="F217:AF217" si="57">COUNTA(F116:F215)</f>
        <v>0</v>
      </c>
      <c r="G217" s="73">
        <f t="shared" si="57"/>
        <v>0</v>
      </c>
      <c r="H217" s="73">
        <f t="shared" si="57"/>
        <v>0</v>
      </c>
      <c r="I217" s="73">
        <f t="shared" si="57"/>
        <v>0</v>
      </c>
      <c r="J217" s="73">
        <f t="shared" si="57"/>
        <v>0</v>
      </c>
      <c r="K217" s="73">
        <f t="shared" si="57"/>
        <v>0</v>
      </c>
      <c r="L217" s="72">
        <f t="shared" si="57"/>
        <v>0</v>
      </c>
      <c r="M217" s="73">
        <f t="shared" si="57"/>
        <v>0</v>
      </c>
      <c r="N217" s="73">
        <f t="shared" si="57"/>
        <v>0</v>
      </c>
      <c r="O217" s="73">
        <f t="shared" si="57"/>
        <v>0</v>
      </c>
      <c r="P217" s="73">
        <f t="shared" si="57"/>
        <v>0</v>
      </c>
      <c r="Q217" s="73">
        <f t="shared" si="57"/>
        <v>0</v>
      </c>
      <c r="R217" s="73">
        <f t="shared" si="57"/>
        <v>0</v>
      </c>
      <c r="S217" s="72">
        <f t="shared" si="57"/>
        <v>0</v>
      </c>
      <c r="T217" s="73">
        <f t="shared" si="57"/>
        <v>0</v>
      </c>
      <c r="U217" s="73">
        <f t="shared" si="57"/>
        <v>0</v>
      </c>
      <c r="V217" s="73">
        <f t="shared" si="57"/>
        <v>0</v>
      </c>
      <c r="W217" s="73">
        <f t="shared" si="57"/>
        <v>0</v>
      </c>
      <c r="X217" s="73">
        <f t="shared" si="57"/>
        <v>0</v>
      </c>
      <c r="Y217" s="73">
        <f t="shared" si="57"/>
        <v>0</v>
      </c>
      <c r="Z217" s="72">
        <f t="shared" si="57"/>
        <v>0</v>
      </c>
      <c r="AA217" s="73">
        <f t="shared" si="57"/>
        <v>0</v>
      </c>
      <c r="AB217" s="73">
        <f t="shared" si="57"/>
        <v>0</v>
      </c>
      <c r="AC217" s="73">
        <f t="shared" si="57"/>
        <v>0</v>
      </c>
      <c r="AD217" s="73">
        <f t="shared" si="57"/>
        <v>0</v>
      </c>
      <c r="AE217" s="73">
        <f t="shared" si="57"/>
        <v>0</v>
      </c>
      <c r="AF217" s="73">
        <f t="shared" si="57"/>
        <v>0</v>
      </c>
      <c r="AG217" s="72">
        <f t="shared" ref="AG217:AT217" si="58">COUNTA(AG116:AG215)</f>
        <v>0</v>
      </c>
      <c r="AH217" s="73">
        <f t="shared" si="58"/>
        <v>0</v>
      </c>
      <c r="AI217" s="73">
        <f t="shared" si="58"/>
        <v>0</v>
      </c>
      <c r="AJ217" s="73">
        <f t="shared" si="58"/>
        <v>0</v>
      </c>
      <c r="AK217" s="73">
        <f t="shared" si="58"/>
        <v>0</v>
      </c>
      <c r="AL217" s="73">
        <f t="shared" si="58"/>
        <v>0</v>
      </c>
      <c r="AM217" s="73">
        <f t="shared" si="58"/>
        <v>0</v>
      </c>
      <c r="AN217" s="72">
        <f t="shared" si="58"/>
        <v>0</v>
      </c>
      <c r="AO217" s="73">
        <f t="shared" si="58"/>
        <v>0</v>
      </c>
      <c r="AP217" s="73">
        <f t="shared" si="58"/>
        <v>0</v>
      </c>
      <c r="AQ217" s="73">
        <f t="shared" si="58"/>
        <v>0</v>
      </c>
      <c r="AR217" s="73">
        <f t="shared" si="58"/>
        <v>0</v>
      </c>
      <c r="AS217" s="73">
        <f t="shared" si="58"/>
        <v>0</v>
      </c>
      <c r="AT217" s="73">
        <f t="shared" si="58"/>
        <v>0</v>
      </c>
      <c r="AU217" s="20"/>
      <c r="AV217" s="20"/>
      <c r="AW217" s="20"/>
      <c r="AX217" s="20"/>
      <c r="AY217" s="20"/>
      <c r="AZ217" s="20"/>
      <c r="BA217" s="20"/>
    </row>
    <row r="218" spans="1:53" ht="14.1" customHeight="1" x14ac:dyDescent="0.25">
      <c r="A218" s="119" t="s">
        <v>45</v>
      </c>
      <c r="B218" s="120"/>
      <c r="C218" s="120"/>
      <c r="D218" s="120"/>
      <c r="E218" s="104">
        <v>8</v>
      </c>
      <c r="F218" s="89">
        <v>8</v>
      </c>
      <c r="G218" s="89">
        <v>8</v>
      </c>
      <c r="H218" s="89">
        <v>8</v>
      </c>
      <c r="I218" s="89">
        <v>8</v>
      </c>
      <c r="J218" s="89">
        <v>8</v>
      </c>
      <c r="K218" s="89">
        <v>8</v>
      </c>
      <c r="L218" s="104">
        <v>8</v>
      </c>
      <c r="M218" s="89">
        <v>8</v>
      </c>
      <c r="N218" s="89">
        <v>8</v>
      </c>
      <c r="O218" s="89">
        <v>8</v>
      </c>
      <c r="P218" s="89">
        <v>8</v>
      </c>
      <c r="Q218" s="89">
        <v>8</v>
      </c>
      <c r="R218" s="89">
        <v>8</v>
      </c>
      <c r="S218" s="104">
        <v>8</v>
      </c>
      <c r="T218" s="89">
        <v>8</v>
      </c>
      <c r="U218" s="89">
        <v>8</v>
      </c>
      <c r="V218" s="89">
        <v>8</v>
      </c>
      <c r="W218" s="89">
        <v>8</v>
      </c>
      <c r="X218" s="89">
        <v>8</v>
      </c>
      <c r="Y218" s="89">
        <v>8</v>
      </c>
      <c r="Z218" s="104">
        <v>8</v>
      </c>
      <c r="AA218" s="89">
        <v>8</v>
      </c>
      <c r="AB218" s="89">
        <v>8</v>
      </c>
      <c r="AC218" s="89">
        <v>8</v>
      </c>
      <c r="AD218" s="89">
        <v>8</v>
      </c>
      <c r="AE218" s="89">
        <v>8</v>
      </c>
      <c r="AF218" s="89">
        <v>8</v>
      </c>
      <c r="AG218" s="104">
        <v>8</v>
      </c>
      <c r="AH218" s="89">
        <v>8</v>
      </c>
      <c r="AI218" s="89">
        <v>8</v>
      </c>
      <c r="AJ218" s="89">
        <v>8</v>
      </c>
      <c r="AK218" s="89">
        <v>8</v>
      </c>
      <c r="AL218" s="89">
        <v>8</v>
      </c>
      <c r="AM218" s="89">
        <v>8</v>
      </c>
      <c r="AN218" s="104">
        <v>8</v>
      </c>
      <c r="AO218" s="89">
        <v>8</v>
      </c>
      <c r="AP218" s="89">
        <v>8</v>
      </c>
      <c r="AQ218" s="89">
        <v>8</v>
      </c>
      <c r="AR218" s="89">
        <v>8</v>
      </c>
      <c r="AS218" s="89">
        <v>8</v>
      </c>
      <c r="AT218" s="89">
        <v>8</v>
      </c>
      <c r="AU218" s="20"/>
      <c r="AV218" s="20"/>
      <c r="AW218" s="20"/>
      <c r="AX218" s="20"/>
      <c r="AY218" s="20"/>
      <c r="AZ218" s="20"/>
      <c r="BA218" s="20"/>
    </row>
    <row r="219" spans="1:53" ht="14.1" customHeight="1" x14ac:dyDescent="0.25">
      <c r="A219" s="116" t="s">
        <v>46</v>
      </c>
      <c r="B219" s="117"/>
      <c r="C219" s="117"/>
      <c r="D219" s="117"/>
      <c r="E219" s="72">
        <f>E218-E217</f>
        <v>8</v>
      </c>
      <c r="F219" s="73">
        <f t="shared" ref="F219:K219" si="59">F218-F217</f>
        <v>8</v>
      </c>
      <c r="G219" s="73">
        <f t="shared" si="59"/>
        <v>8</v>
      </c>
      <c r="H219" s="73">
        <f t="shared" si="59"/>
        <v>8</v>
      </c>
      <c r="I219" s="73">
        <f t="shared" si="59"/>
        <v>8</v>
      </c>
      <c r="J219" s="73">
        <f t="shared" si="59"/>
        <v>8</v>
      </c>
      <c r="K219" s="73">
        <f t="shared" si="59"/>
        <v>8</v>
      </c>
      <c r="L219" s="72">
        <f>L218-L217</f>
        <v>8</v>
      </c>
      <c r="M219" s="73">
        <f t="shared" ref="M219:R219" si="60">M218-M217</f>
        <v>8</v>
      </c>
      <c r="N219" s="73">
        <f t="shared" si="60"/>
        <v>8</v>
      </c>
      <c r="O219" s="73">
        <f t="shared" si="60"/>
        <v>8</v>
      </c>
      <c r="P219" s="73">
        <f t="shared" si="60"/>
        <v>8</v>
      </c>
      <c r="Q219" s="73">
        <f t="shared" si="60"/>
        <v>8</v>
      </c>
      <c r="R219" s="73">
        <f t="shared" si="60"/>
        <v>8</v>
      </c>
      <c r="S219" s="72">
        <f>S218-S217</f>
        <v>8</v>
      </c>
      <c r="T219" s="73">
        <f t="shared" ref="T219:Y219" si="61">T218-T217</f>
        <v>8</v>
      </c>
      <c r="U219" s="73">
        <f t="shared" si="61"/>
        <v>8</v>
      </c>
      <c r="V219" s="73">
        <f t="shared" si="61"/>
        <v>8</v>
      </c>
      <c r="W219" s="73">
        <f t="shared" si="61"/>
        <v>8</v>
      </c>
      <c r="X219" s="73">
        <f t="shared" si="61"/>
        <v>8</v>
      </c>
      <c r="Y219" s="73">
        <f t="shared" si="61"/>
        <v>8</v>
      </c>
      <c r="Z219" s="72">
        <f>Z218-Z217</f>
        <v>8</v>
      </c>
      <c r="AA219" s="73">
        <f t="shared" ref="AA219:AF219" si="62">AA218-AA217</f>
        <v>8</v>
      </c>
      <c r="AB219" s="73">
        <f t="shared" si="62"/>
        <v>8</v>
      </c>
      <c r="AC219" s="73">
        <f t="shared" si="62"/>
        <v>8</v>
      </c>
      <c r="AD219" s="73">
        <f t="shared" si="62"/>
        <v>8</v>
      </c>
      <c r="AE219" s="73">
        <f t="shared" si="62"/>
        <v>8</v>
      </c>
      <c r="AF219" s="73">
        <f t="shared" si="62"/>
        <v>8</v>
      </c>
      <c r="AG219" s="72">
        <f>AG218-AG217</f>
        <v>8</v>
      </c>
      <c r="AH219" s="73">
        <f t="shared" ref="AH219:AM219" si="63">AH218-AH217</f>
        <v>8</v>
      </c>
      <c r="AI219" s="73">
        <f t="shared" si="63"/>
        <v>8</v>
      </c>
      <c r="AJ219" s="73">
        <f t="shared" si="63"/>
        <v>8</v>
      </c>
      <c r="AK219" s="73">
        <f t="shared" si="63"/>
        <v>8</v>
      </c>
      <c r="AL219" s="73">
        <f t="shared" si="63"/>
        <v>8</v>
      </c>
      <c r="AM219" s="73">
        <f t="shared" si="63"/>
        <v>8</v>
      </c>
      <c r="AN219" s="72">
        <f>AN218-AN217</f>
        <v>8</v>
      </c>
      <c r="AO219" s="73">
        <f t="shared" ref="AO219:AT219" si="64">AO218-AO217</f>
        <v>8</v>
      </c>
      <c r="AP219" s="73">
        <f t="shared" si="64"/>
        <v>8</v>
      </c>
      <c r="AQ219" s="73">
        <f t="shared" si="64"/>
        <v>8</v>
      </c>
      <c r="AR219" s="73">
        <f t="shared" si="64"/>
        <v>8</v>
      </c>
      <c r="AS219" s="73">
        <f t="shared" si="64"/>
        <v>8</v>
      </c>
      <c r="AT219" s="73">
        <f t="shared" si="64"/>
        <v>8</v>
      </c>
      <c r="AU219" s="20"/>
      <c r="AV219" s="20"/>
      <c r="AW219" s="20"/>
      <c r="AX219" s="20"/>
      <c r="AY219" s="20"/>
      <c r="AZ219" s="20"/>
      <c r="BA219" s="20"/>
    </row>
    <row r="220" spans="1:53" ht="14.1" customHeight="1" x14ac:dyDescent="0.25">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c r="AP220" s="20"/>
      <c r="AQ220" s="20"/>
      <c r="AR220" s="20"/>
      <c r="AS220" s="20"/>
      <c r="AT220" s="20"/>
      <c r="AU220" s="37"/>
      <c r="AV220" s="37"/>
      <c r="AW220" s="37"/>
      <c r="AX220" s="37"/>
      <c r="AY220" s="37"/>
      <c r="AZ220" s="37"/>
      <c r="BA220" s="20"/>
    </row>
    <row r="221" spans="1:53" ht="14.1" customHeight="1" x14ac:dyDescent="0.25">
      <c r="A221" s="20"/>
      <c r="B221" s="20"/>
      <c r="C221" s="110" t="s">
        <v>57</v>
      </c>
      <c r="D221" s="110"/>
      <c r="E221" s="121">
        <f>E5</f>
        <v>44067</v>
      </c>
      <c r="F221" s="121"/>
      <c r="G221" s="121"/>
      <c r="H221" s="121"/>
      <c r="I221" s="121"/>
      <c r="J221" s="121"/>
      <c r="K221" s="121"/>
      <c r="L221" s="121">
        <f>L5</f>
        <v>44074</v>
      </c>
      <c r="M221" s="121"/>
      <c r="N221" s="121"/>
      <c r="O221" s="121"/>
      <c r="P221" s="121"/>
      <c r="Q221" s="121"/>
      <c r="R221" s="121"/>
      <c r="S221" s="121">
        <f>S5</f>
        <v>44081</v>
      </c>
      <c r="T221" s="121"/>
      <c r="U221" s="121"/>
      <c r="V221" s="121"/>
      <c r="W221" s="121"/>
      <c r="X221" s="121"/>
      <c r="Y221" s="121"/>
      <c r="Z221" s="121">
        <f>Z5</f>
        <v>44088</v>
      </c>
      <c r="AA221" s="121"/>
      <c r="AB221" s="121"/>
      <c r="AC221" s="121"/>
      <c r="AD221" s="121"/>
      <c r="AE221" s="121"/>
      <c r="AF221" s="121"/>
      <c r="AG221" s="121">
        <f>AG5</f>
        <v>44095</v>
      </c>
      <c r="AH221" s="121"/>
      <c r="AI221" s="121"/>
      <c r="AJ221" s="121"/>
      <c r="AK221" s="121"/>
      <c r="AL221" s="121"/>
      <c r="AM221" s="121"/>
      <c r="AN221" s="121">
        <f>AN5</f>
        <v>44102</v>
      </c>
      <c r="AO221" s="121"/>
      <c r="AP221" s="121"/>
      <c r="AQ221" s="121"/>
      <c r="AR221" s="121"/>
      <c r="AS221" s="121"/>
      <c r="AT221" s="121"/>
      <c r="AU221" s="36">
        <f>E221</f>
        <v>44067</v>
      </c>
      <c r="AV221" s="36">
        <f>L221</f>
        <v>44074</v>
      </c>
      <c r="AW221" s="36">
        <f>S221</f>
        <v>44081</v>
      </c>
      <c r="AX221" s="36">
        <f>Z221</f>
        <v>44088</v>
      </c>
      <c r="AY221" s="36">
        <f>AG221</f>
        <v>44095</v>
      </c>
      <c r="AZ221" s="36">
        <f>AN221</f>
        <v>44102</v>
      </c>
      <c r="BA221" s="20"/>
    </row>
    <row r="222" spans="1:53" ht="14.1" customHeight="1" x14ac:dyDescent="0.25">
      <c r="A222" s="18"/>
      <c r="B222" s="19"/>
      <c r="C222" s="18"/>
      <c r="D222" s="18"/>
      <c r="E222" s="83" t="str">
        <f>DAY($E$5)&amp;IF(AND(MOD(ABS(DAY($E$5)),100)&gt;10,MOD(ABS(DAY($E$5)),100)&lt;14),"th",CHOOSE(MOD(ABS(DAY($E$5)),10)+1,"th","st","nd","rd","th","th","th","th","th","th"))</f>
        <v>24th</v>
      </c>
      <c r="F222" s="84" t="str">
        <f>DAY($E$5+COLUMN()-5)&amp;IF(AND(MOD(ABS(DAY($E$5+COLUMN()-5)),100)&gt;10,MOD(ABS(DAY($E$5+COLUMN()-5)),100)&lt;14),"th",CHOOSE(MOD(ABS(DAY($E$5+COLUMN()-5)),10)+1,"th","st","nd","rd","th","th","th","th","th","th"))</f>
        <v>25th</v>
      </c>
      <c r="G222" s="84" t="str">
        <f t="shared" ref="G222:AT222" si="65">DAY($E$5+COLUMN()-5)&amp;IF(AND(MOD(ABS(DAY($E$5+COLUMN()-5)),100)&gt;10,MOD(ABS(DAY($E$5+COLUMN()-5)),100)&lt;14),"th",CHOOSE(MOD(ABS(DAY($E$5+COLUMN()-5)),10)+1,"th","st","nd","rd","th","th","th","th","th","th"))</f>
        <v>26th</v>
      </c>
      <c r="H222" s="84" t="str">
        <f t="shared" si="65"/>
        <v>27th</v>
      </c>
      <c r="I222" s="84" t="str">
        <f t="shared" si="65"/>
        <v>28th</v>
      </c>
      <c r="J222" s="84" t="str">
        <f t="shared" si="65"/>
        <v>29th</v>
      </c>
      <c r="K222" s="84" t="str">
        <f t="shared" si="65"/>
        <v>30th</v>
      </c>
      <c r="L222" s="84" t="str">
        <f t="shared" si="65"/>
        <v>31st</v>
      </c>
      <c r="M222" s="84" t="str">
        <f t="shared" si="65"/>
        <v>1st</v>
      </c>
      <c r="N222" s="84" t="str">
        <f t="shared" si="65"/>
        <v>2nd</v>
      </c>
      <c r="O222" s="84" t="str">
        <f t="shared" si="65"/>
        <v>3rd</v>
      </c>
      <c r="P222" s="84" t="str">
        <f t="shared" si="65"/>
        <v>4th</v>
      </c>
      <c r="Q222" s="84" t="str">
        <f t="shared" si="65"/>
        <v>5th</v>
      </c>
      <c r="R222" s="84" t="str">
        <f t="shared" si="65"/>
        <v>6th</v>
      </c>
      <c r="S222" s="84" t="str">
        <f t="shared" si="65"/>
        <v>7th</v>
      </c>
      <c r="T222" s="84" t="str">
        <f t="shared" si="65"/>
        <v>8th</v>
      </c>
      <c r="U222" s="84" t="str">
        <f t="shared" si="65"/>
        <v>9th</v>
      </c>
      <c r="V222" s="84" t="str">
        <f t="shared" si="65"/>
        <v>10th</v>
      </c>
      <c r="W222" s="84" t="str">
        <f t="shared" si="65"/>
        <v>11th</v>
      </c>
      <c r="X222" s="84" t="str">
        <f t="shared" si="65"/>
        <v>12th</v>
      </c>
      <c r="Y222" s="84" t="str">
        <f t="shared" si="65"/>
        <v>13th</v>
      </c>
      <c r="Z222" s="84" t="str">
        <f t="shared" si="65"/>
        <v>14th</v>
      </c>
      <c r="AA222" s="84" t="str">
        <f t="shared" si="65"/>
        <v>15th</v>
      </c>
      <c r="AB222" s="84" t="str">
        <f t="shared" si="65"/>
        <v>16th</v>
      </c>
      <c r="AC222" s="84" t="str">
        <f t="shared" si="65"/>
        <v>17th</v>
      </c>
      <c r="AD222" s="84" t="str">
        <f t="shared" si="65"/>
        <v>18th</v>
      </c>
      <c r="AE222" s="84" t="str">
        <f t="shared" si="65"/>
        <v>19th</v>
      </c>
      <c r="AF222" s="84" t="str">
        <f t="shared" si="65"/>
        <v>20th</v>
      </c>
      <c r="AG222" s="84" t="str">
        <f t="shared" si="65"/>
        <v>21st</v>
      </c>
      <c r="AH222" s="84" t="str">
        <f t="shared" si="65"/>
        <v>22nd</v>
      </c>
      <c r="AI222" s="84" t="str">
        <f t="shared" si="65"/>
        <v>23rd</v>
      </c>
      <c r="AJ222" s="84" t="str">
        <f t="shared" si="65"/>
        <v>24th</v>
      </c>
      <c r="AK222" s="84" t="str">
        <f t="shared" si="65"/>
        <v>25th</v>
      </c>
      <c r="AL222" s="84" t="str">
        <f t="shared" si="65"/>
        <v>26th</v>
      </c>
      <c r="AM222" s="84" t="str">
        <f t="shared" si="65"/>
        <v>27th</v>
      </c>
      <c r="AN222" s="84" t="str">
        <f t="shared" si="65"/>
        <v>28th</v>
      </c>
      <c r="AO222" s="84" t="str">
        <f t="shared" si="65"/>
        <v>29th</v>
      </c>
      <c r="AP222" s="84" t="str">
        <f t="shared" si="65"/>
        <v>30th</v>
      </c>
      <c r="AQ222" s="84" t="str">
        <f t="shared" si="65"/>
        <v>1st</v>
      </c>
      <c r="AR222" s="84" t="str">
        <f t="shared" si="65"/>
        <v>2nd</v>
      </c>
      <c r="AS222" s="84" t="str">
        <f t="shared" si="65"/>
        <v>3rd</v>
      </c>
      <c r="AT222" s="84" t="str">
        <f t="shared" si="65"/>
        <v>4th</v>
      </c>
      <c r="AU222" s="29"/>
      <c r="AV222" s="29"/>
      <c r="AW222" s="29"/>
      <c r="AX222" s="29"/>
      <c r="AY222" s="29"/>
      <c r="AZ222" s="29"/>
      <c r="BA222" s="20"/>
    </row>
    <row r="223" spans="1:53" ht="14.1" customHeight="1" x14ac:dyDescent="0.25">
      <c r="A223" s="9" t="s">
        <v>47</v>
      </c>
      <c r="B223" s="21" t="s">
        <v>38</v>
      </c>
      <c r="C223" s="21"/>
      <c r="D223" s="21" t="s">
        <v>23</v>
      </c>
      <c r="E223" s="21" t="str">
        <f>INDEX(Lists!$F$5:$H$5,MATCH(Lists!$H$3,Lists!$F$4:$H$4,0))</f>
        <v>M</v>
      </c>
      <c r="F223" s="21" t="str">
        <f>INDEX(Lists!$F$6:$H$6,MATCH(Lists!$H$3,Lists!$F$4:$H$4,0))</f>
        <v>T</v>
      </c>
      <c r="G223" s="21" t="str">
        <f>INDEX(Lists!$F$7:$H$7,MATCH(Lists!$H$3,Lists!$F$4:$H$4,0))</f>
        <v>W</v>
      </c>
      <c r="H223" s="21" t="str">
        <f>INDEX(Lists!$F$8:$H$8,MATCH(Lists!$H$3,Lists!$F$4:$H$4,0))</f>
        <v>R</v>
      </c>
      <c r="I223" s="21" t="str">
        <f>INDEX(Lists!$F$9:$H$9,MATCH(Lists!$H$3,Lists!$F$4:$H$4,0))</f>
        <v>F</v>
      </c>
      <c r="J223" s="21" t="str">
        <f>INDEX(Lists!$F$10:$H$10,MATCH(Lists!$H$3,Lists!$F$4:$H$4,0))</f>
        <v>S</v>
      </c>
      <c r="K223" s="21" t="str">
        <f>INDEX(Lists!$F$11:$H$11,MATCH(Lists!$H$3,Lists!$F$4:$H$4,0))</f>
        <v>U</v>
      </c>
      <c r="L223" s="21" t="str">
        <f>INDEX(Lists!$F$5:$H$5,MATCH(Lists!$H$3,Lists!$F$4:$H$4,0))</f>
        <v>M</v>
      </c>
      <c r="M223" s="21" t="str">
        <f>INDEX(Lists!$F$6:$H$6,MATCH(Lists!$H$3,Lists!$F$4:$H$4,0))</f>
        <v>T</v>
      </c>
      <c r="N223" s="21" t="str">
        <f>INDEX(Lists!$F$7:$H$7,MATCH(Lists!$H$3,Lists!$F$4:$H$4,0))</f>
        <v>W</v>
      </c>
      <c r="O223" s="21" t="str">
        <f>INDEX(Lists!$F$8:$H$8,MATCH(Lists!$H$3,Lists!$F$4:$H$4,0))</f>
        <v>R</v>
      </c>
      <c r="P223" s="21" t="str">
        <f>INDEX(Lists!$F$9:$H$9,MATCH(Lists!$H$3,Lists!$F$4:$H$4,0))</f>
        <v>F</v>
      </c>
      <c r="Q223" s="21" t="str">
        <f>INDEX(Lists!$F$10:$H$10,MATCH(Lists!$H$3,Lists!$F$4:$H$4,0))</f>
        <v>S</v>
      </c>
      <c r="R223" s="21" t="str">
        <f>INDEX(Lists!$F$11:$H$11,MATCH(Lists!$H$3,Lists!$F$4:$H$4,0))</f>
        <v>U</v>
      </c>
      <c r="S223" s="21" t="str">
        <f>INDEX(Lists!$F$5:$H$5,MATCH(Lists!$H$3,Lists!$F$4:$H$4,0))</f>
        <v>M</v>
      </c>
      <c r="T223" s="21" t="str">
        <f>INDEX(Lists!$F$6:$H$6,MATCH(Lists!$H$3,Lists!$F$4:$H$4,0))</f>
        <v>T</v>
      </c>
      <c r="U223" s="21" t="str">
        <f>INDEX(Lists!$F$7:$H$7,MATCH(Lists!$H$3,Lists!$F$4:$H$4,0))</f>
        <v>W</v>
      </c>
      <c r="V223" s="21" t="str">
        <f>INDEX(Lists!$F$8:$H$8,MATCH(Lists!$H$3,Lists!$F$4:$H$4,0))</f>
        <v>R</v>
      </c>
      <c r="W223" s="21" t="str">
        <f>INDEX(Lists!$F$9:$H$9,MATCH(Lists!$H$3,Lists!$F$4:$H$4,0))</f>
        <v>F</v>
      </c>
      <c r="X223" s="21" t="str">
        <f>INDEX(Lists!$F$10:$H$10,MATCH(Lists!$H$3,Lists!$F$4:$H$4,0))</f>
        <v>S</v>
      </c>
      <c r="Y223" s="21" t="str">
        <f>INDEX(Lists!$F$11:$H$11,MATCH(Lists!$H$3,Lists!$F$4:$H$4,0))</f>
        <v>U</v>
      </c>
      <c r="Z223" s="21" t="str">
        <f>INDEX(Lists!$F$5:$H$5,MATCH(Lists!$H$3,Lists!$F$4:$H$4,0))</f>
        <v>M</v>
      </c>
      <c r="AA223" s="21" t="str">
        <f>INDEX(Lists!$F$6:$H$6,MATCH(Lists!$H$3,Lists!$F$4:$H$4,0))</f>
        <v>T</v>
      </c>
      <c r="AB223" s="21" t="str">
        <f>INDEX(Lists!$F$7:$H$7,MATCH(Lists!$H$3,Lists!$F$4:$H$4,0))</f>
        <v>W</v>
      </c>
      <c r="AC223" s="21" t="str">
        <f>INDEX(Lists!$F$8:$H$8,MATCH(Lists!$H$3,Lists!$F$4:$H$4,0))</f>
        <v>R</v>
      </c>
      <c r="AD223" s="21" t="str">
        <f>INDEX(Lists!$F$9:$H$9,MATCH(Lists!$H$3,Lists!$F$4:$H$4,0))</f>
        <v>F</v>
      </c>
      <c r="AE223" s="21" t="str">
        <f>INDEX(Lists!$F$10:$H$10,MATCH(Lists!$H$3,Lists!$F$4:$H$4,0))</f>
        <v>S</v>
      </c>
      <c r="AF223" s="21" t="str">
        <f>INDEX(Lists!$F$11:$H$11,MATCH(Lists!$H$3,Lists!$F$4:$H$4,0))</f>
        <v>U</v>
      </c>
      <c r="AG223" s="30" t="str">
        <f>INDEX(Lists!$F$5:$H$5,MATCH(Lists!$H$3,Lists!$F$4:$H$4,0))</f>
        <v>M</v>
      </c>
      <c r="AH223" s="30" t="str">
        <f>INDEX(Lists!$F$6:$H$6,MATCH(Lists!$H$3,Lists!$F$4:$H$4,0))</f>
        <v>T</v>
      </c>
      <c r="AI223" s="30" t="str">
        <f>INDEX(Lists!$F$7:$H$7,MATCH(Lists!$H$3,Lists!$F$4:$H$4,0))</f>
        <v>W</v>
      </c>
      <c r="AJ223" s="30" t="str">
        <f>INDEX(Lists!$F$8:$H$8,MATCH(Lists!$H$3,Lists!$F$4:$H$4,0))</f>
        <v>R</v>
      </c>
      <c r="AK223" s="30" t="str">
        <f>INDEX(Lists!$F$9:$H$9,MATCH(Lists!$H$3,Lists!$F$4:$H$4,0))</f>
        <v>F</v>
      </c>
      <c r="AL223" s="30" t="str">
        <f>INDEX(Lists!$F$10:$H$10,MATCH(Lists!$H$3,Lists!$F$4:$H$4,0))</f>
        <v>S</v>
      </c>
      <c r="AM223" s="30" t="str">
        <f>INDEX(Lists!$F$11:$H$11,MATCH(Lists!$H$3,Lists!$F$4:$H$4,0))</f>
        <v>U</v>
      </c>
      <c r="AN223" s="30" t="str">
        <f>INDEX(Lists!$F$5:$H$5,MATCH(Lists!$H$3,Lists!$F$4:$H$4,0))</f>
        <v>M</v>
      </c>
      <c r="AO223" s="30" t="str">
        <f>INDEX(Lists!$F$6:$H$6,MATCH(Lists!$H$3,Lists!$F$4:$H$4,0))</f>
        <v>T</v>
      </c>
      <c r="AP223" s="30" t="str">
        <f>INDEX(Lists!$F$7:$H$7,MATCH(Lists!$H$3,Lists!$F$4:$H$4,0))</f>
        <v>W</v>
      </c>
      <c r="AQ223" s="30" t="str">
        <f>INDEX(Lists!$F$8:$H$8,MATCH(Lists!$H$3,Lists!$F$4:$H$4,0))</f>
        <v>R</v>
      </c>
      <c r="AR223" s="30" t="str">
        <f>INDEX(Lists!$F$9:$H$9,MATCH(Lists!$H$3,Lists!$F$4:$H$4,0))</f>
        <v>F</v>
      </c>
      <c r="AS223" s="30" t="str">
        <f>INDEX(Lists!$F$10:$H$10,MATCH(Lists!$H$3,Lists!$F$4:$H$4,0))</f>
        <v>S</v>
      </c>
      <c r="AT223" s="30" t="str">
        <f>INDEX(Lists!$F$11:$H$11,MATCH(Lists!$H$3,Lists!$F$4:$H$4,0))</f>
        <v>U</v>
      </c>
      <c r="AU223" s="29"/>
      <c r="AV223" s="29"/>
      <c r="AW223" s="29"/>
      <c r="AX223" s="29"/>
      <c r="AY223" s="29"/>
      <c r="AZ223" s="29"/>
      <c r="BA223" s="20"/>
    </row>
    <row r="224" spans="1:53" ht="14.1" customHeight="1" x14ac:dyDescent="0.25">
      <c r="A224" s="89"/>
      <c r="B224" s="101"/>
      <c r="C224" s="101"/>
      <c r="D224" s="103">
        <f>COUNTA($E224:$AF224)</f>
        <v>0</v>
      </c>
      <c r="E224" s="90"/>
      <c r="F224" s="91"/>
      <c r="G224" s="91"/>
      <c r="H224" s="91"/>
      <c r="I224" s="91"/>
      <c r="J224" s="91"/>
      <c r="K224" s="92"/>
      <c r="L224" s="90"/>
      <c r="M224" s="91"/>
      <c r="N224" s="91"/>
      <c r="O224" s="91"/>
      <c r="P224" s="91"/>
      <c r="Q224" s="91"/>
      <c r="R224" s="92"/>
      <c r="S224" s="90"/>
      <c r="T224" s="91"/>
      <c r="U224" s="91"/>
      <c r="V224" s="91"/>
      <c r="W224" s="91"/>
      <c r="X224" s="91"/>
      <c r="Y224" s="92"/>
      <c r="Z224" s="90"/>
      <c r="AA224" s="91"/>
      <c r="AB224" s="91"/>
      <c r="AC224" s="91"/>
      <c r="AD224" s="91"/>
      <c r="AE224" s="91"/>
      <c r="AF224" s="93"/>
      <c r="AG224" s="90"/>
      <c r="AH224" s="91"/>
      <c r="AI224" s="91"/>
      <c r="AJ224" s="91"/>
      <c r="AK224" s="91"/>
      <c r="AL224" s="91"/>
      <c r="AM224" s="93"/>
      <c r="AN224" s="90"/>
      <c r="AO224" s="91"/>
      <c r="AP224" s="91"/>
      <c r="AQ224" s="91"/>
      <c r="AR224" s="91"/>
      <c r="AS224" s="91"/>
      <c r="AT224" s="93"/>
      <c r="AU224" s="37">
        <f>SUM($E224:$K224)</f>
        <v>0</v>
      </c>
      <c r="AV224" s="37">
        <f>SUM($L224:$R224)</f>
        <v>0</v>
      </c>
      <c r="AW224" s="37">
        <f>SUM($S224:$Y224)</f>
        <v>0</v>
      </c>
      <c r="AX224" s="37">
        <f>SUM($Z224:$AF224)</f>
        <v>0</v>
      </c>
      <c r="AY224" s="37">
        <f>SUM($AG224:$AM224)</f>
        <v>0</v>
      </c>
      <c r="AZ224" s="37">
        <f>SUM($AN224:$AT224)</f>
        <v>0</v>
      </c>
      <c r="BA224" s="20"/>
    </row>
    <row r="225" spans="1:53" ht="14.1" customHeight="1" x14ac:dyDescent="0.25">
      <c r="A225" s="89"/>
      <c r="B225" s="101"/>
      <c r="C225" s="101"/>
      <c r="D225" s="103">
        <f t="shared" ref="D225:D323" si="66">COUNTA($E225:$AF225)</f>
        <v>0</v>
      </c>
      <c r="E225" s="90"/>
      <c r="F225" s="91"/>
      <c r="G225" s="91"/>
      <c r="H225" s="91"/>
      <c r="I225" s="91"/>
      <c r="J225" s="91"/>
      <c r="K225" s="92"/>
      <c r="L225" s="90"/>
      <c r="M225" s="91"/>
      <c r="N225" s="91"/>
      <c r="O225" s="91"/>
      <c r="P225" s="91"/>
      <c r="Q225" s="91"/>
      <c r="R225" s="92"/>
      <c r="S225" s="90"/>
      <c r="T225" s="91"/>
      <c r="U225" s="91"/>
      <c r="V225" s="91"/>
      <c r="W225" s="91"/>
      <c r="X225" s="91"/>
      <c r="Y225" s="92"/>
      <c r="Z225" s="90"/>
      <c r="AA225" s="91"/>
      <c r="AB225" s="91"/>
      <c r="AC225" s="91"/>
      <c r="AD225" s="91"/>
      <c r="AE225" s="91"/>
      <c r="AF225" s="93"/>
      <c r="AG225" s="90"/>
      <c r="AH225" s="91"/>
      <c r="AI225" s="91"/>
      <c r="AJ225" s="91"/>
      <c r="AK225" s="91"/>
      <c r="AL225" s="91"/>
      <c r="AM225" s="93"/>
      <c r="AN225" s="90"/>
      <c r="AO225" s="91"/>
      <c r="AP225" s="91"/>
      <c r="AQ225" s="91"/>
      <c r="AR225" s="91"/>
      <c r="AS225" s="91"/>
      <c r="AT225" s="93"/>
      <c r="AU225" s="37">
        <f t="shared" ref="AU225:AU288" si="67">SUM($E225:$K225)</f>
        <v>0</v>
      </c>
      <c r="AV225" s="37">
        <f t="shared" ref="AV225:AV288" si="68">SUM($L225:$R225)</f>
        <v>0</v>
      </c>
      <c r="AW225" s="37">
        <f t="shared" ref="AW225:AW288" si="69">SUM($S225:$Y225)</f>
        <v>0</v>
      </c>
      <c r="AX225" s="37">
        <f t="shared" ref="AX225:AX288" si="70">SUM($Z225:$AF225)</f>
        <v>0</v>
      </c>
      <c r="AY225" s="37">
        <f t="shared" ref="AY225:AY288" si="71">SUM($AG225:$AM225)</f>
        <v>0</v>
      </c>
      <c r="AZ225" s="37">
        <f t="shared" ref="AZ225:AZ288" si="72">SUM($AN225:$AT225)</f>
        <v>0</v>
      </c>
      <c r="BA225" s="20"/>
    </row>
    <row r="226" spans="1:53" ht="14.1" customHeight="1" x14ac:dyDescent="0.25">
      <c r="A226" s="89"/>
      <c r="B226" s="101"/>
      <c r="C226" s="101"/>
      <c r="D226" s="103">
        <f t="shared" si="66"/>
        <v>0</v>
      </c>
      <c r="E226" s="90"/>
      <c r="F226" s="91"/>
      <c r="G226" s="91"/>
      <c r="H226" s="91"/>
      <c r="I226" s="91"/>
      <c r="J226" s="91"/>
      <c r="K226" s="92"/>
      <c r="L226" s="90"/>
      <c r="M226" s="91"/>
      <c r="N226" s="91"/>
      <c r="O226" s="91"/>
      <c r="P226" s="91"/>
      <c r="Q226" s="91"/>
      <c r="R226" s="92"/>
      <c r="S226" s="90"/>
      <c r="T226" s="91"/>
      <c r="U226" s="91"/>
      <c r="V226" s="91"/>
      <c r="W226" s="91"/>
      <c r="X226" s="91"/>
      <c r="Y226" s="92"/>
      <c r="Z226" s="90"/>
      <c r="AA226" s="91"/>
      <c r="AB226" s="91"/>
      <c r="AC226" s="91"/>
      <c r="AD226" s="91"/>
      <c r="AE226" s="91"/>
      <c r="AF226" s="93"/>
      <c r="AG226" s="90"/>
      <c r="AH226" s="91"/>
      <c r="AI226" s="91"/>
      <c r="AJ226" s="91"/>
      <c r="AK226" s="91"/>
      <c r="AL226" s="91"/>
      <c r="AM226" s="93"/>
      <c r="AN226" s="90"/>
      <c r="AO226" s="91"/>
      <c r="AP226" s="91"/>
      <c r="AQ226" s="91"/>
      <c r="AR226" s="91"/>
      <c r="AS226" s="91"/>
      <c r="AT226" s="93"/>
      <c r="AU226" s="37">
        <f t="shared" si="67"/>
        <v>0</v>
      </c>
      <c r="AV226" s="37">
        <f t="shared" si="68"/>
        <v>0</v>
      </c>
      <c r="AW226" s="37">
        <f t="shared" si="69"/>
        <v>0</v>
      </c>
      <c r="AX226" s="37">
        <f t="shared" si="70"/>
        <v>0</v>
      </c>
      <c r="AY226" s="37">
        <f t="shared" si="71"/>
        <v>0</v>
      </c>
      <c r="AZ226" s="37">
        <f t="shared" si="72"/>
        <v>0</v>
      </c>
      <c r="BA226" s="20"/>
    </row>
    <row r="227" spans="1:53" ht="14.1" customHeight="1" x14ac:dyDescent="0.25">
      <c r="A227" s="89"/>
      <c r="B227" s="101"/>
      <c r="C227" s="101"/>
      <c r="D227" s="103">
        <f t="shared" si="66"/>
        <v>0</v>
      </c>
      <c r="E227" s="90"/>
      <c r="F227" s="91"/>
      <c r="G227" s="91"/>
      <c r="H227" s="91"/>
      <c r="I227" s="91"/>
      <c r="J227" s="91"/>
      <c r="K227" s="92"/>
      <c r="L227" s="90"/>
      <c r="M227" s="91"/>
      <c r="N227" s="91"/>
      <c r="O227" s="91"/>
      <c r="P227" s="91"/>
      <c r="Q227" s="91"/>
      <c r="R227" s="92"/>
      <c r="S227" s="90"/>
      <c r="T227" s="91"/>
      <c r="U227" s="91"/>
      <c r="V227" s="91"/>
      <c r="W227" s="91"/>
      <c r="X227" s="91"/>
      <c r="Y227" s="92"/>
      <c r="Z227" s="90"/>
      <c r="AA227" s="91"/>
      <c r="AB227" s="91"/>
      <c r="AC227" s="91"/>
      <c r="AD227" s="91"/>
      <c r="AE227" s="91"/>
      <c r="AF227" s="93"/>
      <c r="AG227" s="90"/>
      <c r="AH227" s="91"/>
      <c r="AI227" s="91"/>
      <c r="AJ227" s="91"/>
      <c r="AK227" s="91"/>
      <c r="AL227" s="91"/>
      <c r="AM227" s="93"/>
      <c r="AN227" s="90"/>
      <c r="AO227" s="91"/>
      <c r="AP227" s="91"/>
      <c r="AQ227" s="91"/>
      <c r="AR227" s="91"/>
      <c r="AS227" s="91"/>
      <c r="AT227" s="93"/>
      <c r="AU227" s="37">
        <f t="shared" si="67"/>
        <v>0</v>
      </c>
      <c r="AV227" s="37">
        <f t="shared" si="68"/>
        <v>0</v>
      </c>
      <c r="AW227" s="37">
        <f t="shared" si="69"/>
        <v>0</v>
      </c>
      <c r="AX227" s="37">
        <f t="shared" si="70"/>
        <v>0</v>
      </c>
      <c r="AY227" s="37">
        <f t="shared" si="71"/>
        <v>0</v>
      </c>
      <c r="AZ227" s="37">
        <f t="shared" si="72"/>
        <v>0</v>
      </c>
      <c r="BA227" s="20"/>
    </row>
    <row r="228" spans="1:53" ht="14.1" customHeight="1" x14ac:dyDescent="0.25">
      <c r="A228" s="89"/>
      <c r="B228" s="101" t="str" cm="1">
        <f t="array" ref="B228">_xlfn.IFNA(INDEX(Employees[Employment Type],MATCH(Schedule!A228:A228,Employees[Employee Names],0)),"")</f>
        <v/>
      </c>
      <c r="C228" s="101" t="str">
        <f>_xlfn.IFNA(INDEX(Employees[Employee Role],MATCH(Schedule!A228,Employees[Employee Names],0)),"")</f>
        <v/>
      </c>
      <c r="D228" s="103">
        <f t="shared" si="66"/>
        <v>0</v>
      </c>
      <c r="E228" s="90"/>
      <c r="F228" s="91"/>
      <c r="G228" s="91"/>
      <c r="H228" s="91"/>
      <c r="I228" s="91"/>
      <c r="J228" s="91"/>
      <c r="K228" s="92"/>
      <c r="L228" s="90"/>
      <c r="M228" s="91"/>
      <c r="N228" s="91"/>
      <c r="O228" s="91"/>
      <c r="P228" s="91"/>
      <c r="Q228" s="91"/>
      <c r="R228" s="92"/>
      <c r="S228" s="90"/>
      <c r="T228" s="91"/>
      <c r="U228" s="91"/>
      <c r="V228" s="91"/>
      <c r="W228" s="91"/>
      <c r="X228" s="91"/>
      <c r="Y228" s="92"/>
      <c r="Z228" s="90"/>
      <c r="AA228" s="91"/>
      <c r="AB228" s="91"/>
      <c r="AC228" s="91"/>
      <c r="AD228" s="91"/>
      <c r="AE228" s="91"/>
      <c r="AF228" s="93"/>
      <c r="AG228" s="90"/>
      <c r="AH228" s="91"/>
      <c r="AI228" s="91"/>
      <c r="AJ228" s="91"/>
      <c r="AK228" s="91"/>
      <c r="AL228" s="91"/>
      <c r="AM228" s="93"/>
      <c r="AN228" s="90"/>
      <c r="AO228" s="91"/>
      <c r="AP228" s="91"/>
      <c r="AQ228" s="91"/>
      <c r="AR228" s="91"/>
      <c r="AS228" s="91"/>
      <c r="AT228" s="93"/>
      <c r="AU228" s="37">
        <f t="shared" si="67"/>
        <v>0</v>
      </c>
      <c r="AV228" s="37">
        <f t="shared" si="68"/>
        <v>0</v>
      </c>
      <c r="AW228" s="37">
        <f t="shared" si="69"/>
        <v>0</v>
      </c>
      <c r="AX228" s="37">
        <f t="shared" si="70"/>
        <v>0</v>
      </c>
      <c r="AY228" s="37">
        <f t="shared" si="71"/>
        <v>0</v>
      </c>
      <c r="AZ228" s="37">
        <f t="shared" si="72"/>
        <v>0</v>
      </c>
      <c r="BA228" s="20"/>
    </row>
    <row r="229" spans="1:53" ht="14.1" customHeight="1" x14ac:dyDescent="0.25">
      <c r="A229" s="89"/>
      <c r="B229" s="101" t="str" cm="1">
        <f t="array" ref="B229">_xlfn.IFNA(INDEX(Employees[Employment Type],MATCH(Schedule!A229:A229,Employees[Employee Names],0)),"")</f>
        <v/>
      </c>
      <c r="C229" s="101" t="str">
        <f>_xlfn.IFNA(INDEX(Employees[Employee Role],MATCH(Schedule!A229,Employees[Employee Names],0)),"")</f>
        <v/>
      </c>
      <c r="D229" s="103">
        <f t="shared" si="66"/>
        <v>0</v>
      </c>
      <c r="E229" s="90"/>
      <c r="F229" s="91"/>
      <c r="G229" s="91"/>
      <c r="H229" s="91"/>
      <c r="I229" s="91"/>
      <c r="J229" s="91"/>
      <c r="K229" s="92"/>
      <c r="L229" s="90"/>
      <c r="M229" s="91"/>
      <c r="N229" s="91"/>
      <c r="O229" s="91"/>
      <c r="P229" s="91"/>
      <c r="Q229" s="91"/>
      <c r="R229" s="92"/>
      <c r="S229" s="90"/>
      <c r="T229" s="91"/>
      <c r="U229" s="91"/>
      <c r="V229" s="91"/>
      <c r="W229" s="91"/>
      <c r="X229" s="91"/>
      <c r="Y229" s="92"/>
      <c r="Z229" s="90"/>
      <c r="AA229" s="91"/>
      <c r="AB229" s="91"/>
      <c r="AC229" s="91"/>
      <c r="AD229" s="91"/>
      <c r="AE229" s="91"/>
      <c r="AF229" s="93"/>
      <c r="AG229" s="90"/>
      <c r="AH229" s="91"/>
      <c r="AI229" s="91"/>
      <c r="AJ229" s="91"/>
      <c r="AK229" s="91"/>
      <c r="AL229" s="91"/>
      <c r="AM229" s="93"/>
      <c r="AN229" s="90"/>
      <c r="AO229" s="91"/>
      <c r="AP229" s="91"/>
      <c r="AQ229" s="91"/>
      <c r="AR229" s="91"/>
      <c r="AS229" s="91"/>
      <c r="AT229" s="93"/>
      <c r="AU229" s="37">
        <f t="shared" si="67"/>
        <v>0</v>
      </c>
      <c r="AV229" s="37">
        <f t="shared" si="68"/>
        <v>0</v>
      </c>
      <c r="AW229" s="37">
        <f t="shared" si="69"/>
        <v>0</v>
      </c>
      <c r="AX229" s="37">
        <f t="shared" si="70"/>
        <v>0</v>
      </c>
      <c r="AY229" s="37">
        <f t="shared" si="71"/>
        <v>0</v>
      </c>
      <c r="AZ229" s="37">
        <f t="shared" si="72"/>
        <v>0</v>
      </c>
      <c r="BA229" s="20"/>
    </row>
    <row r="230" spans="1:53" ht="14.1" customHeight="1" x14ac:dyDescent="0.25">
      <c r="A230" s="89"/>
      <c r="B230" s="101" t="str" cm="1">
        <f t="array" ref="B230">_xlfn.IFNA(INDEX(Employees[Employment Type],MATCH(Schedule!A230:A230,Employees[Employee Names],0)),"")</f>
        <v/>
      </c>
      <c r="C230" s="101" t="str">
        <f>_xlfn.IFNA(INDEX(Employees[Employee Role],MATCH(Schedule!A230,Employees[Employee Names],0)),"")</f>
        <v/>
      </c>
      <c r="D230" s="103">
        <f t="shared" si="66"/>
        <v>0</v>
      </c>
      <c r="E230" s="90"/>
      <c r="F230" s="91"/>
      <c r="G230" s="91"/>
      <c r="H230" s="91"/>
      <c r="I230" s="91"/>
      <c r="J230" s="91"/>
      <c r="K230" s="92"/>
      <c r="L230" s="90"/>
      <c r="M230" s="91"/>
      <c r="N230" s="91"/>
      <c r="O230" s="91"/>
      <c r="P230" s="91"/>
      <c r="Q230" s="91"/>
      <c r="R230" s="92"/>
      <c r="S230" s="90"/>
      <c r="T230" s="91"/>
      <c r="U230" s="91"/>
      <c r="V230" s="91"/>
      <c r="W230" s="91"/>
      <c r="X230" s="91"/>
      <c r="Y230" s="92"/>
      <c r="Z230" s="90"/>
      <c r="AA230" s="91"/>
      <c r="AB230" s="91"/>
      <c r="AC230" s="91"/>
      <c r="AD230" s="91"/>
      <c r="AE230" s="91"/>
      <c r="AF230" s="93"/>
      <c r="AG230" s="90"/>
      <c r="AH230" s="91"/>
      <c r="AI230" s="91"/>
      <c r="AJ230" s="91"/>
      <c r="AK230" s="91"/>
      <c r="AL230" s="91"/>
      <c r="AM230" s="93"/>
      <c r="AN230" s="90"/>
      <c r="AO230" s="91"/>
      <c r="AP230" s="91"/>
      <c r="AQ230" s="91"/>
      <c r="AR230" s="91"/>
      <c r="AS230" s="91"/>
      <c r="AT230" s="93"/>
      <c r="AU230" s="37">
        <f t="shared" si="67"/>
        <v>0</v>
      </c>
      <c r="AV230" s="37">
        <f t="shared" si="68"/>
        <v>0</v>
      </c>
      <c r="AW230" s="37">
        <f t="shared" si="69"/>
        <v>0</v>
      </c>
      <c r="AX230" s="37">
        <f t="shared" si="70"/>
        <v>0</v>
      </c>
      <c r="AY230" s="37">
        <f t="shared" si="71"/>
        <v>0</v>
      </c>
      <c r="AZ230" s="37">
        <f t="shared" si="72"/>
        <v>0</v>
      </c>
      <c r="BA230" s="20"/>
    </row>
    <row r="231" spans="1:53" ht="14.1" customHeight="1" x14ac:dyDescent="0.25">
      <c r="A231" s="89"/>
      <c r="B231" s="101" t="str" cm="1">
        <f t="array" ref="B231">_xlfn.IFNA(INDEX(Employees[Employment Type],MATCH(Schedule!A231:A231,Employees[Employee Names],0)),"")</f>
        <v/>
      </c>
      <c r="C231" s="101" t="str">
        <f>_xlfn.IFNA(INDEX(Employees[Employee Role],MATCH(Schedule!A231,Employees[Employee Names],0)),"")</f>
        <v/>
      </c>
      <c r="D231" s="103">
        <f t="shared" si="66"/>
        <v>0</v>
      </c>
      <c r="E231" s="90"/>
      <c r="F231" s="91"/>
      <c r="G231" s="91"/>
      <c r="H231" s="91"/>
      <c r="I231" s="91"/>
      <c r="J231" s="91"/>
      <c r="K231" s="92"/>
      <c r="L231" s="90"/>
      <c r="M231" s="91"/>
      <c r="N231" s="91"/>
      <c r="O231" s="91"/>
      <c r="P231" s="91"/>
      <c r="Q231" s="91"/>
      <c r="R231" s="92"/>
      <c r="S231" s="90"/>
      <c r="T231" s="91"/>
      <c r="U231" s="91"/>
      <c r="V231" s="91"/>
      <c r="W231" s="91"/>
      <c r="X231" s="91"/>
      <c r="Y231" s="92"/>
      <c r="Z231" s="90"/>
      <c r="AA231" s="91"/>
      <c r="AB231" s="91"/>
      <c r="AC231" s="91"/>
      <c r="AD231" s="91"/>
      <c r="AE231" s="91"/>
      <c r="AF231" s="93"/>
      <c r="AG231" s="90"/>
      <c r="AH231" s="91"/>
      <c r="AI231" s="91"/>
      <c r="AJ231" s="91"/>
      <c r="AK231" s="91"/>
      <c r="AL231" s="91"/>
      <c r="AM231" s="93"/>
      <c r="AN231" s="90"/>
      <c r="AO231" s="91"/>
      <c r="AP231" s="91"/>
      <c r="AQ231" s="91"/>
      <c r="AR231" s="91"/>
      <c r="AS231" s="91"/>
      <c r="AT231" s="93"/>
      <c r="AU231" s="37">
        <f t="shared" si="67"/>
        <v>0</v>
      </c>
      <c r="AV231" s="37">
        <f t="shared" si="68"/>
        <v>0</v>
      </c>
      <c r="AW231" s="37">
        <f t="shared" si="69"/>
        <v>0</v>
      </c>
      <c r="AX231" s="37">
        <f t="shared" si="70"/>
        <v>0</v>
      </c>
      <c r="AY231" s="37">
        <f t="shared" si="71"/>
        <v>0</v>
      </c>
      <c r="AZ231" s="37">
        <f t="shared" si="72"/>
        <v>0</v>
      </c>
      <c r="BA231" s="20"/>
    </row>
    <row r="232" spans="1:53" ht="14.1" customHeight="1" x14ac:dyDescent="0.25">
      <c r="A232" s="89"/>
      <c r="B232" s="101" t="str" cm="1">
        <f t="array" ref="B232">_xlfn.IFNA(INDEX(Employees[Employment Type],MATCH(Schedule!A232:A232,Employees[Employee Names],0)),"")</f>
        <v/>
      </c>
      <c r="C232" s="101" t="str">
        <f>_xlfn.IFNA(INDEX(Employees[Employee Role],MATCH(Schedule!A232,Employees[Employee Names],0)),"")</f>
        <v/>
      </c>
      <c r="D232" s="103">
        <f t="shared" si="66"/>
        <v>0</v>
      </c>
      <c r="E232" s="90"/>
      <c r="F232" s="91"/>
      <c r="G232" s="91"/>
      <c r="H232" s="91"/>
      <c r="I232" s="91"/>
      <c r="J232" s="91"/>
      <c r="K232" s="92"/>
      <c r="L232" s="90"/>
      <c r="M232" s="91"/>
      <c r="N232" s="91"/>
      <c r="O232" s="91"/>
      <c r="P232" s="91"/>
      <c r="Q232" s="91"/>
      <c r="R232" s="92"/>
      <c r="S232" s="90"/>
      <c r="T232" s="91"/>
      <c r="U232" s="91"/>
      <c r="V232" s="91"/>
      <c r="W232" s="91"/>
      <c r="X232" s="91"/>
      <c r="Y232" s="92"/>
      <c r="Z232" s="90"/>
      <c r="AA232" s="91"/>
      <c r="AB232" s="91"/>
      <c r="AC232" s="91"/>
      <c r="AD232" s="91"/>
      <c r="AE232" s="91"/>
      <c r="AF232" s="93"/>
      <c r="AG232" s="90"/>
      <c r="AH232" s="91"/>
      <c r="AI232" s="91"/>
      <c r="AJ232" s="91"/>
      <c r="AK232" s="91"/>
      <c r="AL232" s="91"/>
      <c r="AM232" s="93"/>
      <c r="AN232" s="90"/>
      <c r="AO232" s="91"/>
      <c r="AP232" s="91"/>
      <c r="AQ232" s="91"/>
      <c r="AR232" s="91"/>
      <c r="AS232" s="91"/>
      <c r="AT232" s="93"/>
      <c r="AU232" s="37">
        <f t="shared" si="67"/>
        <v>0</v>
      </c>
      <c r="AV232" s="37">
        <f t="shared" si="68"/>
        <v>0</v>
      </c>
      <c r="AW232" s="37">
        <f t="shared" si="69"/>
        <v>0</v>
      </c>
      <c r="AX232" s="37">
        <f t="shared" si="70"/>
        <v>0</v>
      </c>
      <c r="AY232" s="37">
        <f t="shared" si="71"/>
        <v>0</v>
      </c>
      <c r="AZ232" s="37">
        <f t="shared" si="72"/>
        <v>0</v>
      </c>
      <c r="BA232" s="20"/>
    </row>
    <row r="233" spans="1:53" ht="14.1" customHeight="1" x14ac:dyDescent="0.25">
      <c r="A233" s="89"/>
      <c r="B233" s="101" t="str" cm="1">
        <f t="array" ref="B233">_xlfn.IFNA(INDEX(Employees[Employment Type],MATCH(Schedule!A233:A233,Employees[Employee Names],0)),"")</f>
        <v/>
      </c>
      <c r="C233" s="101" t="str">
        <f>_xlfn.IFNA(INDEX(Employees[Employee Role],MATCH(Schedule!A233,Employees[Employee Names],0)),"")</f>
        <v/>
      </c>
      <c r="D233" s="103">
        <f t="shared" si="66"/>
        <v>0</v>
      </c>
      <c r="E233" s="90"/>
      <c r="F233" s="91"/>
      <c r="G233" s="91"/>
      <c r="H233" s="91"/>
      <c r="I233" s="91"/>
      <c r="J233" s="91"/>
      <c r="K233" s="92"/>
      <c r="L233" s="90"/>
      <c r="M233" s="91"/>
      <c r="N233" s="91"/>
      <c r="O233" s="91"/>
      <c r="P233" s="91"/>
      <c r="Q233" s="91"/>
      <c r="R233" s="92"/>
      <c r="S233" s="90"/>
      <c r="T233" s="91"/>
      <c r="U233" s="91"/>
      <c r="V233" s="91"/>
      <c r="W233" s="91"/>
      <c r="X233" s="91"/>
      <c r="Y233" s="92"/>
      <c r="Z233" s="90"/>
      <c r="AA233" s="91"/>
      <c r="AB233" s="91"/>
      <c r="AC233" s="91"/>
      <c r="AD233" s="91"/>
      <c r="AE233" s="91"/>
      <c r="AF233" s="93"/>
      <c r="AG233" s="90"/>
      <c r="AH233" s="91"/>
      <c r="AI233" s="91"/>
      <c r="AJ233" s="91"/>
      <c r="AK233" s="91"/>
      <c r="AL233" s="91"/>
      <c r="AM233" s="93"/>
      <c r="AN233" s="90"/>
      <c r="AO233" s="91"/>
      <c r="AP233" s="91"/>
      <c r="AQ233" s="91"/>
      <c r="AR233" s="91"/>
      <c r="AS233" s="91"/>
      <c r="AT233" s="93"/>
      <c r="AU233" s="37">
        <f t="shared" si="67"/>
        <v>0</v>
      </c>
      <c r="AV233" s="37">
        <f t="shared" si="68"/>
        <v>0</v>
      </c>
      <c r="AW233" s="37">
        <f t="shared" si="69"/>
        <v>0</v>
      </c>
      <c r="AX233" s="37">
        <f t="shared" si="70"/>
        <v>0</v>
      </c>
      <c r="AY233" s="37">
        <f t="shared" si="71"/>
        <v>0</v>
      </c>
      <c r="AZ233" s="37">
        <f t="shared" si="72"/>
        <v>0</v>
      </c>
      <c r="BA233" s="20"/>
    </row>
    <row r="234" spans="1:53" ht="14.1" customHeight="1" x14ac:dyDescent="0.25">
      <c r="A234" s="89"/>
      <c r="B234" s="101" t="str" cm="1">
        <f t="array" ref="B234">_xlfn.IFNA(INDEX(Employees[Employment Type],MATCH(Schedule!A234:A234,Employees[Employee Names],0)),"")</f>
        <v/>
      </c>
      <c r="C234" s="101" t="str">
        <f>_xlfn.IFNA(INDEX(Employees[Employee Role],MATCH(Schedule!A234,Employees[Employee Names],0)),"")</f>
        <v/>
      </c>
      <c r="D234" s="103">
        <f t="shared" si="66"/>
        <v>0</v>
      </c>
      <c r="E234" s="90"/>
      <c r="F234" s="91"/>
      <c r="G234" s="91"/>
      <c r="H234" s="91"/>
      <c r="I234" s="91"/>
      <c r="J234" s="91"/>
      <c r="K234" s="92"/>
      <c r="L234" s="90"/>
      <c r="M234" s="91"/>
      <c r="N234" s="91"/>
      <c r="O234" s="91"/>
      <c r="P234" s="91"/>
      <c r="Q234" s="91"/>
      <c r="R234" s="92"/>
      <c r="S234" s="90"/>
      <c r="T234" s="91"/>
      <c r="U234" s="91"/>
      <c r="V234" s="91"/>
      <c r="W234" s="91"/>
      <c r="X234" s="91"/>
      <c r="Y234" s="92"/>
      <c r="Z234" s="90"/>
      <c r="AA234" s="91"/>
      <c r="AB234" s="91"/>
      <c r="AC234" s="91"/>
      <c r="AD234" s="91"/>
      <c r="AE234" s="91"/>
      <c r="AF234" s="93"/>
      <c r="AG234" s="90"/>
      <c r="AH234" s="91"/>
      <c r="AI234" s="91"/>
      <c r="AJ234" s="91"/>
      <c r="AK234" s="91"/>
      <c r="AL234" s="91"/>
      <c r="AM234" s="93"/>
      <c r="AN234" s="90"/>
      <c r="AO234" s="91"/>
      <c r="AP234" s="91"/>
      <c r="AQ234" s="91"/>
      <c r="AR234" s="91"/>
      <c r="AS234" s="91"/>
      <c r="AT234" s="93"/>
      <c r="AU234" s="37">
        <f t="shared" si="67"/>
        <v>0</v>
      </c>
      <c r="AV234" s="37">
        <f t="shared" si="68"/>
        <v>0</v>
      </c>
      <c r="AW234" s="37">
        <f t="shared" si="69"/>
        <v>0</v>
      </c>
      <c r="AX234" s="37">
        <f t="shared" si="70"/>
        <v>0</v>
      </c>
      <c r="AY234" s="37">
        <f t="shared" si="71"/>
        <v>0</v>
      </c>
      <c r="AZ234" s="37">
        <f t="shared" si="72"/>
        <v>0</v>
      </c>
      <c r="BA234" s="20"/>
    </row>
    <row r="235" spans="1:53" ht="14.1" customHeight="1" x14ac:dyDescent="0.25">
      <c r="A235" s="89"/>
      <c r="B235" s="101" t="str" cm="1">
        <f t="array" ref="B235">_xlfn.IFNA(INDEX(Employees[Employment Type],MATCH(Schedule!A235:A235,Employees[Employee Names],0)),"")</f>
        <v/>
      </c>
      <c r="C235" s="101" t="str">
        <f>_xlfn.IFNA(INDEX(Employees[Employee Role],MATCH(Schedule!A235,Employees[Employee Names],0)),"")</f>
        <v/>
      </c>
      <c r="D235" s="103">
        <f t="shared" si="66"/>
        <v>0</v>
      </c>
      <c r="E235" s="90"/>
      <c r="F235" s="91"/>
      <c r="G235" s="91"/>
      <c r="H235" s="91"/>
      <c r="I235" s="91"/>
      <c r="J235" s="91"/>
      <c r="K235" s="92"/>
      <c r="L235" s="90"/>
      <c r="M235" s="91"/>
      <c r="N235" s="91"/>
      <c r="O235" s="91"/>
      <c r="P235" s="91"/>
      <c r="Q235" s="91"/>
      <c r="R235" s="92"/>
      <c r="S235" s="90"/>
      <c r="T235" s="91"/>
      <c r="U235" s="91"/>
      <c r="V235" s="91"/>
      <c r="W235" s="91"/>
      <c r="X235" s="91"/>
      <c r="Y235" s="92"/>
      <c r="Z235" s="90"/>
      <c r="AA235" s="91"/>
      <c r="AB235" s="91"/>
      <c r="AC235" s="91"/>
      <c r="AD235" s="91"/>
      <c r="AE235" s="91"/>
      <c r="AF235" s="93"/>
      <c r="AG235" s="90"/>
      <c r="AH235" s="91"/>
      <c r="AI235" s="91"/>
      <c r="AJ235" s="91"/>
      <c r="AK235" s="91"/>
      <c r="AL235" s="91"/>
      <c r="AM235" s="93"/>
      <c r="AN235" s="90"/>
      <c r="AO235" s="91"/>
      <c r="AP235" s="91"/>
      <c r="AQ235" s="91"/>
      <c r="AR235" s="91"/>
      <c r="AS235" s="91"/>
      <c r="AT235" s="93"/>
      <c r="AU235" s="37">
        <f t="shared" si="67"/>
        <v>0</v>
      </c>
      <c r="AV235" s="37">
        <f t="shared" si="68"/>
        <v>0</v>
      </c>
      <c r="AW235" s="37">
        <f t="shared" si="69"/>
        <v>0</v>
      </c>
      <c r="AX235" s="37">
        <f t="shared" si="70"/>
        <v>0</v>
      </c>
      <c r="AY235" s="37">
        <f t="shared" si="71"/>
        <v>0</v>
      </c>
      <c r="AZ235" s="37">
        <f t="shared" si="72"/>
        <v>0</v>
      </c>
      <c r="BA235" s="20"/>
    </row>
    <row r="236" spans="1:53" ht="14.1" customHeight="1" x14ac:dyDescent="0.25">
      <c r="A236" s="89"/>
      <c r="B236" s="101" t="str" cm="1">
        <f t="array" ref="B236">_xlfn.IFNA(INDEX(Employees[Employment Type],MATCH(Schedule!A236:A236,Employees[Employee Names],0)),"")</f>
        <v/>
      </c>
      <c r="C236" s="101" t="str">
        <f>_xlfn.IFNA(INDEX(Employees[Employee Role],MATCH(Schedule!A236,Employees[Employee Names],0)),"")</f>
        <v/>
      </c>
      <c r="D236" s="103">
        <f t="shared" si="66"/>
        <v>0</v>
      </c>
      <c r="E236" s="90"/>
      <c r="F236" s="91"/>
      <c r="G236" s="91"/>
      <c r="H236" s="91"/>
      <c r="I236" s="91"/>
      <c r="J236" s="91"/>
      <c r="K236" s="92"/>
      <c r="L236" s="90"/>
      <c r="M236" s="91"/>
      <c r="N236" s="91"/>
      <c r="O236" s="91"/>
      <c r="P236" s="91"/>
      <c r="Q236" s="91"/>
      <c r="R236" s="92"/>
      <c r="S236" s="90"/>
      <c r="T236" s="91"/>
      <c r="U236" s="91"/>
      <c r="V236" s="91"/>
      <c r="W236" s="91"/>
      <c r="X236" s="91"/>
      <c r="Y236" s="92"/>
      <c r="Z236" s="90"/>
      <c r="AA236" s="91"/>
      <c r="AB236" s="91"/>
      <c r="AC236" s="91"/>
      <c r="AD236" s="91"/>
      <c r="AE236" s="91"/>
      <c r="AF236" s="93"/>
      <c r="AG236" s="90"/>
      <c r="AH236" s="91"/>
      <c r="AI236" s="91"/>
      <c r="AJ236" s="91"/>
      <c r="AK236" s="91"/>
      <c r="AL236" s="91"/>
      <c r="AM236" s="93"/>
      <c r="AN236" s="90"/>
      <c r="AO236" s="91"/>
      <c r="AP236" s="91"/>
      <c r="AQ236" s="91"/>
      <c r="AR236" s="91"/>
      <c r="AS236" s="91"/>
      <c r="AT236" s="93"/>
      <c r="AU236" s="37">
        <f t="shared" si="67"/>
        <v>0</v>
      </c>
      <c r="AV236" s="37">
        <f t="shared" si="68"/>
        <v>0</v>
      </c>
      <c r="AW236" s="37">
        <f t="shared" si="69"/>
        <v>0</v>
      </c>
      <c r="AX236" s="37">
        <f t="shared" si="70"/>
        <v>0</v>
      </c>
      <c r="AY236" s="37">
        <f t="shared" si="71"/>
        <v>0</v>
      </c>
      <c r="AZ236" s="37">
        <f t="shared" si="72"/>
        <v>0</v>
      </c>
      <c r="BA236" s="20"/>
    </row>
    <row r="237" spans="1:53" ht="14.1" customHeight="1" x14ac:dyDescent="0.25">
      <c r="A237" s="89"/>
      <c r="B237" s="101" t="str" cm="1">
        <f t="array" ref="B237">_xlfn.IFNA(INDEX(Employees[Employment Type],MATCH(Schedule!A237:A237,Employees[Employee Names],0)),"")</f>
        <v/>
      </c>
      <c r="C237" s="101" t="str">
        <f>_xlfn.IFNA(INDEX(Employees[Employee Role],MATCH(Schedule!A237,Employees[Employee Names],0)),"")</f>
        <v/>
      </c>
      <c r="D237" s="103">
        <f t="shared" si="66"/>
        <v>0</v>
      </c>
      <c r="E237" s="90"/>
      <c r="F237" s="91"/>
      <c r="G237" s="91"/>
      <c r="H237" s="91"/>
      <c r="I237" s="91"/>
      <c r="J237" s="91"/>
      <c r="K237" s="92"/>
      <c r="L237" s="90"/>
      <c r="M237" s="91"/>
      <c r="N237" s="91"/>
      <c r="O237" s="91"/>
      <c r="P237" s="91"/>
      <c r="Q237" s="91"/>
      <c r="R237" s="92"/>
      <c r="S237" s="90"/>
      <c r="T237" s="91"/>
      <c r="U237" s="91"/>
      <c r="V237" s="91"/>
      <c r="W237" s="91"/>
      <c r="X237" s="91"/>
      <c r="Y237" s="92"/>
      <c r="Z237" s="90"/>
      <c r="AA237" s="91"/>
      <c r="AB237" s="91"/>
      <c r="AC237" s="91"/>
      <c r="AD237" s="91"/>
      <c r="AE237" s="91"/>
      <c r="AF237" s="93"/>
      <c r="AG237" s="90"/>
      <c r="AH237" s="91"/>
      <c r="AI237" s="91"/>
      <c r="AJ237" s="91"/>
      <c r="AK237" s="91"/>
      <c r="AL237" s="91"/>
      <c r="AM237" s="93"/>
      <c r="AN237" s="90"/>
      <c r="AO237" s="91"/>
      <c r="AP237" s="91"/>
      <c r="AQ237" s="91"/>
      <c r="AR237" s="91"/>
      <c r="AS237" s="91"/>
      <c r="AT237" s="93"/>
      <c r="AU237" s="37">
        <f t="shared" si="67"/>
        <v>0</v>
      </c>
      <c r="AV237" s="37">
        <f t="shared" si="68"/>
        <v>0</v>
      </c>
      <c r="AW237" s="37">
        <f t="shared" si="69"/>
        <v>0</v>
      </c>
      <c r="AX237" s="37">
        <f t="shared" si="70"/>
        <v>0</v>
      </c>
      <c r="AY237" s="37">
        <f t="shared" si="71"/>
        <v>0</v>
      </c>
      <c r="AZ237" s="37">
        <f t="shared" si="72"/>
        <v>0</v>
      </c>
      <c r="BA237" s="20"/>
    </row>
    <row r="238" spans="1:53" ht="14.1" customHeight="1" x14ac:dyDescent="0.25">
      <c r="A238" s="89"/>
      <c r="B238" s="101" t="str" cm="1">
        <f t="array" ref="B238">_xlfn.IFNA(INDEX(Employees[Employment Type],MATCH(Schedule!A238:A238,Employees[Employee Names],0)),"")</f>
        <v/>
      </c>
      <c r="C238" s="101" t="str">
        <f>_xlfn.IFNA(INDEX(Employees[Employee Role],MATCH(Schedule!A238,Employees[Employee Names],0)),"")</f>
        <v/>
      </c>
      <c r="D238" s="103"/>
      <c r="E238" s="90"/>
      <c r="F238" s="91"/>
      <c r="G238" s="91"/>
      <c r="H238" s="91"/>
      <c r="I238" s="91"/>
      <c r="J238" s="91"/>
      <c r="K238" s="92"/>
      <c r="L238" s="90"/>
      <c r="M238" s="91"/>
      <c r="N238" s="91"/>
      <c r="O238" s="91"/>
      <c r="P238" s="91"/>
      <c r="Q238" s="91"/>
      <c r="R238" s="92"/>
      <c r="S238" s="90"/>
      <c r="T238" s="91"/>
      <c r="U238" s="91"/>
      <c r="V238" s="91"/>
      <c r="W238" s="91"/>
      <c r="X238" s="91"/>
      <c r="Y238" s="92"/>
      <c r="Z238" s="90"/>
      <c r="AA238" s="91"/>
      <c r="AB238" s="91"/>
      <c r="AC238" s="91"/>
      <c r="AD238" s="91"/>
      <c r="AE238" s="91"/>
      <c r="AF238" s="93"/>
      <c r="AG238" s="90"/>
      <c r="AH238" s="91"/>
      <c r="AI238" s="91"/>
      <c r="AJ238" s="91"/>
      <c r="AK238" s="91"/>
      <c r="AL238" s="91"/>
      <c r="AM238" s="93"/>
      <c r="AN238" s="90"/>
      <c r="AO238" s="91"/>
      <c r="AP238" s="91"/>
      <c r="AQ238" s="91"/>
      <c r="AR238" s="91"/>
      <c r="AS238" s="91"/>
      <c r="AT238" s="93"/>
      <c r="AU238" s="37">
        <f t="shared" si="67"/>
        <v>0</v>
      </c>
      <c r="AV238" s="37">
        <f t="shared" si="68"/>
        <v>0</v>
      </c>
      <c r="AW238" s="37">
        <f t="shared" si="69"/>
        <v>0</v>
      </c>
      <c r="AX238" s="37">
        <f t="shared" si="70"/>
        <v>0</v>
      </c>
      <c r="AY238" s="37">
        <f t="shared" si="71"/>
        <v>0</v>
      </c>
      <c r="AZ238" s="37">
        <f t="shared" si="72"/>
        <v>0</v>
      </c>
      <c r="BA238" s="20"/>
    </row>
    <row r="239" spans="1:53" ht="14.1" customHeight="1" x14ac:dyDescent="0.25">
      <c r="A239" s="89"/>
      <c r="B239" s="101" t="str" cm="1">
        <f t="array" ref="B239">_xlfn.IFNA(INDEX(Employees[Employment Type],MATCH(Schedule!A239:A239,Employees[Employee Names],0)),"")</f>
        <v/>
      </c>
      <c r="C239" s="101" t="str">
        <f>_xlfn.IFNA(INDEX(Employees[Employee Role],MATCH(Schedule!A239,Employees[Employee Names],0)),"")</f>
        <v/>
      </c>
      <c r="D239" s="103"/>
      <c r="E239" s="90"/>
      <c r="F239" s="91"/>
      <c r="G239" s="91"/>
      <c r="H239" s="91"/>
      <c r="I239" s="91"/>
      <c r="J239" s="91"/>
      <c r="K239" s="92"/>
      <c r="L239" s="90"/>
      <c r="M239" s="91"/>
      <c r="N239" s="91"/>
      <c r="O239" s="91"/>
      <c r="P239" s="91"/>
      <c r="Q239" s="91"/>
      <c r="R239" s="92"/>
      <c r="S239" s="90"/>
      <c r="T239" s="91"/>
      <c r="U239" s="91"/>
      <c r="V239" s="91"/>
      <c r="W239" s="91"/>
      <c r="X239" s="91"/>
      <c r="Y239" s="92"/>
      <c r="Z239" s="90"/>
      <c r="AA239" s="91"/>
      <c r="AB239" s="91"/>
      <c r="AC239" s="91"/>
      <c r="AD239" s="91"/>
      <c r="AE239" s="91"/>
      <c r="AF239" s="93"/>
      <c r="AG239" s="90"/>
      <c r="AH239" s="91"/>
      <c r="AI239" s="91"/>
      <c r="AJ239" s="91"/>
      <c r="AK239" s="91"/>
      <c r="AL239" s="91"/>
      <c r="AM239" s="93"/>
      <c r="AN239" s="90"/>
      <c r="AO239" s="91"/>
      <c r="AP239" s="91"/>
      <c r="AQ239" s="91"/>
      <c r="AR239" s="91"/>
      <c r="AS239" s="91"/>
      <c r="AT239" s="93"/>
      <c r="AU239" s="37">
        <f t="shared" si="67"/>
        <v>0</v>
      </c>
      <c r="AV239" s="37">
        <f t="shared" si="68"/>
        <v>0</v>
      </c>
      <c r="AW239" s="37">
        <f t="shared" si="69"/>
        <v>0</v>
      </c>
      <c r="AX239" s="37">
        <f t="shared" si="70"/>
        <v>0</v>
      </c>
      <c r="AY239" s="37">
        <f t="shared" si="71"/>
        <v>0</v>
      </c>
      <c r="AZ239" s="37">
        <f t="shared" si="72"/>
        <v>0</v>
      </c>
      <c r="BA239" s="20"/>
    </row>
    <row r="240" spans="1:53" ht="14.1" customHeight="1" x14ac:dyDescent="0.25">
      <c r="A240" s="89"/>
      <c r="B240" s="101" t="str" cm="1">
        <f t="array" ref="B240">_xlfn.IFNA(INDEX(Employees[Employment Type],MATCH(Schedule!A240:A240,Employees[Employee Names],0)),"")</f>
        <v/>
      </c>
      <c r="C240" s="101" t="str">
        <f>_xlfn.IFNA(INDEX(Employees[Employee Role],MATCH(Schedule!A240,Employees[Employee Names],0)),"")</f>
        <v/>
      </c>
      <c r="D240" s="103"/>
      <c r="E240" s="90"/>
      <c r="F240" s="91"/>
      <c r="G240" s="91"/>
      <c r="H240" s="91"/>
      <c r="I240" s="91"/>
      <c r="J240" s="91"/>
      <c r="K240" s="92"/>
      <c r="L240" s="90"/>
      <c r="M240" s="91"/>
      <c r="N240" s="91"/>
      <c r="O240" s="91"/>
      <c r="P240" s="91"/>
      <c r="Q240" s="91"/>
      <c r="R240" s="92"/>
      <c r="S240" s="90"/>
      <c r="T240" s="91"/>
      <c r="U240" s="91"/>
      <c r="V240" s="91"/>
      <c r="W240" s="91"/>
      <c r="X240" s="91"/>
      <c r="Y240" s="92"/>
      <c r="Z240" s="90"/>
      <c r="AA240" s="91"/>
      <c r="AB240" s="91"/>
      <c r="AC240" s="91"/>
      <c r="AD240" s="91"/>
      <c r="AE240" s="91"/>
      <c r="AF240" s="93"/>
      <c r="AG240" s="90"/>
      <c r="AH240" s="91"/>
      <c r="AI240" s="91"/>
      <c r="AJ240" s="91"/>
      <c r="AK240" s="91"/>
      <c r="AL240" s="91"/>
      <c r="AM240" s="93"/>
      <c r="AN240" s="90"/>
      <c r="AO240" s="91"/>
      <c r="AP240" s="91"/>
      <c r="AQ240" s="91"/>
      <c r="AR240" s="91"/>
      <c r="AS240" s="91"/>
      <c r="AT240" s="93"/>
      <c r="AU240" s="37">
        <f t="shared" si="67"/>
        <v>0</v>
      </c>
      <c r="AV240" s="37">
        <f t="shared" si="68"/>
        <v>0</v>
      </c>
      <c r="AW240" s="37">
        <f t="shared" si="69"/>
        <v>0</v>
      </c>
      <c r="AX240" s="37">
        <f t="shared" si="70"/>
        <v>0</v>
      </c>
      <c r="AY240" s="37">
        <f t="shared" si="71"/>
        <v>0</v>
      </c>
      <c r="AZ240" s="37">
        <f t="shared" si="72"/>
        <v>0</v>
      </c>
      <c r="BA240" s="20"/>
    </row>
    <row r="241" spans="1:53" ht="14.1" customHeight="1" x14ac:dyDescent="0.25">
      <c r="A241" s="89"/>
      <c r="B241" s="101" t="str" cm="1">
        <f t="array" ref="B241">_xlfn.IFNA(INDEX(Employees[Employment Type],MATCH(Schedule!A241:A241,Employees[Employee Names],0)),"")</f>
        <v/>
      </c>
      <c r="C241" s="101" t="str">
        <f>_xlfn.IFNA(INDEX(Employees[Employee Role],MATCH(Schedule!A241,Employees[Employee Names],0)),"")</f>
        <v/>
      </c>
      <c r="D241" s="103"/>
      <c r="E241" s="90"/>
      <c r="F241" s="91"/>
      <c r="G241" s="91"/>
      <c r="H241" s="91"/>
      <c r="I241" s="91"/>
      <c r="J241" s="91"/>
      <c r="K241" s="92"/>
      <c r="L241" s="90"/>
      <c r="M241" s="91"/>
      <c r="N241" s="91"/>
      <c r="O241" s="91"/>
      <c r="P241" s="91"/>
      <c r="Q241" s="91"/>
      <c r="R241" s="92"/>
      <c r="S241" s="90"/>
      <c r="T241" s="91"/>
      <c r="U241" s="91"/>
      <c r="V241" s="91"/>
      <c r="W241" s="91"/>
      <c r="X241" s="91"/>
      <c r="Y241" s="92"/>
      <c r="Z241" s="90"/>
      <c r="AA241" s="91"/>
      <c r="AB241" s="91"/>
      <c r="AC241" s="91"/>
      <c r="AD241" s="91"/>
      <c r="AE241" s="91"/>
      <c r="AF241" s="93"/>
      <c r="AG241" s="90"/>
      <c r="AH241" s="91"/>
      <c r="AI241" s="91"/>
      <c r="AJ241" s="91"/>
      <c r="AK241" s="91"/>
      <c r="AL241" s="91"/>
      <c r="AM241" s="93"/>
      <c r="AN241" s="90"/>
      <c r="AO241" s="91"/>
      <c r="AP241" s="91"/>
      <c r="AQ241" s="91"/>
      <c r="AR241" s="91"/>
      <c r="AS241" s="91"/>
      <c r="AT241" s="93"/>
      <c r="AU241" s="37">
        <f t="shared" si="67"/>
        <v>0</v>
      </c>
      <c r="AV241" s="37">
        <f t="shared" si="68"/>
        <v>0</v>
      </c>
      <c r="AW241" s="37">
        <f t="shared" si="69"/>
        <v>0</v>
      </c>
      <c r="AX241" s="37">
        <f t="shared" si="70"/>
        <v>0</v>
      </c>
      <c r="AY241" s="37">
        <f t="shared" si="71"/>
        <v>0</v>
      </c>
      <c r="AZ241" s="37">
        <f t="shared" si="72"/>
        <v>0</v>
      </c>
      <c r="BA241" s="20"/>
    </row>
    <row r="242" spans="1:53" ht="14.1" customHeight="1" x14ac:dyDescent="0.25">
      <c r="A242" s="89"/>
      <c r="B242" s="101" t="str" cm="1">
        <f t="array" ref="B242">_xlfn.IFNA(INDEX(Employees[Employment Type],MATCH(Schedule!A242:A242,Employees[Employee Names],0)),"")</f>
        <v/>
      </c>
      <c r="C242" s="101" t="str">
        <f>_xlfn.IFNA(INDEX(Employees[Employee Role],MATCH(Schedule!A242,Employees[Employee Names],0)),"")</f>
        <v/>
      </c>
      <c r="D242" s="103"/>
      <c r="E242" s="90"/>
      <c r="F242" s="91"/>
      <c r="G242" s="91"/>
      <c r="H242" s="91"/>
      <c r="I242" s="91"/>
      <c r="J242" s="91"/>
      <c r="K242" s="92"/>
      <c r="L242" s="90"/>
      <c r="M242" s="91"/>
      <c r="N242" s="91"/>
      <c r="O242" s="91"/>
      <c r="P242" s="91"/>
      <c r="Q242" s="91"/>
      <c r="R242" s="92"/>
      <c r="S242" s="90"/>
      <c r="T242" s="91"/>
      <c r="U242" s="91"/>
      <c r="V242" s="91"/>
      <c r="W242" s="91"/>
      <c r="X242" s="91"/>
      <c r="Y242" s="92"/>
      <c r="Z242" s="90"/>
      <c r="AA242" s="91"/>
      <c r="AB242" s="91"/>
      <c r="AC242" s="91"/>
      <c r="AD242" s="91"/>
      <c r="AE242" s="91"/>
      <c r="AF242" s="93"/>
      <c r="AG242" s="90"/>
      <c r="AH242" s="91"/>
      <c r="AI242" s="91"/>
      <c r="AJ242" s="91"/>
      <c r="AK242" s="91"/>
      <c r="AL242" s="91"/>
      <c r="AM242" s="93"/>
      <c r="AN242" s="90"/>
      <c r="AO242" s="91"/>
      <c r="AP242" s="91"/>
      <c r="AQ242" s="91"/>
      <c r="AR242" s="91"/>
      <c r="AS242" s="91"/>
      <c r="AT242" s="93"/>
      <c r="AU242" s="37">
        <f t="shared" si="67"/>
        <v>0</v>
      </c>
      <c r="AV242" s="37">
        <f t="shared" si="68"/>
        <v>0</v>
      </c>
      <c r="AW242" s="37">
        <f t="shared" si="69"/>
        <v>0</v>
      </c>
      <c r="AX242" s="37">
        <f t="shared" si="70"/>
        <v>0</v>
      </c>
      <c r="AY242" s="37">
        <f t="shared" si="71"/>
        <v>0</v>
      </c>
      <c r="AZ242" s="37">
        <f t="shared" si="72"/>
        <v>0</v>
      </c>
      <c r="BA242" s="20"/>
    </row>
    <row r="243" spans="1:53" ht="14.1" customHeight="1" x14ac:dyDescent="0.25">
      <c r="A243" s="89"/>
      <c r="B243" s="101" t="str" cm="1">
        <f t="array" ref="B243">_xlfn.IFNA(INDEX(Employees[Employment Type],MATCH(Schedule!A243:A243,Employees[Employee Names],0)),"")</f>
        <v/>
      </c>
      <c r="C243" s="101" t="str">
        <f>_xlfn.IFNA(INDEX(Employees[Employee Role],MATCH(Schedule!A243,Employees[Employee Names],0)),"")</f>
        <v/>
      </c>
      <c r="D243" s="103"/>
      <c r="E243" s="90"/>
      <c r="F243" s="91"/>
      <c r="G243" s="91"/>
      <c r="H243" s="91"/>
      <c r="I243" s="91"/>
      <c r="J243" s="91"/>
      <c r="K243" s="92"/>
      <c r="L243" s="90"/>
      <c r="M243" s="91"/>
      <c r="N243" s="91"/>
      <c r="O243" s="91"/>
      <c r="P243" s="91"/>
      <c r="Q243" s="91"/>
      <c r="R243" s="92"/>
      <c r="S243" s="90"/>
      <c r="T243" s="91"/>
      <c r="U243" s="91"/>
      <c r="V243" s="91"/>
      <c r="W243" s="91"/>
      <c r="X243" s="91"/>
      <c r="Y243" s="92"/>
      <c r="Z243" s="90"/>
      <c r="AA243" s="91"/>
      <c r="AB243" s="91"/>
      <c r="AC243" s="91"/>
      <c r="AD243" s="91"/>
      <c r="AE243" s="91"/>
      <c r="AF243" s="93"/>
      <c r="AG243" s="90"/>
      <c r="AH243" s="91"/>
      <c r="AI243" s="91"/>
      <c r="AJ243" s="91"/>
      <c r="AK243" s="91"/>
      <c r="AL243" s="91"/>
      <c r="AM243" s="93"/>
      <c r="AN243" s="90"/>
      <c r="AO243" s="91"/>
      <c r="AP243" s="91"/>
      <c r="AQ243" s="91"/>
      <c r="AR243" s="91"/>
      <c r="AS243" s="91"/>
      <c r="AT243" s="93"/>
      <c r="AU243" s="37">
        <f t="shared" si="67"/>
        <v>0</v>
      </c>
      <c r="AV243" s="37">
        <f t="shared" si="68"/>
        <v>0</v>
      </c>
      <c r="AW243" s="37">
        <f t="shared" si="69"/>
        <v>0</v>
      </c>
      <c r="AX243" s="37">
        <f t="shared" si="70"/>
        <v>0</v>
      </c>
      <c r="AY243" s="37">
        <f t="shared" si="71"/>
        <v>0</v>
      </c>
      <c r="AZ243" s="37">
        <f t="shared" si="72"/>
        <v>0</v>
      </c>
      <c r="BA243" s="20"/>
    </row>
    <row r="244" spans="1:53" ht="14.1" customHeight="1" x14ac:dyDescent="0.25">
      <c r="A244" s="89"/>
      <c r="B244" s="101" t="str" cm="1">
        <f t="array" ref="B244">_xlfn.IFNA(INDEX(Employees[Employment Type],MATCH(Schedule!A244:A244,Employees[Employee Names],0)),"")</f>
        <v/>
      </c>
      <c r="C244" s="101" t="str">
        <f>_xlfn.IFNA(INDEX(Employees[Employee Role],MATCH(Schedule!A244,Employees[Employee Names],0)),"")</f>
        <v/>
      </c>
      <c r="D244" s="103"/>
      <c r="E244" s="90"/>
      <c r="F244" s="91"/>
      <c r="G244" s="91"/>
      <c r="H244" s="91"/>
      <c r="I244" s="91"/>
      <c r="J244" s="91"/>
      <c r="K244" s="92"/>
      <c r="L244" s="90"/>
      <c r="M244" s="91"/>
      <c r="N244" s="91"/>
      <c r="O244" s="91"/>
      <c r="P244" s="91"/>
      <c r="Q244" s="91"/>
      <c r="R244" s="92"/>
      <c r="S244" s="90"/>
      <c r="T244" s="91"/>
      <c r="U244" s="91"/>
      <c r="V244" s="91"/>
      <c r="W244" s="91"/>
      <c r="X244" s="91"/>
      <c r="Y244" s="92"/>
      <c r="Z244" s="90"/>
      <c r="AA244" s="91"/>
      <c r="AB244" s="91"/>
      <c r="AC244" s="91"/>
      <c r="AD244" s="91"/>
      <c r="AE244" s="91"/>
      <c r="AF244" s="93"/>
      <c r="AG244" s="90"/>
      <c r="AH244" s="91"/>
      <c r="AI244" s="91"/>
      <c r="AJ244" s="91"/>
      <c r="AK244" s="91"/>
      <c r="AL244" s="91"/>
      <c r="AM244" s="93"/>
      <c r="AN244" s="90"/>
      <c r="AO244" s="91"/>
      <c r="AP244" s="91"/>
      <c r="AQ244" s="91"/>
      <c r="AR244" s="91"/>
      <c r="AS244" s="91"/>
      <c r="AT244" s="93"/>
      <c r="AU244" s="37">
        <f t="shared" si="67"/>
        <v>0</v>
      </c>
      <c r="AV244" s="37">
        <f t="shared" si="68"/>
        <v>0</v>
      </c>
      <c r="AW244" s="37">
        <f t="shared" si="69"/>
        <v>0</v>
      </c>
      <c r="AX244" s="37">
        <f t="shared" si="70"/>
        <v>0</v>
      </c>
      <c r="AY244" s="37">
        <f t="shared" si="71"/>
        <v>0</v>
      </c>
      <c r="AZ244" s="37">
        <f t="shared" si="72"/>
        <v>0</v>
      </c>
      <c r="BA244" s="20"/>
    </row>
    <row r="245" spans="1:53" ht="14.1" customHeight="1" x14ac:dyDescent="0.25">
      <c r="A245" s="89"/>
      <c r="B245" s="101" t="str" cm="1">
        <f t="array" ref="B245">_xlfn.IFNA(INDEX(Employees[Employment Type],MATCH(Schedule!A245:A245,Employees[Employee Names],0)),"")</f>
        <v/>
      </c>
      <c r="C245" s="101" t="str">
        <f>_xlfn.IFNA(INDEX(Employees[Employee Role],MATCH(Schedule!A245,Employees[Employee Names],0)),"")</f>
        <v/>
      </c>
      <c r="D245" s="103"/>
      <c r="E245" s="90"/>
      <c r="F245" s="91"/>
      <c r="G245" s="91"/>
      <c r="H245" s="91"/>
      <c r="I245" s="91"/>
      <c r="J245" s="91"/>
      <c r="K245" s="92"/>
      <c r="L245" s="90"/>
      <c r="M245" s="91"/>
      <c r="N245" s="91"/>
      <c r="O245" s="91"/>
      <c r="P245" s="91"/>
      <c r="Q245" s="91"/>
      <c r="R245" s="92"/>
      <c r="S245" s="90"/>
      <c r="T245" s="91"/>
      <c r="U245" s="91"/>
      <c r="V245" s="91"/>
      <c r="W245" s="91"/>
      <c r="X245" s="91"/>
      <c r="Y245" s="92"/>
      <c r="Z245" s="90"/>
      <c r="AA245" s="91"/>
      <c r="AB245" s="91"/>
      <c r="AC245" s="91"/>
      <c r="AD245" s="91"/>
      <c r="AE245" s="91"/>
      <c r="AF245" s="93"/>
      <c r="AG245" s="90"/>
      <c r="AH245" s="91"/>
      <c r="AI245" s="91"/>
      <c r="AJ245" s="91"/>
      <c r="AK245" s="91"/>
      <c r="AL245" s="91"/>
      <c r="AM245" s="93"/>
      <c r="AN245" s="90"/>
      <c r="AO245" s="91"/>
      <c r="AP245" s="91"/>
      <c r="AQ245" s="91"/>
      <c r="AR245" s="91"/>
      <c r="AS245" s="91"/>
      <c r="AT245" s="93"/>
      <c r="AU245" s="37">
        <f t="shared" si="67"/>
        <v>0</v>
      </c>
      <c r="AV245" s="37">
        <f t="shared" si="68"/>
        <v>0</v>
      </c>
      <c r="AW245" s="37">
        <f t="shared" si="69"/>
        <v>0</v>
      </c>
      <c r="AX245" s="37">
        <f t="shared" si="70"/>
        <v>0</v>
      </c>
      <c r="AY245" s="37">
        <f t="shared" si="71"/>
        <v>0</v>
      </c>
      <c r="AZ245" s="37">
        <f t="shared" si="72"/>
        <v>0</v>
      </c>
      <c r="BA245" s="20"/>
    </row>
    <row r="246" spans="1:53" ht="14.1" customHeight="1" x14ac:dyDescent="0.25">
      <c r="A246" s="89"/>
      <c r="B246" s="101" t="str" cm="1">
        <f t="array" ref="B246">_xlfn.IFNA(INDEX(Employees[Employment Type],MATCH(Schedule!A246:A246,Employees[Employee Names],0)),"")</f>
        <v/>
      </c>
      <c r="C246" s="101" t="str">
        <f>_xlfn.IFNA(INDEX(Employees[Employee Role],MATCH(Schedule!A246,Employees[Employee Names],0)),"")</f>
        <v/>
      </c>
      <c r="D246" s="103"/>
      <c r="E246" s="90"/>
      <c r="F246" s="91"/>
      <c r="G246" s="91"/>
      <c r="H246" s="91"/>
      <c r="I246" s="91"/>
      <c r="J246" s="91"/>
      <c r="K246" s="92"/>
      <c r="L246" s="90"/>
      <c r="M246" s="91"/>
      <c r="N246" s="91"/>
      <c r="O246" s="91"/>
      <c r="P246" s="91"/>
      <c r="Q246" s="91"/>
      <c r="R246" s="92"/>
      <c r="S246" s="90"/>
      <c r="T246" s="91"/>
      <c r="U246" s="91"/>
      <c r="V246" s="91"/>
      <c r="W246" s="91"/>
      <c r="X246" s="91"/>
      <c r="Y246" s="92"/>
      <c r="Z246" s="90"/>
      <c r="AA246" s="91"/>
      <c r="AB246" s="91"/>
      <c r="AC246" s="91"/>
      <c r="AD246" s="91"/>
      <c r="AE246" s="91"/>
      <c r="AF246" s="93"/>
      <c r="AG246" s="90"/>
      <c r="AH246" s="91"/>
      <c r="AI246" s="91"/>
      <c r="AJ246" s="91"/>
      <c r="AK246" s="91"/>
      <c r="AL246" s="91"/>
      <c r="AM246" s="93"/>
      <c r="AN246" s="90"/>
      <c r="AO246" s="91"/>
      <c r="AP246" s="91"/>
      <c r="AQ246" s="91"/>
      <c r="AR246" s="91"/>
      <c r="AS246" s="91"/>
      <c r="AT246" s="93"/>
      <c r="AU246" s="37">
        <f t="shared" si="67"/>
        <v>0</v>
      </c>
      <c r="AV246" s="37">
        <f t="shared" si="68"/>
        <v>0</v>
      </c>
      <c r="AW246" s="37">
        <f t="shared" si="69"/>
        <v>0</v>
      </c>
      <c r="AX246" s="37">
        <f t="shared" si="70"/>
        <v>0</v>
      </c>
      <c r="AY246" s="37">
        <f t="shared" si="71"/>
        <v>0</v>
      </c>
      <c r="AZ246" s="37">
        <f t="shared" si="72"/>
        <v>0</v>
      </c>
      <c r="BA246" s="20"/>
    </row>
    <row r="247" spans="1:53" ht="14.1" customHeight="1" x14ac:dyDescent="0.25">
      <c r="A247" s="89"/>
      <c r="B247" s="101" t="str" cm="1">
        <f t="array" ref="B247">_xlfn.IFNA(INDEX(Employees[Employment Type],MATCH(Schedule!A247:A247,Employees[Employee Names],0)),"")</f>
        <v/>
      </c>
      <c r="C247" s="101" t="str">
        <f>_xlfn.IFNA(INDEX(Employees[Employee Role],MATCH(Schedule!A247,Employees[Employee Names],0)),"")</f>
        <v/>
      </c>
      <c r="D247" s="103"/>
      <c r="E247" s="90"/>
      <c r="F247" s="91"/>
      <c r="G247" s="91"/>
      <c r="H247" s="91"/>
      <c r="I247" s="91"/>
      <c r="J247" s="91"/>
      <c r="K247" s="92"/>
      <c r="L247" s="90"/>
      <c r="M247" s="91"/>
      <c r="N247" s="91"/>
      <c r="O247" s="91"/>
      <c r="P247" s="91"/>
      <c r="Q247" s="91"/>
      <c r="R247" s="92"/>
      <c r="S247" s="90"/>
      <c r="T247" s="91"/>
      <c r="U247" s="91"/>
      <c r="V247" s="91"/>
      <c r="W247" s="91"/>
      <c r="X247" s="91"/>
      <c r="Y247" s="92"/>
      <c r="Z247" s="90"/>
      <c r="AA247" s="91"/>
      <c r="AB247" s="91"/>
      <c r="AC247" s="91"/>
      <c r="AD247" s="91"/>
      <c r="AE247" s="91"/>
      <c r="AF247" s="93"/>
      <c r="AG247" s="90"/>
      <c r="AH247" s="91"/>
      <c r="AI247" s="91"/>
      <c r="AJ247" s="91"/>
      <c r="AK247" s="91"/>
      <c r="AL247" s="91"/>
      <c r="AM247" s="93"/>
      <c r="AN247" s="90"/>
      <c r="AO247" s="91"/>
      <c r="AP247" s="91"/>
      <c r="AQ247" s="91"/>
      <c r="AR247" s="91"/>
      <c r="AS247" s="91"/>
      <c r="AT247" s="93"/>
      <c r="AU247" s="37">
        <f t="shared" si="67"/>
        <v>0</v>
      </c>
      <c r="AV247" s="37">
        <f t="shared" si="68"/>
        <v>0</v>
      </c>
      <c r="AW247" s="37">
        <f t="shared" si="69"/>
        <v>0</v>
      </c>
      <c r="AX247" s="37">
        <f t="shared" si="70"/>
        <v>0</v>
      </c>
      <c r="AY247" s="37">
        <f t="shared" si="71"/>
        <v>0</v>
      </c>
      <c r="AZ247" s="37">
        <f t="shared" si="72"/>
        <v>0</v>
      </c>
      <c r="BA247" s="20"/>
    </row>
    <row r="248" spans="1:53" ht="14.1" customHeight="1" x14ac:dyDescent="0.25">
      <c r="A248" s="89"/>
      <c r="B248" s="101" t="str" cm="1">
        <f t="array" ref="B248">_xlfn.IFNA(INDEX(Employees[Employment Type],MATCH(Schedule!A248:A248,Employees[Employee Names],0)),"")</f>
        <v/>
      </c>
      <c r="C248" s="101" t="str">
        <f>_xlfn.IFNA(INDEX(Employees[Employee Role],MATCH(Schedule!A248,Employees[Employee Names],0)),"")</f>
        <v/>
      </c>
      <c r="D248" s="103"/>
      <c r="E248" s="90"/>
      <c r="F248" s="91"/>
      <c r="G248" s="91"/>
      <c r="H248" s="91"/>
      <c r="I248" s="91"/>
      <c r="J248" s="91"/>
      <c r="K248" s="92"/>
      <c r="L248" s="90"/>
      <c r="M248" s="91"/>
      <c r="N248" s="91"/>
      <c r="O248" s="91"/>
      <c r="P248" s="91"/>
      <c r="Q248" s="91"/>
      <c r="R248" s="92"/>
      <c r="S248" s="90"/>
      <c r="T248" s="91"/>
      <c r="U248" s="91"/>
      <c r="V248" s="91"/>
      <c r="W248" s="91"/>
      <c r="X248" s="91"/>
      <c r="Y248" s="92"/>
      <c r="Z248" s="90"/>
      <c r="AA248" s="91"/>
      <c r="AB248" s="91"/>
      <c r="AC248" s="91"/>
      <c r="AD248" s="91"/>
      <c r="AE248" s="91"/>
      <c r="AF248" s="93"/>
      <c r="AG248" s="90"/>
      <c r="AH248" s="91"/>
      <c r="AI248" s="91"/>
      <c r="AJ248" s="91"/>
      <c r="AK248" s="91"/>
      <c r="AL248" s="91"/>
      <c r="AM248" s="93"/>
      <c r="AN248" s="90"/>
      <c r="AO248" s="91"/>
      <c r="AP248" s="91"/>
      <c r="AQ248" s="91"/>
      <c r="AR248" s="91"/>
      <c r="AS248" s="91"/>
      <c r="AT248" s="93"/>
      <c r="AU248" s="37">
        <f t="shared" si="67"/>
        <v>0</v>
      </c>
      <c r="AV248" s="37">
        <f t="shared" si="68"/>
        <v>0</v>
      </c>
      <c r="AW248" s="37">
        <f t="shared" si="69"/>
        <v>0</v>
      </c>
      <c r="AX248" s="37">
        <f t="shared" si="70"/>
        <v>0</v>
      </c>
      <c r="AY248" s="37">
        <f t="shared" si="71"/>
        <v>0</v>
      </c>
      <c r="AZ248" s="37">
        <f t="shared" si="72"/>
        <v>0</v>
      </c>
      <c r="BA248" s="20"/>
    </row>
    <row r="249" spans="1:53" ht="14.1" customHeight="1" x14ac:dyDescent="0.25">
      <c r="A249" s="89"/>
      <c r="B249" s="101" t="str" cm="1">
        <f t="array" ref="B249">_xlfn.IFNA(INDEX(Employees[Employment Type],MATCH(Schedule!A249:A249,Employees[Employee Names],0)),"")</f>
        <v/>
      </c>
      <c r="C249" s="101" t="str">
        <f>_xlfn.IFNA(INDEX(Employees[Employee Role],MATCH(Schedule!A249,Employees[Employee Names],0)),"")</f>
        <v/>
      </c>
      <c r="D249" s="103"/>
      <c r="E249" s="90"/>
      <c r="F249" s="91"/>
      <c r="G249" s="91"/>
      <c r="H249" s="91"/>
      <c r="I249" s="91"/>
      <c r="J249" s="91"/>
      <c r="K249" s="92"/>
      <c r="L249" s="90"/>
      <c r="M249" s="91"/>
      <c r="N249" s="91"/>
      <c r="O249" s="91"/>
      <c r="P249" s="91"/>
      <c r="Q249" s="91"/>
      <c r="R249" s="92"/>
      <c r="S249" s="90"/>
      <c r="T249" s="91"/>
      <c r="U249" s="91"/>
      <c r="V249" s="91"/>
      <c r="W249" s="91"/>
      <c r="X249" s="91"/>
      <c r="Y249" s="92"/>
      <c r="Z249" s="90"/>
      <c r="AA249" s="91"/>
      <c r="AB249" s="91"/>
      <c r="AC249" s="91"/>
      <c r="AD249" s="91"/>
      <c r="AE249" s="91"/>
      <c r="AF249" s="93"/>
      <c r="AG249" s="90"/>
      <c r="AH249" s="91"/>
      <c r="AI249" s="91"/>
      <c r="AJ249" s="91"/>
      <c r="AK249" s="91"/>
      <c r="AL249" s="91"/>
      <c r="AM249" s="93"/>
      <c r="AN249" s="90"/>
      <c r="AO249" s="91"/>
      <c r="AP249" s="91"/>
      <c r="AQ249" s="91"/>
      <c r="AR249" s="91"/>
      <c r="AS249" s="91"/>
      <c r="AT249" s="93"/>
      <c r="AU249" s="37">
        <f t="shared" si="67"/>
        <v>0</v>
      </c>
      <c r="AV249" s="37">
        <f t="shared" si="68"/>
        <v>0</v>
      </c>
      <c r="AW249" s="37">
        <f t="shared" si="69"/>
        <v>0</v>
      </c>
      <c r="AX249" s="37">
        <f t="shared" si="70"/>
        <v>0</v>
      </c>
      <c r="AY249" s="37">
        <f t="shared" si="71"/>
        <v>0</v>
      </c>
      <c r="AZ249" s="37">
        <f t="shared" si="72"/>
        <v>0</v>
      </c>
      <c r="BA249" s="20"/>
    </row>
    <row r="250" spans="1:53" ht="14.1" customHeight="1" x14ac:dyDescent="0.25">
      <c r="A250" s="89"/>
      <c r="B250" s="101" t="str" cm="1">
        <f t="array" ref="B250">_xlfn.IFNA(INDEX(Employees[Employment Type],MATCH(Schedule!A250:A250,Employees[Employee Names],0)),"")</f>
        <v/>
      </c>
      <c r="C250" s="101" t="str">
        <f>_xlfn.IFNA(INDEX(Employees[Employee Role],MATCH(Schedule!A250,Employees[Employee Names],0)),"")</f>
        <v/>
      </c>
      <c r="D250" s="103"/>
      <c r="E250" s="90"/>
      <c r="F250" s="91"/>
      <c r="G250" s="91"/>
      <c r="H250" s="91"/>
      <c r="I250" s="91"/>
      <c r="J250" s="91"/>
      <c r="K250" s="92"/>
      <c r="L250" s="90"/>
      <c r="M250" s="91"/>
      <c r="N250" s="91"/>
      <c r="O250" s="91"/>
      <c r="P250" s="91"/>
      <c r="Q250" s="91"/>
      <c r="R250" s="92"/>
      <c r="S250" s="90"/>
      <c r="T250" s="91"/>
      <c r="U250" s="91"/>
      <c r="V250" s="91"/>
      <c r="W250" s="91"/>
      <c r="X250" s="91"/>
      <c r="Y250" s="92"/>
      <c r="Z250" s="90"/>
      <c r="AA250" s="91"/>
      <c r="AB250" s="91"/>
      <c r="AC250" s="91"/>
      <c r="AD250" s="91"/>
      <c r="AE250" s="91"/>
      <c r="AF250" s="93"/>
      <c r="AG250" s="90"/>
      <c r="AH250" s="91"/>
      <c r="AI250" s="91"/>
      <c r="AJ250" s="91"/>
      <c r="AK250" s="91"/>
      <c r="AL250" s="91"/>
      <c r="AM250" s="93"/>
      <c r="AN250" s="90"/>
      <c r="AO250" s="91"/>
      <c r="AP250" s="91"/>
      <c r="AQ250" s="91"/>
      <c r="AR250" s="91"/>
      <c r="AS250" s="91"/>
      <c r="AT250" s="93"/>
      <c r="AU250" s="37">
        <f t="shared" si="67"/>
        <v>0</v>
      </c>
      <c r="AV250" s="37">
        <f t="shared" si="68"/>
        <v>0</v>
      </c>
      <c r="AW250" s="37">
        <f t="shared" si="69"/>
        <v>0</v>
      </c>
      <c r="AX250" s="37">
        <f t="shared" si="70"/>
        <v>0</v>
      </c>
      <c r="AY250" s="37">
        <f t="shared" si="71"/>
        <v>0</v>
      </c>
      <c r="AZ250" s="37">
        <f t="shared" si="72"/>
        <v>0</v>
      </c>
      <c r="BA250" s="20"/>
    </row>
    <row r="251" spans="1:53" ht="14.1" customHeight="1" x14ac:dyDescent="0.25">
      <c r="A251" s="89"/>
      <c r="B251" s="101" t="str" cm="1">
        <f t="array" ref="B251">_xlfn.IFNA(INDEX(Employees[Employment Type],MATCH(Schedule!A251:A251,Employees[Employee Names],0)),"")</f>
        <v/>
      </c>
      <c r="C251" s="101" t="str">
        <f>_xlfn.IFNA(INDEX(Employees[Employee Role],MATCH(Schedule!A251,Employees[Employee Names],0)),"")</f>
        <v/>
      </c>
      <c r="D251" s="103"/>
      <c r="E251" s="90"/>
      <c r="F251" s="91"/>
      <c r="G251" s="91"/>
      <c r="H251" s="91"/>
      <c r="I251" s="91"/>
      <c r="J251" s="91"/>
      <c r="K251" s="92"/>
      <c r="L251" s="90"/>
      <c r="M251" s="91"/>
      <c r="N251" s="91"/>
      <c r="O251" s="91"/>
      <c r="P251" s="91"/>
      <c r="Q251" s="91"/>
      <c r="R251" s="92"/>
      <c r="S251" s="90"/>
      <c r="T251" s="91"/>
      <c r="U251" s="91"/>
      <c r="V251" s="91"/>
      <c r="W251" s="91"/>
      <c r="X251" s="91"/>
      <c r="Y251" s="92"/>
      <c r="Z251" s="90"/>
      <c r="AA251" s="91"/>
      <c r="AB251" s="91"/>
      <c r="AC251" s="91"/>
      <c r="AD251" s="91"/>
      <c r="AE251" s="91"/>
      <c r="AF251" s="93"/>
      <c r="AG251" s="90"/>
      <c r="AH251" s="91"/>
      <c r="AI251" s="91"/>
      <c r="AJ251" s="91"/>
      <c r="AK251" s="91"/>
      <c r="AL251" s="91"/>
      <c r="AM251" s="93"/>
      <c r="AN251" s="90"/>
      <c r="AO251" s="91"/>
      <c r="AP251" s="91"/>
      <c r="AQ251" s="91"/>
      <c r="AR251" s="91"/>
      <c r="AS251" s="91"/>
      <c r="AT251" s="93"/>
      <c r="AU251" s="37">
        <f t="shared" si="67"/>
        <v>0</v>
      </c>
      <c r="AV251" s="37">
        <f t="shared" si="68"/>
        <v>0</v>
      </c>
      <c r="AW251" s="37">
        <f t="shared" si="69"/>
        <v>0</v>
      </c>
      <c r="AX251" s="37">
        <f t="shared" si="70"/>
        <v>0</v>
      </c>
      <c r="AY251" s="37">
        <f t="shared" si="71"/>
        <v>0</v>
      </c>
      <c r="AZ251" s="37">
        <f t="shared" si="72"/>
        <v>0</v>
      </c>
      <c r="BA251" s="20"/>
    </row>
    <row r="252" spans="1:53" ht="14.1" customHeight="1" x14ac:dyDescent="0.25">
      <c r="A252" s="89"/>
      <c r="B252" s="101" t="str" cm="1">
        <f t="array" ref="B252">_xlfn.IFNA(INDEX(Employees[Employment Type],MATCH(Schedule!A252:A252,Employees[Employee Names],0)),"")</f>
        <v/>
      </c>
      <c r="C252" s="101" t="str">
        <f>_xlfn.IFNA(INDEX(Employees[Employee Role],MATCH(Schedule!A252,Employees[Employee Names],0)),"")</f>
        <v/>
      </c>
      <c r="D252" s="103"/>
      <c r="E252" s="90"/>
      <c r="F252" s="91"/>
      <c r="G252" s="91"/>
      <c r="H252" s="91"/>
      <c r="I252" s="91"/>
      <c r="J252" s="91"/>
      <c r="K252" s="92"/>
      <c r="L252" s="90"/>
      <c r="M252" s="91"/>
      <c r="N252" s="91"/>
      <c r="O252" s="91"/>
      <c r="P252" s="91"/>
      <c r="Q252" s="91"/>
      <c r="R252" s="92"/>
      <c r="S252" s="90"/>
      <c r="T252" s="91"/>
      <c r="U252" s="91"/>
      <c r="V252" s="91"/>
      <c r="W252" s="91"/>
      <c r="X252" s="91"/>
      <c r="Y252" s="92"/>
      <c r="Z252" s="90"/>
      <c r="AA252" s="91"/>
      <c r="AB252" s="91"/>
      <c r="AC252" s="91"/>
      <c r="AD252" s="91"/>
      <c r="AE252" s="91"/>
      <c r="AF252" s="93"/>
      <c r="AG252" s="90"/>
      <c r="AH252" s="91"/>
      <c r="AI252" s="91"/>
      <c r="AJ252" s="91"/>
      <c r="AK252" s="91"/>
      <c r="AL252" s="91"/>
      <c r="AM252" s="93"/>
      <c r="AN252" s="90"/>
      <c r="AO252" s="91"/>
      <c r="AP252" s="91"/>
      <c r="AQ252" s="91"/>
      <c r="AR252" s="91"/>
      <c r="AS252" s="91"/>
      <c r="AT252" s="93"/>
      <c r="AU252" s="37">
        <f t="shared" si="67"/>
        <v>0</v>
      </c>
      <c r="AV252" s="37">
        <f t="shared" si="68"/>
        <v>0</v>
      </c>
      <c r="AW252" s="37">
        <f t="shared" si="69"/>
        <v>0</v>
      </c>
      <c r="AX252" s="37">
        <f t="shared" si="70"/>
        <v>0</v>
      </c>
      <c r="AY252" s="37">
        <f t="shared" si="71"/>
        <v>0</v>
      </c>
      <c r="AZ252" s="37">
        <f t="shared" si="72"/>
        <v>0</v>
      </c>
      <c r="BA252" s="20"/>
    </row>
    <row r="253" spans="1:53" ht="14.1" customHeight="1" x14ac:dyDescent="0.25">
      <c r="A253" s="89"/>
      <c r="B253" s="101" t="str" cm="1">
        <f t="array" ref="B253">_xlfn.IFNA(INDEX(Employees[Employment Type],MATCH(Schedule!A253:A253,Employees[Employee Names],0)),"")</f>
        <v/>
      </c>
      <c r="C253" s="101" t="str">
        <f>_xlfn.IFNA(INDEX(Employees[Employee Role],MATCH(Schedule!A253,Employees[Employee Names],0)),"")</f>
        <v/>
      </c>
      <c r="D253" s="103"/>
      <c r="E253" s="90"/>
      <c r="F253" s="91"/>
      <c r="G253" s="91"/>
      <c r="H253" s="91"/>
      <c r="I253" s="91"/>
      <c r="J253" s="91"/>
      <c r="K253" s="92"/>
      <c r="L253" s="90"/>
      <c r="M253" s="91"/>
      <c r="N253" s="91"/>
      <c r="O253" s="91"/>
      <c r="P253" s="91"/>
      <c r="Q253" s="91"/>
      <c r="R253" s="92"/>
      <c r="S253" s="90"/>
      <c r="T253" s="91"/>
      <c r="U253" s="91"/>
      <c r="V253" s="91"/>
      <c r="W253" s="91"/>
      <c r="X253" s="91"/>
      <c r="Y253" s="92"/>
      <c r="Z253" s="90"/>
      <c r="AA253" s="91"/>
      <c r="AB253" s="91"/>
      <c r="AC253" s="91"/>
      <c r="AD253" s="91"/>
      <c r="AE253" s="91"/>
      <c r="AF253" s="93"/>
      <c r="AG253" s="90"/>
      <c r="AH253" s="91"/>
      <c r="AI253" s="91"/>
      <c r="AJ253" s="91"/>
      <c r="AK253" s="91"/>
      <c r="AL253" s="91"/>
      <c r="AM253" s="93"/>
      <c r="AN253" s="90"/>
      <c r="AO253" s="91"/>
      <c r="AP253" s="91"/>
      <c r="AQ253" s="91"/>
      <c r="AR253" s="91"/>
      <c r="AS253" s="91"/>
      <c r="AT253" s="93"/>
      <c r="AU253" s="37">
        <f t="shared" si="67"/>
        <v>0</v>
      </c>
      <c r="AV253" s="37">
        <f t="shared" si="68"/>
        <v>0</v>
      </c>
      <c r="AW253" s="37">
        <f t="shared" si="69"/>
        <v>0</v>
      </c>
      <c r="AX253" s="37">
        <f t="shared" si="70"/>
        <v>0</v>
      </c>
      <c r="AY253" s="37">
        <f t="shared" si="71"/>
        <v>0</v>
      </c>
      <c r="AZ253" s="37">
        <f t="shared" si="72"/>
        <v>0</v>
      </c>
      <c r="BA253" s="20"/>
    </row>
    <row r="254" spans="1:53" ht="14.1" customHeight="1" x14ac:dyDescent="0.25">
      <c r="A254" s="89"/>
      <c r="B254" s="101" t="str" cm="1">
        <f t="array" ref="B254">_xlfn.IFNA(INDEX(Employees[Employment Type],MATCH(Schedule!A254:A254,Employees[Employee Names],0)),"")</f>
        <v/>
      </c>
      <c r="C254" s="101" t="str">
        <f>_xlfn.IFNA(INDEX(Employees[Employee Role],MATCH(Schedule!A254,Employees[Employee Names],0)),"")</f>
        <v/>
      </c>
      <c r="D254" s="103"/>
      <c r="E254" s="90"/>
      <c r="F254" s="91"/>
      <c r="G254" s="91"/>
      <c r="H254" s="91"/>
      <c r="I254" s="91"/>
      <c r="J254" s="91"/>
      <c r="K254" s="92"/>
      <c r="L254" s="90"/>
      <c r="M254" s="91"/>
      <c r="N254" s="91"/>
      <c r="O254" s="91"/>
      <c r="P254" s="91"/>
      <c r="Q254" s="91"/>
      <c r="R254" s="92"/>
      <c r="S254" s="90"/>
      <c r="T254" s="91"/>
      <c r="U254" s="91"/>
      <c r="V254" s="91"/>
      <c r="W254" s="91"/>
      <c r="X254" s="91"/>
      <c r="Y254" s="92"/>
      <c r="Z254" s="90"/>
      <c r="AA254" s="91"/>
      <c r="AB254" s="91"/>
      <c r="AC254" s="91"/>
      <c r="AD254" s="91"/>
      <c r="AE254" s="91"/>
      <c r="AF254" s="93"/>
      <c r="AG254" s="90"/>
      <c r="AH254" s="91"/>
      <c r="AI254" s="91"/>
      <c r="AJ254" s="91"/>
      <c r="AK254" s="91"/>
      <c r="AL254" s="91"/>
      <c r="AM254" s="93"/>
      <c r="AN254" s="90"/>
      <c r="AO254" s="91"/>
      <c r="AP254" s="91"/>
      <c r="AQ254" s="91"/>
      <c r="AR254" s="91"/>
      <c r="AS254" s="91"/>
      <c r="AT254" s="93"/>
      <c r="AU254" s="37">
        <f t="shared" si="67"/>
        <v>0</v>
      </c>
      <c r="AV254" s="37">
        <f t="shared" si="68"/>
        <v>0</v>
      </c>
      <c r="AW254" s="37">
        <f t="shared" si="69"/>
        <v>0</v>
      </c>
      <c r="AX254" s="37">
        <f t="shared" si="70"/>
        <v>0</v>
      </c>
      <c r="AY254" s="37">
        <f t="shared" si="71"/>
        <v>0</v>
      </c>
      <c r="AZ254" s="37">
        <f t="shared" si="72"/>
        <v>0</v>
      </c>
      <c r="BA254" s="20"/>
    </row>
    <row r="255" spans="1:53" ht="14.1" customHeight="1" x14ac:dyDescent="0.25">
      <c r="A255" s="89"/>
      <c r="B255" s="101" t="str" cm="1">
        <f t="array" ref="B255">_xlfn.IFNA(INDEX(Employees[Employment Type],MATCH(Schedule!A255:A255,Employees[Employee Names],0)),"")</f>
        <v/>
      </c>
      <c r="C255" s="101" t="str">
        <f>_xlfn.IFNA(INDEX(Employees[Employee Role],MATCH(Schedule!A255,Employees[Employee Names],0)),"")</f>
        <v/>
      </c>
      <c r="D255" s="103"/>
      <c r="E255" s="90"/>
      <c r="F255" s="91"/>
      <c r="G255" s="91"/>
      <c r="H255" s="91"/>
      <c r="I255" s="91"/>
      <c r="J255" s="91"/>
      <c r="K255" s="92"/>
      <c r="L255" s="90"/>
      <c r="M255" s="91"/>
      <c r="N255" s="91"/>
      <c r="O255" s="91"/>
      <c r="P255" s="91"/>
      <c r="Q255" s="91"/>
      <c r="R255" s="92"/>
      <c r="S255" s="90"/>
      <c r="T255" s="91"/>
      <c r="U255" s="91"/>
      <c r="V255" s="91"/>
      <c r="W255" s="91"/>
      <c r="X255" s="91"/>
      <c r="Y255" s="92"/>
      <c r="Z255" s="90"/>
      <c r="AA255" s="91"/>
      <c r="AB255" s="91"/>
      <c r="AC255" s="91"/>
      <c r="AD255" s="91"/>
      <c r="AE255" s="91"/>
      <c r="AF255" s="93"/>
      <c r="AG255" s="90"/>
      <c r="AH255" s="91"/>
      <c r="AI255" s="91"/>
      <c r="AJ255" s="91"/>
      <c r="AK255" s="91"/>
      <c r="AL255" s="91"/>
      <c r="AM255" s="93"/>
      <c r="AN255" s="90"/>
      <c r="AO255" s="91"/>
      <c r="AP255" s="91"/>
      <c r="AQ255" s="91"/>
      <c r="AR255" s="91"/>
      <c r="AS255" s="91"/>
      <c r="AT255" s="93"/>
      <c r="AU255" s="37">
        <f t="shared" si="67"/>
        <v>0</v>
      </c>
      <c r="AV255" s="37">
        <f t="shared" si="68"/>
        <v>0</v>
      </c>
      <c r="AW255" s="37">
        <f t="shared" si="69"/>
        <v>0</v>
      </c>
      <c r="AX255" s="37">
        <f t="shared" si="70"/>
        <v>0</v>
      </c>
      <c r="AY255" s="37">
        <f t="shared" si="71"/>
        <v>0</v>
      </c>
      <c r="AZ255" s="37">
        <f t="shared" si="72"/>
        <v>0</v>
      </c>
      <c r="BA255" s="20"/>
    </row>
    <row r="256" spans="1:53" ht="14.1" customHeight="1" x14ac:dyDescent="0.25">
      <c r="A256" s="89"/>
      <c r="B256" s="101" t="str" cm="1">
        <f t="array" ref="B256">_xlfn.IFNA(INDEX(Employees[Employment Type],MATCH(Schedule!A256:A256,Employees[Employee Names],0)),"")</f>
        <v/>
      </c>
      <c r="C256" s="101" t="str">
        <f>_xlfn.IFNA(INDEX(Employees[Employee Role],MATCH(Schedule!A256,Employees[Employee Names],0)),"")</f>
        <v/>
      </c>
      <c r="D256" s="103"/>
      <c r="E256" s="90"/>
      <c r="F256" s="91"/>
      <c r="G256" s="91"/>
      <c r="H256" s="91"/>
      <c r="I256" s="91"/>
      <c r="J256" s="91"/>
      <c r="K256" s="92"/>
      <c r="L256" s="90"/>
      <c r="M256" s="91"/>
      <c r="N256" s="91"/>
      <c r="O256" s="91"/>
      <c r="P256" s="91"/>
      <c r="Q256" s="91"/>
      <c r="R256" s="92"/>
      <c r="S256" s="90"/>
      <c r="T256" s="91"/>
      <c r="U256" s="91"/>
      <c r="V256" s="91"/>
      <c r="W256" s="91"/>
      <c r="X256" s="91"/>
      <c r="Y256" s="92"/>
      <c r="Z256" s="90"/>
      <c r="AA256" s="91"/>
      <c r="AB256" s="91"/>
      <c r="AC256" s="91"/>
      <c r="AD256" s="91"/>
      <c r="AE256" s="91"/>
      <c r="AF256" s="93"/>
      <c r="AG256" s="90"/>
      <c r="AH256" s="91"/>
      <c r="AI256" s="91"/>
      <c r="AJ256" s="91"/>
      <c r="AK256" s="91"/>
      <c r="AL256" s="91"/>
      <c r="AM256" s="93"/>
      <c r="AN256" s="90"/>
      <c r="AO256" s="91"/>
      <c r="AP256" s="91"/>
      <c r="AQ256" s="91"/>
      <c r="AR256" s="91"/>
      <c r="AS256" s="91"/>
      <c r="AT256" s="93"/>
      <c r="AU256" s="37">
        <f t="shared" si="67"/>
        <v>0</v>
      </c>
      <c r="AV256" s="37">
        <f t="shared" si="68"/>
        <v>0</v>
      </c>
      <c r="AW256" s="37">
        <f t="shared" si="69"/>
        <v>0</v>
      </c>
      <c r="AX256" s="37">
        <f t="shared" si="70"/>
        <v>0</v>
      </c>
      <c r="AY256" s="37">
        <f t="shared" si="71"/>
        <v>0</v>
      </c>
      <c r="AZ256" s="37">
        <f t="shared" si="72"/>
        <v>0</v>
      </c>
      <c r="BA256" s="20"/>
    </row>
    <row r="257" spans="1:53" ht="14.1" customHeight="1" x14ac:dyDescent="0.25">
      <c r="A257" s="89"/>
      <c r="B257" s="101" t="str" cm="1">
        <f t="array" ref="B257">_xlfn.IFNA(INDEX(Employees[Employment Type],MATCH(Schedule!A257:A257,Employees[Employee Names],0)),"")</f>
        <v/>
      </c>
      <c r="C257" s="101" t="str">
        <f>_xlfn.IFNA(INDEX(Employees[Employee Role],MATCH(Schedule!A257,Employees[Employee Names],0)),"")</f>
        <v/>
      </c>
      <c r="D257" s="103"/>
      <c r="E257" s="90"/>
      <c r="F257" s="91"/>
      <c r="G257" s="91"/>
      <c r="H257" s="91"/>
      <c r="I257" s="91"/>
      <c r="J257" s="91"/>
      <c r="K257" s="92"/>
      <c r="L257" s="90"/>
      <c r="M257" s="91"/>
      <c r="N257" s="91"/>
      <c r="O257" s="91"/>
      <c r="P257" s="91"/>
      <c r="Q257" s="91"/>
      <c r="R257" s="92"/>
      <c r="S257" s="90"/>
      <c r="T257" s="91"/>
      <c r="U257" s="91"/>
      <c r="V257" s="91"/>
      <c r="W257" s="91"/>
      <c r="X257" s="91"/>
      <c r="Y257" s="92"/>
      <c r="Z257" s="90"/>
      <c r="AA257" s="91"/>
      <c r="AB257" s="91"/>
      <c r="AC257" s="91"/>
      <c r="AD257" s="91"/>
      <c r="AE257" s="91"/>
      <c r="AF257" s="93"/>
      <c r="AG257" s="90"/>
      <c r="AH257" s="91"/>
      <c r="AI257" s="91"/>
      <c r="AJ257" s="91"/>
      <c r="AK257" s="91"/>
      <c r="AL257" s="91"/>
      <c r="AM257" s="93"/>
      <c r="AN257" s="90"/>
      <c r="AO257" s="91"/>
      <c r="AP257" s="91"/>
      <c r="AQ257" s="91"/>
      <c r="AR257" s="91"/>
      <c r="AS257" s="91"/>
      <c r="AT257" s="93"/>
      <c r="AU257" s="37">
        <f t="shared" si="67"/>
        <v>0</v>
      </c>
      <c r="AV257" s="37">
        <f t="shared" si="68"/>
        <v>0</v>
      </c>
      <c r="AW257" s="37">
        <f t="shared" si="69"/>
        <v>0</v>
      </c>
      <c r="AX257" s="37">
        <f t="shared" si="70"/>
        <v>0</v>
      </c>
      <c r="AY257" s="37">
        <f t="shared" si="71"/>
        <v>0</v>
      </c>
      <c r="AZ257" s="37">
        <f t="shared" si="72"/>
        <v>0</v>
      </c>
      <c r="BA257" s="20"/>
    </row>
    <row r="258" spans="1:53" ht="14.1" customHeight="1" x14ac:dyDescent="0.25">
      <c r="A258" s="89"/>
      <c r="B258" s="101" t="str" cm="1">
        <f t="array" ref="B258">_xlfn.IFNA(INDEX(Employees[Employment Type],MATCH(Schedule!A258:A258,Employees[Employee Names],0)),"")</f>
        <v/>
      </c>
      <c r="C258" s="101" t="str">
        <f>_xlfn.IFNA(INDEX(Employees[Employee Role],MATCH(Schedule!A258,Employees[Employee Names],0)),"")</f>
        <v/>
      </c>
      <c r="D258" s="103"/>
      <c r="E258" s="90"/>
      <c r="F258" s="91"/>
      <c r="G258" s="91"/>
      <c r="H258" s="91"/>
      <c r="I258" s="91"/>
      <c r="J258" s="91"/>
      <c r="K258" s="92"/>
      <c r="L258" s="90"/>
      <c r="M258" s="91"/>
      <c r="N258" s="91"/>
      <c r="O258" s="91"/>
      <c r="P258" s="91"/>
      <c r="Q258" s="91"/>
      <c r="R258" s="92"/>
      <c r="S258" s="90"/>
      <c r="T258" s="91"/>
      <c r="U258" s="91"/>
      <c r="V258" s="91"/>
      <c r="W258" s="91"/>
      <c r="X258" s="91"/>
      <c r="Y258" s="92"/>
      <c r="Z258" s="90"/>
      <c r="AA258" s="91"/>
      <c r="AB258" s="91"/>
      <c r="AC258" s="91"/>
      <c r="AD258" s="91"/>
      <c r="AE258" s="91"/>
      <c r="AF258" s="93"/>
      <c r="AG258" s="90"/>
      <c r="AH258" s="91"/>
      <c r="AI258" s="91"/>
      <c r="AJ258" s="91"/>
      <c r="AK258" s="91"/>
      <c r="AL258" s="91"/>
      <c r="AM258" s="93"/>
      <c r="AN258" s="90"/>
      <c r="AO258" s="91"/>
      <c r="AP258" s="91"/>
      <c r="AQ258" s="91"/>
      <c r="AR258" s="91"/>
      <c r="AS258" s="91"/>
      <c r="AT258" s="93"/>
      <c r="AU258" s="37">
        <f t="shared" si="67"/>
        <v>0</v>
      </c>
      <c r="AV258" s="37">
        <f t="shared" si="68"/>
        <v>0</v>
      </c>
      <c r="AW258" s="37">
        <f t="shared" si="69"/>
        <v>0</v>
      </c>
      <c r="AX258" s="37">
        <f t="shared" si="70"/>
        <v>0</v>
      </c>
      <c r="AY258" s="37">
        <f t="shared" si="71"/>
        <v>0</v>
      </c>
      <c r="AZ258" s="37">
        <f t="shared" si="72"/>
        <v>0</v>
      </c>
      <c r="BA258" s="20"/>
    </row>
    <row r="259" spans="1:53" ht="14.1" customHeight="1" x14ac:dyDescent="0.25">
      <c r="A259" s="89"/>
      <c r="B259" s="101" t="str" cm="1">
        <f t="array" ref="B259">_xlfn.IFNA(INDEX(Employees[Employment Type],MATCH(Schedule!A259:A259,Employees[Employee Names],0)),"")</f>
        <v/>
      </c>
      <c r="C259" s="101" t="str">
        <f>_xlfn.IFNA(INDEX(Employees[Employee Role],MATCH(Schedule!A259,Employees[Employee Names],0)),"")</f>
        <v/>
      </c>
      <c r="D259" s="103"/>
      <c r="E259" s="90"/>
      <c r="F259" s="91"/>
      <c r="G259" s="91"/>
      <c r="H259" s="91"/>
      <c r="I259" s="91"/>
      <c r="J259" s="91"/>
      <c r="K259" s="92"/>
      <c r="L259" s="90"/>
      <c r="M259" s="91"/>
      <c r="N259" s="91"/>
      <c r="O259" s="91"/>
      <c r="P259" s="91"/>
      <c r="Q259" s="91"/>
      <c r="R259" s="92"/>
      <c r="S259" s="90"/>
      <c r="T259" s="91"/>
      <c r="U259" s="91"/>
      <c r="V259" s="91"/>
      <c r="W259" s="91"/>
      <c r="X259" s="91"/>
      <c r="Y259" s="92"/>
      <c r="Z259" s="90"/>
      <c r="AA259" s="91"/>
      <c r="AB259" s="91"/>
      <c r="AC259" s="91"/>
      <c r="AD259" s="91"/>
      <c r="AE259" s="91"/>
      <c r="AF259" s="93"/>
      <c r="AG259" s="90"/>
      <c r="AH259" s="91"/>
      <c r="AI259" s="91"/>
      <c r="AJ259" s="91"/>
      <c r="AK259" s="91"/>
      <c r="AL259" s="91"/>
      <c r="AM259" s="93"/>
      <c r="AN259" s="90"/>
      <c r="AO259" s="91"/>
      <c r="AP259" s="91"/>
      <c r="AQ259" s="91"/>
      <c r="AR259" s="91"/>
      <c r="AS259" s="91"/>
      <c r="AT259" s="93"/>
      <c r="AU259" s="37">
        <f t="shared" si="67"/>
        <v>0</v>
      </c>
      <c r="AV259" s="37">
        <f t="shared" si="68"/>
        <v>0</v>
      </c>
      <c r="AW259" s="37">
        <f t="shared" si="69"/>
        <v>0</v>
      </c>
      <c r="AX259" s="37">
        <f t="shared" si="70"/>
        <v>0</v>
      </c>
      <c r="AY259" s="37">
        <f t="shared" si="71"/>
        <v>0</v>
      </c>
      <c r="AZ259" s="37">
        <f t="shared" si="72"/>
        <v>0</v>
      </c>
      <c r="BA259" s="20"/>
    </row>
    <row r="260" spans="1:53" ht="14.1" customHeight="1" x14ac:dyDescent="0.25">
      <c r="A260" s="89"/>
      <c r="B260" s="101" t="str" cm="1">
        <f t="array" ref="B260">_xlfn.IFNA(INDEX(Employees[Employment Type],MATCH(Schedule!A260:A260,Employees[Employee Names],0)),"")</f>
        <v/>
      </c>
      <c r="C260" s="101" t="str">
        <f>_xlfn.IFNA(INDEX(Employees[Employee Role],MATCH(Schedule!A260,Employees[Employee Names],0)),"")</f>
        <v/>
      </c>
      <c r="D260" s="103"/>
      <c r="E260" s="90"/>
      <c r="F260" s="91"/>
      <c r="G260" s="91"/>
      <c r="H260" s="91"/>
      <c r="I260" s="91"/>
      <c r="J260" s="91"/>
      <c r="K260" s="92"/>
      <c r="L260" s="90"/>
      <c r="M260" s="91"/>
      <c r="N260" s="91"/>
      <c r="O260" s="91"/>
      <c r="P260" s="91"/>
      <c r="Q260" s="91"/>
      <c r="R260" s="92"/>
      <c r="S260" s="90"/>
      <c r="T260" s="91"/>
      <c r="U260" s="91"/>
      <c r="V260" s="91"/>
      <c r="W260" s="91"/>
      <c r="X260" s="91"/>
      <c r="Y260" s="92"/>
      <c r="Z260" s="90"/>
      <c r="AA260" s="91"/>
      <c r="AB260" s="91"/>
      <c r="AC260" s="91"/>
      <c r="AD260" s="91"/>
      <c r="AE260" s="91"/>
      <c r="AF260" s="93"/>
      <c r="AG260" s="90"/>
      <c r="AH260" s="91"/>
      <c r="AI260" s="91"/>
      <c r="AJ260" s="91"/>
      <c r="AK260" s="91"/>
      <c r="AL260" s="91"/>
      <c r="AM260" s="93"/>
      <c r="AN260" s="90"/>
      <c r="AO260" s="91"/>
      <c r="AP260" s="91"/>
      <c r="AQ260" s="91"/>
      <c r="AR260" s="91"/>
      <c r="AS260" s="91"/>
      <c r="AT260" s="93"/>
      <c r="AU260" s="37">
        <f t="shared" si="67"/>
        <v>0</v>
      </c>
      <c r="AV260" s="37">
        <f t="shared" si="68"/>
        <v>0</v>
      </c>
      <c r="AW260" s="37">
        <f t="shared" si="69"/>
        <v>0</v>
      </c>
      <c r="AX260" s="37">
        <f t="shared" si="70"/>
        <v>0</v>
      </c>
      <c r="AY260" s="37">
        <f t="shared" si="71"/>
        <v>0</v>
      </c>
      <c r="AZ260" s="37">
        <f t="shared" si="72"/>
        <v>0</v>
      </c>
      <c r="BA260" s="20"/>
    </row>
    <row r="261" spans="1:53" ht="14.1" customHeight="1" x14ac:dyDescent="0.25">
      <c r="A261" s="89"/>
      <c r="B261" s="101" t="str" cm="1">
        <f t="array" ref="B261">_xlfn.IFNA(INDEX(Employees[Employment Type],MATCH(Schedule!A261:A261,Employees[Employee Names],0)),"")</f>
        <v/>
      </c>
      <c r="C261" s="101" t="str">
        <f>_xlfn.IFNA(INDEX(Employees[Employee Role],MATCH(Schedule!A261,Employees[Employee Names],0)),"")</f>
        <v/>
      </c>
      <c r="D261" s="103"/>
      <c r="E261" s="90"/>
      <c r="F261" s="91"/>
      <c r="G261" s="91"/>
      <c r="H261" s="91"/>
      <c r="I261" s="91"/>
      <c r="J261" s="91"/>
      <c r="K261" s="92"/>
      <c r="L261" s="90"/>
      <c r="M261" s="91"/>
      <c r="N261" s="91"/>
      <c r="O261" s="91"/>
      <c r="P261" s="91"/>
      <c r="Q261" s="91"/>
      <c r="R261" s="92"/>
      <c r="S261" s="90"/>
      <c r="T261" s="91"/>
      <c r="U261" s="91"/>
      <c r="V261" s="91"/>
      <c r="W261" s="91"/>
      <c r="X261" s="91"/>
      <c r="Y261" s="92"/>
      <c r="Z261" s="90"/>
      <c r="AA261" s="91"/>
      <c r="AB261" s="91"/>
      <c r="AC261" s="91"/>
      <c r="AD261" s="91"/>
      <c r="AE261" s="91"/>
      <c r="AF261" s="93"/>
      <c r="AG261" s="90"/>
      <c r="AH261" s="91"/>
      <c r="AI261" s="91"/>
      <c r="AJ261" s="91"/>
      <c r="AK261" s="91"/>
      <c r="AL261" s="91"/>
      <c r="AM261" s="93"/>
      <c r="AN261" s="90"/>
      <c r="AO261" s="91"/>
      <c r="AP261" s="91"/>
      <c r="AQ261" s="91"/>
      <c r="AR261" s="91"/>
      <c r="AS261" s="91"/>
      <c r="AT261" s="93"/>
      <c r="AU261" s="37">
        <f t="shared" si="67"/>
        <v>0</v>
      </c>
      <c r="AV261" s="37">
        <f t="shared" si="68"/>
        <v>0</v>
      </c>
      <c r="AW261" s="37">
        <f t="shared" si="69"/>
        <v>0</v>
      </c>
      <c r="AX261" s="37">
        <f t="shared" si="70"/>
        <v>0</v>
      </c>
      <c r="AY261" s="37">
        <f t="shared" si="71"/>
        <v>0</v>
      </c>
      <c r="AZ261" s="37">
        <f t="shared" si="72"/>
        <v>0</v>
      </c>
      <c r="BA261" s="20"/>
    </row>
    <row r="262" spans="1:53" ht="14.1" customHeight="1" x14ac:dyDescent="0.25">
      <c r="A262" s="89"/>
      <c r="B262" s="101" t="str" cm="1">
        <f t="array" ref="B262">_xlfn.IFNA(INDEX(Employees[Employment Type],MATCH(Schedule!A262:A262,Employees[Employee Names],0)),"")</f>
        <v/>
      </c>
      <c r="C262" s="101" t="str">
        <f>_xlfn.IFNA(INDEX(Employees[Employee Role],MATCH(Schedule!A262,Employees[Employee Names],0)),"")</f>
        <v/>
      </c>
      <c r="D262" s="103"/>
      <c r="E262" s="90"/>
      <c r="F262" s="91"/>
      <c r="G262" s="91"/>
      <c r="H262" s="91"/>
      <c r="I262" s="91"/>
      <c r="J262" s="91"/>
      <c r="K262" s="92"/>
      <c r="L262" s="90"/>
      <c r="M262" s="91"/>
      <c r="N262" s="91"/>
      <c r="O262" s="91"/>
      <c r="P262" s="91"/>
      <c r="Q262" s="91"/>
      <c r="R262" s="92"/>
      <c r="S262" s="90"/>
      <c r="T262" s="91"/>
      <c r="U262" s="91"/>
      <c r="V262" s="91"/>
      <c r="W262" s="91"/>
      <c r="X262" s="91"/>
      <c r="Y262" s="92"/>
      <c r="Z262" s="90"/>
      <c r="AA262" s="91"/>
      <c r="AB262" s="91"/>
      <c r="AC262" s="91"/>
      <c r="AD262" s="91"/>
      <c r="AE262" s="91"/>
      <c r="AF262" s="93"/>
      <c r="AG262" s="90"/>
      <c r="AH262" s="91"/>
      <c r="AI262" s="91"/>
      <c r="AJ262" s="91"/>
      <c r="AK262" s="91"/>
      <c r="AL262" s="91"/>
      <c r="AM262" s="93"/>
      <c r="AN262" s="90"/>
      <c r="AO262" s="91"/>
      <c r="AP262" s="91"/>
      <c r="AQ262" s="91"/>
      <c r="AR262" s="91"/>
      <c r="AS262" s="91"/>
      <c r="AT262" s="93"/>
      <c r="AU262" s="37">
        <f t="shared" si="67"/>
        <v>0</v>
      </c>
      <c r="AV262" s="37">
        <f t="shared" si="68"/>
        <v>0</v>
      </c>
      <c r="AW262" s="37">
        <f t="shared" si="69"/>
        <v>0</v>
      </c>
      <c r="AX262" s="37">
        <f t="shared" si="70"/>
        <v>0</v>
      </c>
      <c r="AY262" s="37">
        <f t="shared" si="71"/>
        <v>0</v>
      </c>
      <c r="AZ262" s="37">
        <f t="shared" si="72"/>
        <v>0</v>
      </c>
      <c r="BA262" s="20"/>
    </row>
    <row r="263" spans="1:53" ht="14.1" customHeight="1" x14ac:dyDescent="0.25">
      <c r="A263" s="89"/>
      <c r="B263" s="101" t="str" cm="1">
        <f t="array" ref="B263">_xlfn.IFNA(INDEX(Employees[Employment Type],MATCH(Schedule!A263:A263,Employees[Employee Names],0)),"")</f>
        <v/>
      </c>
      <c r="C263" s="101" t="str">
        <f>_xlfn.IFNA(INDEX(Employees[Employee Role],MATCH(Schedule!A263,Employees[Employee Names],0)),"")</f>
        <v/>
      </c>
      <c r="D263" s="103"/>
      <c r="E263" s="90"/>
      <c r="F263" s="91"/>
      <c r="G263" s="91"/>
      <c r="H263" s="91"/>
      <c r="I263" s="91"/>
      <c r="J263" s="91"/>
      <c r="K263" s="92"/>
      <c r="L263" s="90"/>
      <c r="M263" s="91"/>
      <c r="N263" s="91"/>
      <c r="O263" s="91"/>
      <c r="P263" s="91"/>
      <c r="Q263" s="91"/>
      <c r="R263" s="92"/>
      <c r="S263" s="90"/>
      <c r="T263" s="91"/>
      <c r="U263" s="91"/>
      <c r="V263" s="91"/>
      <c r="W263" s="91"/>
      <c r="X263" s="91"/>
      <c r="Y263" s="92"/>
      <c r="Z263" s="90"/>
      <c r="AA263" s="91"/>
      <c r="AB263" s="91"/>
      <c r="AC263" s="91"/>
      <c r="AD263" s="91"/>
      <c r="AE263" s="91"/>
      <c r="AF263" s="93"/>
      <c r="AG263" s="90"/>
      <c r="AH263" s="91"/>
      <c r="AI263" s="91"/>
      <c r="AJ263" s="91"/>
      <c r="AK263" s="91"/>
      <c r="AL263" s="91"/>
      <c r="AM263" s="93"/>
      <c r="AN263" s="90"/>
      <c r="AO263" s="91"/>
      <c r="AP263" s="91"/>
      <c r="AQ263" s="91"/>
      <c r="AR263" s="91"/>
      <c r="AS263" s="91"/>
      <c r="AT263" s="93"/>
      <c r="AU263" s="37">
        <f t="shared" si="67"/>
        <v>0</v>
      </c>
      <c r="AV263" s="37">
        <f t="shared" si="68"/>
        <v>0</v>
      </c>
      <c r="AW263" s="37">
        <f t="shared" si="69"/>
        <v>0</v>
      </c>
      <c r="AX263" s="37">
        <f t="shared" si="70"/>
        <v>0</v>
      </c>
      <c r="AY263" s="37">
        <f t="shared" si="71"/>
        <v>0</v>
      </c>
      <c r="AZ263" s="37">
        <f t="shared" si="72"/>
        <v>0</v>
      </c>
      <c r="BA263" s="20"/>
    </row>
    <row r="264" spans="1:53" ht="14.1" customHeight="1" x14ac:dyDescent="0.25">
      <c r="A264" s="89"/>
      <c r="B264" s="101" t="str" cm="1">
        <f t="array" ref="B264">_xlfn.IFNA(INDEX(Employees[Employment Type],MATCH(Schedule!A264:A264,Employees[Employee Names],0)),"")</f>
        <v/>
      </c>
      <c r="C264" s="101" t="str">
        <f>_xlfn.IFNA(INDEX(Employees[Employee Role],MATCH(Schedule!A264,Employees[Employee Names],0)),"")</f>
        <v/>
      </c>
      <c r="D264" s="103"/>
      <c r="E264" s="90"/>
      <c r="F264" s="91"/>
      <c r="G264" s="91"/>
      <c r="H264" s="91"/>
      <c r="I264" s="91"/>
      <c r="J264" s="91"/>
      <c r="K264" s="92"/>
      <c r="L264" s="90"/>
      <c r="M264" s="91"/>
      <c r="N264" s="91"/>
      <c r="O264" s="91"/>
      <c r="P264" s="91"/>
      <c r="Q264" s="91"/>
      <c r="R264" s="92"/>
      <c r="S264" s="90"/>
      <c r="T264" s="91"/>
      <c r="U264" s="91"/>
      <c r="V264" s="91"/>
      <c r="W264" s="91"/>
      <c r="X264" s="91"/>
      <c r="Y264" s="92"/>
      <c r="Z264" s="90"/>
      <c r="AA264" s="91"/>
      <c r="AB264" s="91"/>
      <c r="AC264" s="91"/>
      <c r="AD264" s="91"/>
      <c r="AE264" s="91"/>
      <c r="AF264" s="93"/>
      <c r="AG264" s="90"/>
      <c r="AH264" s="91"/>
      <c r="AI264" s="91"/>
      <c r="AJ264" s="91"/>
      <c r="AK264" s="91"/>
      <c r="AL264" s="91"/>
      <c r="AM264" s="93"/>
      <c r="AN264" s="90"/>
      <c r="AO264" s="91"/>
      <c r="AP264" s="91"/>
      <c r="AQ264" s="91"/>
      <c r="AR264" s="91"/>
      <c r="AS264" s="91"/>
      <c r="AT264" s="93"/>
      <c r="AU264" s="37">
        <f t="shared" si="67"/>
        <v>0</v>
      </c>
      <c r="AV264" s="37">
        <f t="shared" si="68"/>
        <v>0</v>
      </c>
      <c r="AW264" s="37">
        <f t="shared" si="69"/>
        <v>0</v>
      </c>
      <c r="AX264" s="37">
        <f t="shared" si="70"/>
        <v>0</v>
      </c>
      <c r="AY264" s="37">
        <f t="shared" si="71"/>
        <v>0</v>
      </c>
      <c r="AZ264" s="37">
        <f t="shared" si="72"/>
        <v>0</v>
      </c>
      <c r="BA264" s="20"/>
    </row>
    <row r="265" spans="1:53" ht="14.1" customHeight="1" x14ac:dyDescent="0.25">
      <c r="A265" s="89"/>
      <c r="B265" s="101" t="str" cm="1">
        <f t="array" ref="B265">_xlfn.IFNA(INDEX(Employees[Employment Type],MATCH(Schedule!A265:A265,Employees[Employee Names],0)),"")</f>
        <v/>
      </c>
      <c r="C265" s="101" t="str">
        <f>_xlfn.IFNA(INDEX(Employees[Employee Role],MATCH(Schedule!A265,Employees[Employee Names],0)),"")</f>
        <v/>
      </c>
      <c r="D265" s="103"/>
      <c r="E265" s="90"/>
      <c r="F265" s="91"/>
      <c r="G265" s="91"/>
      <c r="H265" s="91"/>
      <c r="I265" s="91"/>
      <c r="J265" s="91"/>
      <c r="K265" s="92"/>
      <c r="L265" s="90"/>
      <c r="M265" s="91"/>
      <c r="N265" s="91"/>
      <c r="O265" s="91"/>
      <c r="P265" s="91"/>
      <c r="Q265" s="91"/>
      <c r="R265" s="92"/>
      <c r="S265" s="90"/>
      <c r="T265" s="91"/>
      <c r="U265" s="91"/>
      <c r="V265" s="91"/>
      <c r="W265" s="91"/>
      <c r="X265" s="91"/>
      <c r="Y265" s="92"/>
      <c r="Z265" s="90"/>
      <c r="AA265" s="91"/>
      <c r="AB265" s="91"/>
      <c r="AC265" s="91"/>
      <c r="AD265" s="91"/>
      <c r="AE265" s="91"/>
      <c r="AF265" s="93"/>
      <c r="AG265" s="90"/>
      <c r="AH265" s="91"/>
      <c r="AI265" s="91"/>
      <c r="AJ265" s="91"/>
      <c r="AK265" s="91"/>
      <c r="AL265" s="91"/>
      <c r="AM265" s="93"/>
      <c r="AN265" s="90"/>
      <c r="AO265" s="91"/>
      <c r="AP265" s="91"/>
      <c r="AQ265" s="91"/>
      <c r="AR265" s="91"/>
      <c r="AS265" s="91"/>
      <c r="AT265" s="93"/>
      <c r="AU265" s="37">
        <f t="shared" si="67"/>
        <v>0</v>
      </c>
      <c r="AV265" s="37">
        <f t="shared" si="68"/>
        <v>0</v>
      </c>
      <c r="AW265" s="37">
        <f t="shared" si="69"/>
        <v>0</v>
      </c>
      <c r="AX265" s="37">
        <f t="shared" si="70"/>
        <v>0</v>
      </c>
      <c r="AY265" s="37">
        <f t="shared" si="71"/>
        <v>0</v>
      </c>
      <c r="AZ265" s="37">
        <f t="shared" si="72"/>
        <v>0</v>
      </c>
      <c r="BA265" s="20"/>
    </row>
    <row r="266" spans="1:53" ht="14.1" customHeight="1" x14ac:dyDescent="0.25">
      <c r="A266" s="89"/>
      <c r="B266" s="101" t="str" cm="1">
        <f t="array" ref="B266">_xlfn.IFNA(INDEX(Employees[Employment Type],MATCH(Schedule!A266:A266,Employees[Employee Names],0)),"")</f>
        <v/>
      </c>
      <c r="C266" s="101" t="str">
        <f>_xlfn.IFNA(INDEX(Employees[Employee Role],MATCH(Schedule!A266,Employees[Employee Names],0)),"")</f>
        <v/>
      </c>
      <c r="D266" s="103"/>
      <c r="E266" s="90"/>
      <c r="F266" s="91"/>
      <c r="G266" s="91"/>
      <c r="H266" s="91"/>
      <c r="I266" s="91"/>
      <c r="J266" s="91"/>
      <c r="K266" s="92"/>
      <c r="L266" s="90"/>
      <c r="M266" s="91"/>
      <c r="N266" s="91"/>
      <c r="O266" s="91"/>
      <c r="P266" s="91"/>
      <c r="Q266" s="91"/>
      <c r="R266" s="92"/>
      <c r="S266" s="90"/>
      <c r="T266" s="91"/>
      <c r="U266" s="91"/>
      <c r="V266" s="91"/>
      <c r="W266" s="91"/>
      <c r="X266" s="91"/>
      <c r="Y266" s="92"/>
      <c r="Z266" s="90"/>
      <c r="AA266" s="91"/>
      <c r="AB266" s="91"/>
      <c r="AC266" s="91"/>
      <c r="AD266" s="91"/>
      <c r="AE266" s="91"/>
      <c r="AF266" s="93"/>
      <c r="AG266" s="90"/>
      <c r="AH266" s="91"/>
      <c r="AI266" s="91"/>
      <c r="AJ266" s="91"/>
      <c r="AK266" s="91"/>
      <c r="AL266" s="91"/>
      <c r="AM266" s="93"/>
      <c r="AN266" s="90"/>
      <c r="AO266" s="91"/>
      <c r="AP266" s="91"/>
      <c r="AQ266" s="91"/>
      <c r="AR266" s="91"/>
      <c r="AS266" s="91"/>
      <c r="AT266" s="93"/>
      <c r="AU266" s="37">
        <f t="shared" si="67"/>
        <v>0</v>
      </c>
      <c r="AV266" s="37">
        <f t="shared" si="68"/>
        <v>0</v>
      </c>
      <c r="AW266" s="37">
        <f t="shared" si="69"/>
        <v>0</v>
      </c>
      <c r="AX266" s="37">
        <f t="shared" si="70"/>
        <v>0</v>
      </c>
      <c r="AY266" s="37">
        <f t="shared" si="71"/>
        <v>0</v>
      </c>
      <c r="AZ266" s="37">
        <f t="shared" si="72"/>
        <v>0</v>
      </c>
      <c r="BA266" s="20"/>
    </row>
    <row r="267" spans="1:53" ht="14.1" customHeight="1" x14ac:dyDescent="0.25">
      <c r="A267" s="89"/>
      <c r="B267" s="101" t="str" cm="1">
        <f t="array" ref="B267">_xlfn.IFNA(INDEX(Employees[Employment Type],MATCH(Schedule!A267:A267,Employees[Employee Names],0)),"")</f>
        <v/>
      </c>
      <c r="C267" s="101" t="str">
        <f>_xlfn.IFNA(INDEX(Employees[Employee Role],MATCH(Schedule!A267,Employees[Employee Names],0)),"")</f>
        <v/>
      </c>
      <c r="D267" s="103"/>
      <c r="E267" s="90"/>
      <c r="F267" s="91"/>
      <c r="G267" s="91"/>
      <c r="H267" s="91"/>
      <c r="I267" s="91"/>
      <c r="J267" s="91"/>
      <c r="K267" s="92"/>
      <c r="L267" s="90"/>
      <c r="M267" s="91"/>
      <c r="N267" s="91"/>
      <c r="O267" s="91"/>
      <c r="P267" s="91"/>
      <c r="Q267" s="91"/>
      <c r="R267" s="92"/>
      <c r="S267" s="90"/>
      <c r="T267" s="91"/>
      <c r="U267" s="91"/>
      <c r="V267" s="91"/>
      <c r="W267" s="91"/>
      <c r="X267" s="91"/>
      <c r="Y267" s="92"/>
      <c r="Z267" s="90"/>
      <c r="AA267" s="91"/>
      <c r="AB267" s="91"/>
      <c r="AC267" s="91"/>
      <c r="AD267" s="91"/>
      <c r="AE267" s="91"/>
      <c r="AF267" s="93"/>
      <c r="AG267" s="90"/>
      <c r="AH267" s="91"/>
      <c r="AI267" s="91"/>
      <c r="AJ267" s="91"/>
      <c r="AK267" s="91"/>
      <c r="AL267" s="91"/>
      <c r="AM267" s="93"/>
      <c r="AN267" s="90"/>
      <c r="AO267" s="91"/>
      <c r="AP267" s="91"/>
      <c r="AQ267" s="91"/>
      <c r="AR267" s="91"/>
      <c r="AS267" s="91"/>
      <c r="AT267" s="93"/>
      <c r="AU267" s="37">
        <f t="shared" si="67"/>
        <v>0</v>
      </c>
      <c r="AV267" s="37">
        <f t="shared" si="68"/>
        <v>0</v>
      </c>
      <c r="AW267" s="37">
        <f t="shared" si="69"/>
        <v>0</v>
      </c>
      <c r="AX267" s="37">
        <f t="shared" si="70"/>
        <v>0</v>
      </c>
      <c r="AY267" s="37">
        <f t="shared" si="71"/>
        <v>0</v>
      </c>
      <c r="AZ267" s="37">
        <f t="shared" si="72"/>
        <v>0</v>
      </c>
      <c r="BA267" s="20"/>
    </row>
    <row r="268" spans="1:53" ht="14.1" customHeight="1" x14ac:dyDescent="0.25">
      <c r="A268" s="89"/>
      <c r="B268" s="101" t="str" cm="1">
        <f t="array" ref="B268">_xlfn.IFNA(INDEX(Employees[Employment Type],MATCH(Schedule!A268:A268,Employees[Employee Names],0)),"")</f>
        <v/>
      </c>
      <c r="C268" s="101" t="str">
        <f>_xlfn.IFNA(INDEX(Employees[Employee Role],MATCH(Schedule!A268,Employees[Employee Names],0)),"")</f>
        <v/>
      </c>
      <c r="D268" s="103"/>
      <c r="E268" s="90"/>
      <c r="F268" s="91"/>
      <c r="G268" s="91"/>
      <c r="H268" s="91"/>
      <c r="I268" s="91"/>
      <c r="J268" s="91"/>
      <c r="K268" s="92"/>
      <c r="L268" s="90"/>
      <c r="M268" s="91"/>
      <c r="N268" s="91"/>
      <c r="O268" s="91"/>
      <c r="P268" s="91"/>
      <c r="Q268" s="91"/>
      <c r="R268" s="92"/>
      <c r="S268" s="90"/>
      <c r="T268" s="91"/>
      <c r="U268" s="91"/>
      <c r="V268" s="91"/>
      <c r="W268" s="91"/>
      <c r="X268" s="91"/>
      <c r="Y268" s="92"/>
      <c r="Z268" s="90"/>
      <c r="AA268" s="91"/>
      <c r="AB268" s="91"/>
      <c r="AC268" s="91"/>
      <c r="AD268" s="91"/>
      <c r="AE268" s="91"/>
      <c r="AF268" s="93"/>
      <c r="AG268" s="90"/>
      <c r="AH268" s="91"/>
      <c r="AI268" s="91"/>
      <c r="AJ268" s="91"/>
      <c r="AK268" s="91"/>
      <c r="AL268" s="91"/>
      <c r="AM268" s="93"/>
      <c r="AN268" s="90"/>
      <c r="AO268" s="91"/>
      <c r="AP268" s="91"/>
      <c r="AQ268" s="91"/>
      <c r="AR268" s="91"/>
      <c r="AS268" s="91"/>
      <c r="AT268" s="93"/>
      <c r="AU268" s="37">
        <f t="shared" si="67"/>
        <v>0</v>
      </c>
      <c r="AV268" s="37">
        <f t="shared" si="68"/>
        <v>0</v>
      </c>
      <c r="AW268" s="37">
        <f t="shared" si="69"/>
        <v>0</v>
      </c>
      <c r="AX268" s="37">
        <f t="shared" si="70"/>
        <v>0</v>
      </c>
      <c r="AY268" s="37">
        <f t="shared" si="71"/>
        <v>0</v>
      </c>
      <c r="AZ268" s="37">
        <f t="shared" si="72"/>
        <v>0</v>
      </c>
      <c r="BA268" s="20"/>
    </row>
    <row r="269" spans="1:53" ht="14.1" customHeight="1" x14ac:dyDescent="0.25">
      <c r="A269" s="89"/>
      <c r="B269" s="101" t="str" cm="1">
        <f t="array" ref="B269">_xlfn.IFNA(INDEX(Employees[Employment Type],MATCH(Schedule!A269:A269,Employees[Employee Names],0)),"")</f>
        <v/>
      </c>
      <c r="C269" s="101" t="str">
        <f>_xlfn.IFNA(INDEX(Employees[Employee Role],MATCH(Schedule!A269,Employees[Employee Names],0)),"")</f>
        <v/>
      </c>
      <c r="D269" s="103"/>
      <c r="E269" s="90"/>
      <c r="F269" s="91"/>
      <c r="G269" s="91"/>
      <c r="H269" s="91"/>
      <c r="I269" s="91"/>
      <c r="J269" s="91"/>
      <c r="K269" s="92"/>
      <c r="L269" s="90"/>
      <c r="M269" s="91"/>
      <c r="N269" s="91"/>
      <c r="O269" s="91"/>
      <c r="P269" s="91"/>
      <c r="Q269" s="91"/>
      <c r="R269" s="92"/>
      <c r="S269" s="90"/>
      <c r="T269" s="91"/>
      <c r="U269" s="91"/>
      <c r="V269" s="91"/>
      <c r="W269" s="91"/>
      <c r="X269" s="91"/>
      <c r="Y269" s="92"/>
      <c r="Z269" s="90"/>
      <c r="AA269" s="91"/>
      <c r="AB269" s="91"/>
      <c r="AC269" s="91"/>
      <c r="AD269" s="91"/>
      <c r="AE269" s="91"/>
      <c r="AF269" s="93"/>
      <c r="AG269" s="90"/>
      <c r="AH269" s="91"/>
      <c r="AI269" s="91"/>
      <c r="AJ269" s="91"/>
      <c r="AK269" s="91"/>
      <c r="AL269" s="91"/>
      <c r="AM269" s="93"/>
      <c r="AN269" s="90"/>
      <c r="AO269" s="91"/>
      <c r="AP269" s="91"/>
      <c r="AQ269" s="91"/>
      <c r="AR269" s="91"/>
      <c r="AS269" s="91"/>
      <c r="AT269" s="93"/>
      <c r="AU269" s="37">
        <f t="shared" si="67"/>
        <v>0</v>
      </c>
      <c r="AV269" s="37">
        <f t="shared" si="68"/>
        <v>0</v>
      </c>
      <c r="AW269" s="37">
        <f t="shared" si="69"/>
        <v>0</v>
      </c>
      <c r="AX269" s="37">
        <f t="shared" si="70"/>
        <v>0</v>
      </c>
      <c r="AY269" s="37">
        <f t="shared" si="71"/>
        <v>0</v>
      </c>
      <c r="AZ269" s="37">
        <f t="shared" si="72"/>
        <v>0</v>
      </c>
      <c r="BA269" s="20"/>
    </row>
    <row r="270" spans="1:53" ht="14.1" customHeight="1" x14ac:dyDescent="0.25">
      <c r="A270" s="89"/>
      <c r="B270" s="101" t="str" cm="1">
        <f t="array" ref="B270">_xlfn.IFNA(INDEX(Employees[Employment Type],MATCH(Schedule!A270:A270,Employees[Employee Names],0)),"")</f>
        <v/>
      </c>
      <c r="C270" s="101" t="str">
        <f>_xlfn.IFNA(INDEX(Employees[Employee Role],MATCH(Schedule!A270,Employees[Employee Names],0)),"")</f>
        <v/>
      </c>
      <c r="D270" s="103"/>
      <c r="E270" s="90"/>
      <c r="F270" s="91"/>
      <c r="G270" s="91"/>
      <c r="H270" s="91"/>
      <c r="I270" s="91"/>
      <c r="J270" s="91"/>
      <c r="K270" s="92"/>
      <c r="L270" s="90"/>
      <c r="M270" s="91"/>
      <c r="N270" s="91"/>
      <c r="O270" s="91"/>
      <c r="P270" s="91"/>
      <c r="Q270" s="91"/>
      <c r="R270" s="92"/>
      <c r="S270" s="90"/>
      <c r="T270" s="91"/>
      <c r="U270" s="91"/>
      <c r="V270" s="91"/>
      <c r="W270" s="91"/>
      <c r="X270" s="91"/>
      <c r="Y270" s="92"/>
      <c r="Z270" s="90"/>
      <c r="AA270" s="91"/>
      <c r="AB270" s="91"/>
      <c r="AC270" s="91"/>
      <c r="AD270" s="91"/>
      <c r="AE270" s="91"/>
      <c r="AF270" s="93"/>
      <c r="AG270" s="90"/>
      <c r="AH270" s="91"/>
      <c r="AI270" s="91"/>
      <c r="AJ270" s="91"/>
      <c r="AK270" s="91"/>
      <c r="AL270" s="91"/>
      <c r="AM270" s="93"/>
      <c r="AN270" s="90"/>
      <c r="AO270" s="91"/>
      <c r="AP270" s="91"/>
      <c r="AQ270" s="91"/>
      <c r="AR270" s="91"/>
      <c r="AS270" s="91"/>
      <c r="AT270" s="93"/>
      <c r="AU270" s="37">
        <f t="shared" si="67"/>
        <v>0</v>
      </c>
      <c r="AV270" s="37">
        <f t="shared" si="68"/>
        <v>0</v>
      </c>
      <c r="AW270" s="37">
        <f t="shared" si="69"/>
        <v>0</v>
      </c>
      <c r="AX270" s="37">
        <f t="shared" si="70"/>
        <v>0</v>
      </c>
      <c r="AY270" s="37">
        <f t="shared" si="71"/>
        <v>0</v>
      </c>
      <c r="AZ270" s="37">
        <f t="shared" si="72"/>
        <v>0</v>
      </c>
      <c r="BA270" s="20"/>
    </row>
    <row r="271" spans="1:53" ht="14.1" customHeight="1" x14ac:dyDescent="0.25">
      <c r="A271" s="89"/>
      <c r="B271" s="101" t="str" cm="1">
        <f t="array" ref="B271">_xlfn.IFNA(INDEX(Employees[Employment Type],MATCH(Schedule!A271:A271,Employees[Employee Names],0)),"")</f>
        <v/>
      </c>
      <c r="C271" s="101" t="str">
        <f>_xlfn.IFNA(INDEX(Employees[Employee Role],MATCH(Schedule!A271,Employees[Employee Names],0)),"")</f>
        <v/>
      </c>
      <c r="D271" s="103"/>
      <c r="E271" s="90"/>
      <c r="F271" s="91"/>
      <c r="G271" s="91"/>
      <c r="H271" s="91"/>
      <c r="I271" s="91"/>
      <c r="J271" s="91"/>
      <c r="K271" s="92"/>
      <c r="L271" s="90"/>
      <c r="M271" s="91"/>
      <c r="N271" s="91"/>
      <c r="O271" s="91"/>
      <c r="P271" s="91"/>
      <c r="Q271" s="91"/>
      <c r="R271" s="92"/>
      <c r="S271" s="90"/>
      <c r="T271" s="91"/>
      <c r="U271" s="91"/>
      <c r="V271" s="91"/>
      <c r="W271" s="91"/>
      <c r="X271" s="91"/>
      <c r="Y271" s="92"/>
      <c r="Z271" s="90"/>
      <c r="AA271" s="91"/>
      <c r="AB271" s="91"/>
      <c r="AC271" s="91"/>
      <c r="AD271" s="91"/>
      <c r="AE271" s="91"/>
      <c r="AF271" s="93"/>
      <c r="AG271" s="90"/>
      <c r="AH271" s="91"/>
      <c r="AI271" s="91"/>
      <c r="AJ271" s="91"/>
      <c r="AK271" s="91"/>
      <c r="AL271" s="91"/>
      <c r="AM271" s="93"/>
      <c r="AN271" s="90"/>
      <c r="AO271" s="91"/>
      <c r="AP271" s="91"/>
      <c r="AQ271" s="91"/>
      <c r="AR271" s="91"/>
      <c r="AS271" s="91"/>
      <c r="AT271" s="93"/>
      <c r="AU271" s="37">
        <f t="shared" si="67"/>
        <v>0</v>
      </c>
      <c r="AV271" s="37">
        <f t="shared" si="68"/>
        <v>0</v>
      </c>
      <c r="AW271" s="37">
        <f t="shared" si="69"/>
        <v>0</v>
      </c>
      <c r="AX271" s="37">
        <f t="shared" si="70"/>
        <v>0</v>
      </c>
      <c r="AY271" s="37">
        <f t="shared" si="71"/>
        <v>0</v>
      </c>
      <c r="AZ271" s="37">
        <f t="shared" si="72"/>
        <v>0</v>
      </c>
      <c r="BA271" s="20"/>
    </row>
    <row r="272" spans="1:53" ht="14.1" customHeight="1" x14ac:dyDescent="0.25">
      <c r="A272" s="89"/>
      <c r="B272" s="101" t="str" cm="1">
        <f t="array" ref="B272">_xlfn.IFNA(INDEX(Employees[Employment Type],MATCH(Schedule!A272:A272,Employees[Employee Names],0)),"")</f>
        <v/>
      </c>
      <c r="C272" s="101" t="str">
        <f>_xlfn.IFNA(INDEX(Employees[Employee Role],MATCH(Schedule!A272,Employees[Employee Names],0)),"")</f>
        <v/>
      </c>
      <c r="D272" s="103"/>
      <c r="E272" s="90"/>
      <c r="F272" s="91"/>
      <c r="G272" s="91"/>
      <c r="H272" s="91"/>
      <c r="I272" s="91"/>
      <c r="J272" s="91"/>
      <c r="K272" s="92"/>
      <c r="L272" s="90"/>
      <c r="M272" s="91"/>
      <c r="N272" s="91"/>
      <c r="O272" s="91"/>
      <c r="P272" s="91"/>
      <c r="Q272" s="91"/>
      <c r="R272" s="92"/>
      <c r="S272" s="90"/>
      <c r="T272" s="91"/>
      <c r="U272" s="91"/>
      <c r="V272" s="91"/>
      <c r="W272" s="91"/>
      <c r="X272" s="91"/>
      <c r="Y272" s="92"/>
      <c r="Z272" s="90"/>
      <c r="AA272" s="91"/>
      <c r="AB272" s="91"/>
      <c r="AC272" s="91"/>
      <c r="AD272" s="91"/>
      <c r="AE272" s="91"/>
      <c r="AF272" s="93"/>
      <c r="AG272" s="90"/>
      <c r="AH272" s="91"/>
      <c r="AI272" s="91"/>
      <c r="AJ272" s="91"/>
      <c r="AK272" s="91"/>
      <c r="AL272" s="91"/>
      <c r="AM272" s="93"/>
      <c r="AN272" s="90"/>
      <c r="AO272" s="91"/>
      <c r="AP272" s="91"/>
      <c r="AQ272" s="91"/>
      <c r="AR272" s="91"/>
      <c r="AS272" s="91"/>
      <c r="AT272" s="93"/>
      <c r="AU272" s="37">
        <f t="shared" si="67"/>
        <v>0</v>
      </c>
      <c r="AV272" s="37">
        <f t="shared" si="68"/>
        <v>0</v>
      </c>
      <c r="AW272" s="37">
        <f t="shared" si="69"/>
        <v>0</v>
      </c>
      <c r="AX272" s="37">
        <f t="shared" si="70"/>
        <v>0</v>
      </c>
      <c r="AY272" s="37">
        <f t="shared" si="71"/>
        <v>0</v>
      </c>
      <c r="AZ272" s="37">
        <f t="shared" si="72"/>
        <v>0</v>
      </c>
      <c r="BA272" s="20"/>
    </row>
    <row r="273" spans="1:53" ht="14.1" customHeight="1" x14ac:dyDescent="0.25">
      <c r="A273" s="89"/>
      <c r="B273" s="101" t="str" cm="1">
        <f t="array" ref="B273">_xlfn.IFNA(INDEX(Employees[Employment Type],MATCH(Schedule!A273:A273,Employees[Employee Names],0)),"")</f>
        <v/>
      </c>
      <c r="C273" s="101" t="str">
        <f>_xlfn.IFNA(INDEX(Employees[Employee Role],MATCH(Schedule!A273,Employees[Employee Names],0)),"")</f>
        <v/>
      </c>
      <c r="D273" s="103"/>
      <c r="E273" s="90"/>
      <c r="F273" s="91"/>
      <c r="G273" s="91"/>
      <c r="H273" s="91"/>
      <c r="I273" s="91"/>
      <c r="J273" s="91"/>
      <c r="K273" s="92"/>
      <c r="L273" s="90"/>
      <c r="M273" s="91"/>
      <c r="N273" s="91"/>
      <c r="O273" s="91"/>
      <c r="P273" s="91"/>
      <c r="Q273" s="91"/>
      <c r="R273" s="92"/>
      <c r="S273" s="90"/>
      <c r="T273" s="91"/>
      <c r="U273" s="91"/>
      <c r="V273" s="91"/>
      <c r="W273" s="91"/>
      <c r="X273" s="91"/>
      <c r="Y273" s="92"/>
      <c r="Z273" s="90"/>
      <c r="AA273" s="91"/>
      <c r="AB273" s="91"/>
      <c r="AC273" s="91"/>
      <c r="AD273" s="91"/>
      <c r="AE273" s="91"/>
      <c r="AF273" s="93"/>
      <c r="AG273" s="90"/>
      <c r="AH273" s="91"/>
      <c r="AI273" s="91"/>
      <c r="AJ273" s="91"/>
      <c r="AK273" s="91"/>
      <c r="AL273" s="91"/>
      <c r="AM273" s="93"/>
      <c r="AN273" s="90"/>
      <c r="AO273" s="91"/>
      <c r="AP273" s="91"/>
      <c r="AQ273" s="91"/>
      <c r="AR273" s="91"/>
      <c r="AS273" s="91"/>
      <c r="AT273" s="93"/>
      <c r="AU273" s="37">
        <f t="shared" si="67"/>
        <v>0</v>
      </c>
      <c r="AV273" s="37">
        <f t="shared" si="68"/>
        <v>0</v>
      </c>
      <c r="AW273" s="37">
        <f t="shared" si="69"/>
        <v>0</v>
      </c>
      <c r="AX273" s="37">
        <f t="shared" si="70"/>
        <v>0</v>
      </c>
      <c r="AY273" s="37">
        <f t="shared" si="71"/>
        <v>0</v>
      </c>
      <c r="AZ273" s="37">
        <f t="shared" si="72"/>
        <v>0</v>
      </c>
      <c r="BA273" s="20"/>
    </row>
    <row r="274" spans="1:53" ht="14.1" customHeight="1" x14ac:dyDescent="0.25">
      <c r="A274" s="89"/>
      <c r="B274" s="101" t="str" cm="1">
        <f t="array" ref="B274">_xlfn.IFNA(INDEX(Employees[Employment Type],MATCH(Schedule!A274:A274,Employees[Employee Names],0)),"")</f>
        <v/>
      </c>
      <c r="C274" s="101" t="str">
        <f>_xlfn.IFNA(INDEX(Employees[Employee Role],MATCH(Schedule!A274,Employees[Employee Names],0)),"")</f>
        <v/>
      </c>
      <c r="D274" s="103"/>
      <c r="E274" s="90"/>
      <c r="F274" s="91"/>
      <c r="G274" s="91"/>
      <c r="H274" s="91"/>
      <c r="I274" s="91"/>
      <c r="J274" s="91"/>
      <c r="K274" s="92"/>
      <c r="L274" s="90"/>
      <c r="M274" s="91"/>
      <c r="N274" s="91"/>
      <c r="O274" s="91"/>
      <c r="P274" s="91"/>
      <c r="Q274" s="91"/>
      <c r="R274" s="92"/>
      <c r="S274" s="90"/>
      <c r="T274" s="91"/>
      <c r="U274" s="91"/>
      <c r="V274" s="91"/>
      <c r="W274" s="91"/>
      <c r="X274" s="91"/>
      <c r="Y274" s="92"/>
      <c r="Z274" s="90"/>
      <c r="AA274" s="91"/>
      <c r="AB274" s="91"/>
      <c r="AC274" s="91"/>
      <c r="AD274" s="91"/>
      <c r="AE274" s="91"/>
      <c r="AF274" s="93"/>
      <c r="AG274" s="90"/>
      <c r="AH274" s="91"/>
      <c r="AI274" s="91"/>
      <c r="AJ274" s="91"/>
      <c r="AK274" s="91"/>
      <c r="AL274" s="91"/>
      <c r="AM274" s="93"/>
      <c r="AN274" s="90"/>
      <c r="AO274" s="91"/>
      <c r="AP274" s="91"/>
      <c r="AQ274" s="91"/>
      <c r="AR274" s="91"/>
      <c r="AS274" s="91"/>
      <c r="AT274" s="93"/>
      <c r="AU274" s="37">
        <f t="shared" si="67"/>
        <v>0</v>
      </c>
      <c r="AV274" s="37">
        <f t="shared" si="68"/>
        <v>0</v>
      </c>
      <c r="AW274" s="37">
        <f t="shared" si="69"/>
        <v>0</v>
      </c>
      <c r="AX274" s="37">
        <f t="shared" si="70"/>
        <v>0</v>
      </c>
      <c r="AY274" s="37">
        <f t="shared" si="71"/>
        <v>0</v>
      </c>
      <c r="AZ274" s="37">
        <f t="shared" si="72"/>
        <v>0</v>
      </c>
      <c r="BA274" s="20"/>
    </row>
    <row r="275" spans="1:53" ht="14.1" customHeight="1" x14ac:dyDescent="0.25">
      <c r="A275" s="89"/>
      <c r="B275" s="101" t="str" cm="1">
        <f t="array" ref="B275">_xlfn.IFNA(INDEX(Employees[Employment Type],MATCH(Schedule!A275:A275,Employees[Employee Names],0)),"")</f>
        <v/>
      </c>
      <c r="C275" s="101" t="str">
        <f>_xlfn.IFNA(INDEX(Employees[Employee Role],MATCH(Schedule!A275,Employees[Employee Names],0)),"")</f>
        <v/>
      </c>
      <c r="D275" s="103"/>
      <c r="E275" s="90"/>
      <c r="F275" s="91"/>
      <c r="G275" s="91"/>
      <c r="H275" s="91"/>
      <c r="I275" s="91"/>
      <c r="J275" s="91"/>
      <c r="K275" s="92"/>
      <c r="L275" s="90"/>
      <c r="M275" s="91"/>
      <c r="N275" s="91"/>
      <c r="O275" s="91"/>
      <c r="P275" s="91"/>
      <c r="Q275" s="91"/>
      <c r="R275" s="92"/>
      <c r="S275" s="90"/>
      <c r="T275" s="91"/>
      <c r="U275" s="91"/>
      <c r="V275" s="91"/>
      <c r="W275" s="91"/>
      <c r="X275" s="91"/>
      <c r="Y275" s="92"/>
      <c r="Z275" s="90"/>
      <c r="AA275" s="91"/>
      <c r="AB275" s="91"/>
      <c r="AC275" s="91"/>
      <c r="AD275" s="91"/>
      <c r="AE275" s="91"/>
      <c r="AF275" s="93"/>
      <c r="AG275" s="90"/>
      <c r="AH275" s="91"/>
      <c r="AI275" s="91"/>
      <c r="AJ275" s="91"/>
      <c r="AK275" s="91"/>
      <c r="AL275" s="91"/>
      <c r="AM275" s="93"/>
      <c r="AN275" s="90"/>
      <c r="AO275" s="91"/>
      <c r="AP275" s="91"/>
      <c r="AQ275" s="91"/>
      <c r="AR275" s="91"/>
      <c r="AS275" s="91"/>
      <c r="AT275" s="93"/>
      <c r="AU275" s="37">
        <f t="shared" si="67"/>
        <v>0</v>
      </c>
      <c r="AV275" s="37">
        <f t="shared" si="68"/>
        <v>0</v>
      </c>
      <c r="AW275" s="37">
        <f t="shared" si="69"/>
        <v>0</v>
      </c>
      <c r="AX275" s="37">
        <f t="shared" si="70"/>
        <v>0</v>
      </c>
      <c r="AY275" s="37">
        <f t="shared" si="71"/>
        <v>0</v>
      </c>
      <c r="AZ275" s="37">
        <f t="shared" si="72"/>
        <v>0</v>
      </c>
      <c r="BA275" s="20"/>
    </row>
    <row r="276" spans="1:53" ht="14.1" customHeight="1" x14ac:dyDescent="0.25">
      <c r="A276" s="89"/>
      <c r="B276" s="101" t="str" cm="1">
        <f t="array" ref="B276">_xlfn.IFNA(INDEX(Employees[Employment Type],MATCH(Schedule!A276:A276,Employees[Employee Names],0)),"")</f>
        <v/>
      </c>
      <c r="C276" s="101" t="str">
        <f>_xlfn.IFNA(INDEX(Employees[Employee Role],MATCH(Schedule!A276,Employees[Employee Names],0)),"")</f>
        <v/>
      </c>
      <c r="D276" s="103"/>
      <c r="E276" s="90"/>
      <c r="F276" s="91"/>
      <c r="G276" s="91"/>
      <c r="H276" s="91"/>
      <c r="I276" s="91"/>
      <c r="J276" s="91"/>
      <c r="K276" s="92"/>
      <c r="L276" s="90"/>
      <c r="M276" s="91"/>
      <c r="N276" s="91"/>
      <c r="O276" s="91"/>
      <c r="P276" s="91"/>
      <c r="Q276" s="91"/>
      <c r="R276" s="92"/>
      <c r="S276" s="90"/>
      <c r="T276" s="91"/>
      <c r="U276" s="91"/>
      <c r="V276" s="91"/>
      <c r="W276" s="91"/>
      <c r="X276" s="91"/>
      <c r="Y276" s="92"/>
      <c r="Z276" s="90"/>
      <c r="AA276" s="91"/>
      <c r="AB276" s="91"/>
      <c r="AC276" s="91"/>
      <c r="AD276" s="91"/>
      <c r="AE276" s="91"/>
      <c r="AF276" s="93"/>
      <c r="AG276" s="90"/>
      <c r="AH276" s="91"/>
      <c r="AI276" s="91"/>
      <c r="AJ276" s="91"/>
      <c r="AK276" s="91"/>
      <c r="AL276" s="91"/>
      <c r="AM276" s="93"/>
      <c r="AN276" s="90"/>
      <c r="AO276" s="91"/>
      <c r="AP276" s="91"/>
      <c r="AQ276" s="91"/>
      <c r="AR276" s="91"/>
      <c r="AS276" s="91"/>
      <c r="AT276" s="93"/>
      <c r="AU276" s="37">
        <f t="shared" si="67"/>
        <v>0</v>
      </c>
      <c r="AV276" s="37">
        <f t="shared" si="68"/>
        <v>0</v>
      </c>
      <c r="AW276" s="37">
        <f t="shared" si="69"/>
        <v>0</v>
      </c>
      <c r="AX276" s="37">
        <f t="shared" si="70"/>
        <v>0</v>
      </c>
      <c r="AY276" s="37">
        <f t="shared" si="71"/>
        <v>0</v>
      </c>
      <c r="AZ276" s="37">
        <f t="shared" si="72"/>
        <v>0</v>
      </c>
      <c r="BA276" s="20"/>
    </row>
    <row r="277" spans="1:53" ht="14.1" customHeight="1" x14ac:dyDescent="0.25">
      <c r="A277" s="89"/>
      <c r="B277" s="101" t="str" cm="1">
        <f t="array" ref="B277">_xlfn.IFNA(INDEX(Employees[Employment Type],MATCH(Schedule!A277:A277,Employees[Employee Names],0)),"")</f>
        <v/>
      </c>
      <c r="C277" s="101" t="str">
        <f>_xlfn.IFNA(INDEX(Employees[Employee Role],MATCH(Schedule!A277,Employees[Employee Names],0)),"")</f>
        <v/>
      </c>
      <c r="D277" s="103"/>
      <c r="E277" s="90"/>
      <c r="F277" s="91"/>
      <c r="G277" s="91"/>
      <c r="H277" s="91"/>
      <c r="I277" s="91"/>
      <c r="J277" s="91"/>
      <c r="K277" s="92"/>
      <c r="L277" s="90"/>
      <c r="M277" s="91"/>
      <c r="N277" s="91"/>
      <c r="O277" s="91"/>
      <c r="P277" s="91"/>
      <c r="Q277" s="91"/>
      <c r="R277" s="92"/>
      <c r="S277" s="90"/>
      <c r="T277" s="91"/>
      <c r="U277" s="91"/>
      <c r="V277" s="91"/>
      <c r="W277" s="91"/>
      <c r="X277" s="91"/>
      <c r="Y277" s="92"/>
      <c r="Z277" s="90"/>
      <c r="AA277" s="91"/>
      <c r="AB277" s="91"/>
      <c r="AC277" s="91"/>
      <c r="AD277" s="91"/>
      <c r="AE277" s="91"/>
      <c r="AF277" s="93"/>
      <c r="AG277" s="90"/>
      <c r="AH277" s="91"/>
      <c r="AI277" s="91"/>
      <c r="AJ277" s="91"/>
      <c r="AK277" s="91"/>
      <c r="AL277" s="91"/>
      <c r="AM277" s="93"/>
      <c r="AN277" s="90"/>
      <c r="AO277" s="91"/>
      <c r="AP277" s="91"/>
      <c r="AQ277" s="91"/>
      <c r="AR277" s="91"/>
      <c r="AS277" s="91"/>
      <c r="AT277" s="93"/>
      <c r="AU277" s="37">
        <f t="shared" si="67"/>
        <v>0</v>
      </c>
      <c r="AV277" s="37">
        <f t="shared" si="68"/>
        <v>0</v>
      </c>
      <c r="AW277" s="37">
        <f t="shared" si="69"/>
        <v>0</v>
      </c>
      <c r="AX277" s="37">
        <f t="shared" si="70"/>
        <v>0</v>
      </c>
      <c r="AY277" s="37">
        <f t="shared" si="71"/>
        <v>0</v>
      </c>
      <c r="AZ277" s="37">
        <f t="shared" si="72"/>
        <v>0</v>
      </c>
      <c r="BA277" s="20"/>
    </row>
    <row r="278" spans="1:53" ht="14.1" customHeight="1" x14ac:dyDescent="0.25">
      <c r="A278" s="89"/>
      <c r="B278" s="101" t="str" cm="1">
        <f t="array" ref="B278">_xlfn.IFNA(INDEX(Employees[Employment Type],MATCH(Schedule!A278:A278,Employees[Employee Names],0)),"")</f>
        <v/>
      </c>
      <c r="C278" s="101" t="str">
        <f>_xlfn.IFNA(INDEX(Employees[Employee Role],MATCH(Schedule!A278,Employees[Employee Names],0)),"")</f>
        <v/>
      </c>
      <c r="D278" s="103"/>
      <c r="E278" s="90"/>
      <c r="F278" s="91"/>
      <c r="G278" s="91"/>
      <c r="H278" s="91"/>
      <c r="I278" s="91"/>
      <c r="J278" s="91"/>
      <c r="K278" s="92"/>
      <c r="L278" s="90"/>
      <c r="M278" s="91"/>
      <c r="N278" s="91"/>
      <c r="O278" s="91"/>
      <c r="P278" s="91"/>
      <c r="Q278" s="91"/>
      <c r="R278" s="92"/>
      <c r="S278" s="90"/>
      <c r="T278" s="91"/>
      <c r="U278" s="91"/>
      <c r="V278" s="91"/>
      <c r="W278" s="91"/>
      <c r="X278" s="91"/>
      <c r="Y278" s="92"/>
      <c r="Z278" s="90"/>
      <c r="AA278" s="91"/>
      <c r="AB278" s="91"/>
      <c r="AC278" s="91"/>
      <c r="AD278" s="91"/>
      <c r="AE278" s="91"/>
      <c r="AF278" s="93"/>
      <c r="AG278" s="90"/>
      <c r="AH278" s="91"/>
      <c r="AI278" s="91"/>
      <c r="AJ278" s="91"/>
      <c r="AK278" s="91"/>
      <c r="AL278" s="91"/>
      <c r="AM278" s="93"/>
      <c r="AN278" s="90"/>
      <c r="AO278" s="91"/>
      <c r="AP278" s="91"/>
      <c r="AQ278" s="91"/>
      <c r="AR278" s="91"/>
      <c r="AS278" s="91"/>
      <c r="AT278" s="93"/>
      <c r="AU278" s="37">
        <f t="shared" si="67"/>
        <v>0</v>
      </c>
      <c r="AV278" s="37">
        <f t="shared" si="68"/>
        <v>0</v>
      </c>
      <c r="AW278" s="37">
        <f t="shared" si="69"/>
        <v>0</v>
      </c>
      <c r="AX278" s="37">
        <f t="shared" si="70"/>
        <v>0</v>
      </c>
      <c r="AY278" s="37">
        <f t="shared" si="71"/>
        <v>0</v>
      </c>
      <c r="AZ278" s="37">
        <f t="shared" si="72"/>
        <v>0</v>
      </c>
      <c r="BA278" s="20"/>
    </row>
    <row r="279" spans="1:53" ht="14.1" customHeight="1" x14ac:dyDescent="0.25">
      <c r="A279" s="89"/>
      <c r="B279" s="101" t="str" cm="1">
        <f t="array" ref="B279">_xlfn.IFNA(INDEX(Employees[Employment Type],MATCH(Schedule!A279:A279,Employees[Employee Names],0)),"")</f>
        <v/>
      </c>
      <c r="C279" s="101" t="str">
        <f>_xlfn.IFNA(INDEX(Employees[Employee Role],MATCH(Schedule!A279,Employees[Employee Names],0)),"")</f>
        <v/>
      </c>
      <c r="D279" s="103"/>
      <c r="E279" s="90"/>
      <c r="F279" s="91"/>
      <c r="G279" s="91"/>
      <c r="H279" s="91"/>
      <c r="I279" s="91"/>
      <c r="J279" s="91"/>
      <c r="K279" s="92"/>
      <c r="L279" s="90"/>
      <c r="M279" s="91"/>
      <c r="N279" s="91"/>
      <c r="O279" s="91"/>
      <c r="P279" s="91"/>
      <c r="Q279" s="91"/>
      <c r="R279" s="92"/>
      <c r="S279" s="90"/>
      <c r="T279" s="91"/>
      <c r="U279" s="91"/>
      <c r="V279" s="91"/>
      <c r="W279" s="91"/>
      <c r="X279" s="91"/>
      <c r="Y279" s="92"/>
      <c r="Z279" s="90"/>
      <c r="AA279" s="91"/>
      <c r="AB279" s="91"/>
      <c r="AC279" s="91"/>
      <c r="AD279" s="91"/>
      <c r="AE279" s="91"/>
      <c r="AF279" s="93"/>
      <c r="AG279" s="90"/>
      <c r="AH279" s="91"/>
      <c r="AI279" s="91"/>
      <c r="AJ279" s="91"/>
      <c r="AK279" s="91"/>
      <c r="AL279" s="91"/>
      <c r="AM279" s="93"/>
      <c r="AN279" s="90"/>
      <c r="AO279" s="91"/>
      <c r="AP279" s="91"/>
      <c r="AQ279" s="91"/>
      <c r="AR279" s="91"/>
      <c r="AS279" s="91"/>
      <c r="AT279" s="93"/>
      <c r="AU279" s="37">
        <f t="shared" si="67"/>
        <v>0</v>
      </c>
      <c r="AV279" s="37">
        <f t="shared" si="68"/>
        <v>0</v>
      </c>
      <c r="AW279" s="37">
        <f t="shared" si="69"/>
        <v>0</v>
      </c>
      <c r="AX279" s="37">
        <f t="shared" si="70"/>
        <v>0</v>
      </c>
      <c r="AY279" s="37">
        <f t="shared" si="71"/>
        <v>0</v>
      </c>
      <c r="AZ279" s="37">
        <f t="shared" si="72"/>
        <v>0</v>
      </c>
      <c r="BA279" s="20"/>
    </row>
    <row r="280" spans="1:53" ht="14.1" customHeight="1" x14ac:dyDescent="0.25">
      <c r="A280" s="89"/>
      <c r="B280" s="101" t="str" cm="1">
        <f t="array" ref="B280">_xlfn.IFNA(INDEX(Employees[Employment Type],MATCH(Schedule!A280:A280,Employees[Employee Names],0)),"")</f>
        <v/>
      </c>
      <c r="C280" s="101" t="str">
        <f>_xlfn.IFNA(INDEX(Employees[Employee Role],MATCH(Schedule!A280,Employees[Employee Names],0)),"")</f>
        <v/>
      </c>
      <c r="D280" s="103"/>
      <c r="E280" s="90"/>
      <c r="F280" s="91"/>
      <c r="G280" s="91"/>
      <c r="H280" s="91"/>
      <c r="I280" s="91"/>
      <c r="J280" s="91"/>
      <c r="K280" s="92"/>
      <c r="L280" s="90"/>
      <c r="M280" s="91"/>
      <c r="N280" s="91"/>
      <c r="O280" s="91"/>
      <c r="P280" s="91"/>
      <c r="Q280" s="91"/>
      <c r="R280" s="92"/>
      <c r="S280" s="90"/>
      <c r="T280" s="91"/>
      <c r="U280" s="91"/>
      <c r="V280" s="91"/>
      <c r="W280" s="91"/>
      <c r="X280" s="91"/>
      <c r="Y280" s="92"/>
      <c r="Z280" s="90"/>
      <c r="AA280" s="91"/>
      <c r="AB280" s="91"/>
      <c r="AC280" s="91"/>
      <c r="AD280" s="91"/>
      <c r="AE280" s="91"/>
      <c r="AF280" s="93"/>
      <c r="AG280" s="90"/>
      <c r="AH280" s="91"/>
      <c r="AI280" s="91"/>
      <c r="AJ280" s="91"/>
      <c r="AK280" s="91"/>
      <c r="AL280" s="91"/>
      <c r="AM280" s="93"/>
      <c r="AN280" s="90"/>
      <c r="AO280" s="91"/>
      <c r="AP280" s="91"/>
      <c r="AQ280" s="91"/>
      <c r="AR280" s="91"/>
      <c r="AS280" s="91"/>
      <c r="AT280" s="93"/>
      <c r="AU280" s="37">
        <f t="shared" si="67"/>
        <v>0</v>
      </c>
      <c r="AV280" s="37">
        <f t="shared" si="68"/>
        <v>0</v>
      </c>
      <c r="AW280" s="37">
        <f t="shared" si="69"/>
        <v>0</v>
      </c>
      <c r="AX280" s="37">
        <f t="shared" si="70"/>
        <v>0</v>
      </c>
      <c r="AY280" s="37">
        <f t="shared" si="71"/>
        <v>0</v>
      </c>
      <c r="AZ280" s="37">
        <f t="shared" si="72"/>
        <v>0</v>
      </c>
      <c r="BA280" s="20"/>
    </row>
    <row r="281" spans="1:53" ht="14.1" customHeight="1" x14ac:dyDescent="0.25">
      <c r="A281" s="89"/>
      <c r="B281" s="101" t="str" cm="1">
        <f t="array" ref="B281">_xlfn.IFNA(INDEX(Employees[Employment Type],MATCH(Schedule!A281:A281,Employees[Employee Names],0)),"")</f>
        <v/>
      </c>
      <c r="C281" s="101" t="str">
        <f>_xlfn.IFNA(INDEX(Employees[Employee Role],MATCH(Schedule!A281,Employees[Employee Names],0)),"")</f>
        <v/>
      </c>
      <c r="D281" s="103"/>
      <c r="E281" s="90"/>
      <c r="F281" s="91"/>
      <c r="G281" s="91"/>
      <c r="H281" s="91"/>
      <c r="I281" s="91"/>
      <c r="J281" s="91"/>
      <c r="K281" s="92"/>
      <c r="L281" s="90"/>
      <c r="M281" s="91"/>
      <c r="N281" s="91"/>
      <c r="O281" s="91"/>
      <c r="P281" s="91"/>
      <c r="Q281" s="91"/>
      <c r="R281" s="92"/>
      <c r="S281" s="90"/>
      <c r="T281" s="91"/>
      <c r="U281" s="91"/>
      <c r="V281" s="91"/>
      <c r="W281" s="91"/>
      <c r="X281" s="91"/>
      <c r="Y281" s="92"/>
      <c r="Z281" s="90"/>
      <c r="AA281" s="91"/>
      <c r="AB281" s="91"/>
      <c r="AC281" s="91"/>
      <c r="AD281" s="91"/>
      <c r="AE281" s="91"/>
      <c r="AF281" s="93"/>
      <c r="AG281" s="90"/>
      <c r="AH281" s="91"/>
      <c r="AI281" s="91"/>
      <c r="AJ281" s="91"/>
      <c r="AK281" s="91"/>
      <c r="AL281" s="91"/>
      <c r="AM281" s="93"/>
      <c r="AN281" s="90"/>
      <c r="AO281" s="91"/>
      <c r="AP281" s="91"/>
      <c r="AQ281" s="91"/>
      <c r="AR281" s="91"/>
      <c r="AS281" s="91"/>
      <c r="AT281" s="93"/>
      <c r="AU281" s="37">
        <f t="shared" si="67"/>
        <v>0</v>
      </c>
      <c r="AV281" s="37">
        <f t="shared" si="68"/>
        <v>0</v>
      </c>
      <c r="AW281" s="37">
        <f t="shared" si="69"/>
        <v>0</v>
      </c>
      <c r="AX281" s="37">
        <f t="shared" si="70"/>
        <v>0</v>
      </c>
      <c r="AY281" s="37">
        <f t="shared" si="71"/>
        <v>0</v>
      </c>
      <c r="AZ281" s="37">
        <f t="shared" si="72"/>
        <v>0</v>
      </c>
      <c r="BA281" s="20"/>
    </row>
    <row r="282" spans="1:53" ht="14.1" customHeight="1" x14ac:dyDescent="0.25">
      <c r="A282" s="89"/>
      <c r="B282" s="101" t="str" cm="1">
        <f t="array" ref="B282">_xlfn.IFNA(INDEX(Employees[Employment Type],MATCH(Schedule!A282:A282,Employees[Employee Names],0)),"")</f>
        <v/>
      </c>
      <c r="C282" s="101" t="str">
        <f>_xlfn.IFNA(INDEX(Employees[Employee Role],MATCH(Schedule!A282,Employees[Employee Names],0)),"")</f>
        <v/>
      </c>
      <c r="D282" s="103"/>
      <c r="E282" s="90"/>
      <c r="F282" s="91"/>
      <c r="G282" s="91"/>
      <c r="H282" s="91"/>
      <c r="I282" s="91"/>
      <c r="J282" s="91"/>
      <c r="K282" s="92"/>
      <c r="L282" s="90"/>
      <c r="M282" s="91"/>
      <c r="N282" s="91"/>
      <c r="O282" s="91"/>
      <c r="P282" s="91"/>
      <c r="Q282" s="91"/>
      <c r="R282" s="92"/>
      <c r="S282" s="90"/>
      <c r="T282" s="91"/>
      <c r="U282" s="91"/>
      <c r="V282" s="91"/>
      <c r="W282" s="91"/>
      <c r="X282" s="91"/>
      <c r="Y282" s="92"/>
      <c r="Z282" s="90"/>
      <c r="AA282" s="91"/>
      <c r="AB282" s="91"/>
      <c r="AC282" s="91"/>
      <c r="AD282" s="91"/>
      <c r="AE282" s="91"/>
      <c r="AF282" s="93"/>
      <c r="AG282" s="90"/>
      <c r="AH282" s="91"/>
      <c r="AI282" s="91"/>
      <c r="AJ282" s="91"/>
      <c r="AK282" s="91"/>
      <c r="AL282" s="91"/>
      <c r="AM282" s="93"/>
      <c r="AN282" s="90"/>
      <c r="AO282" s="91"/>
      <c r="AP282" s="91"/>
      <c r="AQ282" s="91"/>
      <c r="AR282" s="91"/>
      <c r="AS282" s="91"/>
      <c r="AT282" s="93"/>
      <c r="AU282" s="37">
        <f t="shared" si="67"/>
        <v>0</v>
      </c>
      <c r="AV282" s="37">
        <f t="shared" si="68"/>
        <v>0</v>
      </c>
      <c r="AW282" s="37">
        <f t="shared" si="69"/>
        <v>0</v>
      </c>
      <c r="AX282" s="37">
        <f t="shared" si="70"/>
        <v>0</v>
      </c>
      <c r="AY282" s="37">
        <f t="shared" si="71"/>
        <v>0</v>
      </c>
      <c r="AZ282" s="37">
        <f t="shared" si="72"/>
        <v>0</v>
      </c>
      <c r="BA282" s="20"/>
    </row>
    <row r="283" spans="1:53" ht="14.1" customHeight="1" x14ac:dyDescent="0.25">
      <c r="A283" s="89"/>
      <c r="B283" s="101" t="str" cm="1">
        <f t="array" ref="B283">_xlfn.IFNA(INDEX(Employees[Employment Type],MATCH(Schedule!A283:A283,Employees[Employee Names],0)),"")</f>
        <v/>
      </c>
      <c r="C283" s="101" t="str">
        <f>_xlfn.IFNA(INDEX(Employees[Employee Role],MATCH(Schedule!A283,Employees[Employee Names],0)),"")</f>
        <v/>
      </c>
      <c r="D283" s="103"/>
      <c r="E283" s="90"/>
      <c r="F283" s="91"/>
      <c r="G283" s="91"/>
      <c r="H283" s="91"/>
      <c r="I283" s="91"/>
      <c r="J283" s="91"/>
      <c r="K283" s="92"/>
      <c r="L283" s="90"/>
      <c r="M283" s="91"/>
      <c r="N283" s="91"/>
      <c r="O283" s="91"/>
      <c r="P283" s="91"/>
      <c r="Q283" s="91"/>
      <c r="R283" s="92"/>
      <c r="S283" s="90"/>
      <c r="T283" s="91"/>
      <c r="U283" s="91"/>
      <c r="V283" s="91"/>
      <c r="W283" s="91"/>
      <c r="X283" s="91"/>
      <c r="Y283" s="92"/>
      <c r="Z283" s="90"/>
      <c r="AA283" s="91"/>
      <c r="AB283" s="91"/>
      <c r="AC283" s="91"/>
      <c r="AD283" s="91"/>
      <c r="AE283" s="91"/>
      <c r="AF283" s="93"/>
      <c r="AG283" s="90"/>
      <c r="AH283" s="91"/>
      <c r="AI283" s="91"/>
      <c r="AJ283" s="91"/>
      <c r="AK283" s="91"/>
      <c r="AL283" s="91"/>
      <c r="AM283" s="93"/>
      <c r="AN283" s="90"/>
      <c r="AO283" s="91"/>
      <c r="AP283" s="91"/>
      <c r="AQ283" s="91"/>
      <c r="AR283" s="91"/>
      <c r="AS283" s="91"/>
      <c r="AT283" s="93"/>
      <c r="AU283" s="37">
        <f t="shared" si="67"/>
        <v>0</v>
      </c>
      <c r="AV283" s="37">
        <f t="shared" si="68"/>
        <v>0</v>
      </c>
      <c r="AW283" s="37">
        <f t="shared" si="69"/>
        <v>0</v>
      </c>
      <c r="AX283" s="37">
        <f t="shared" si="70"/>
        <v>0</v>
      </c>
      <c r="AY283" s="37">
        <f t="shared" si="71"/>
        <v>0</v>
      </c>
      <c r="AZ283" s="37">
        <f t="shared" si="72"/>
        <v>0</v>
      </c>
      <c r="BA283" s="20"/>
    </row>
    <row r="284" spans="1:53" ht="14.1" customHeight="1" x14ac:dyDescent="0.25">
      <c r="A284" s="89"/>
      <c r="B284" s="101" t="str" cm="1">
        <f t="array" ref="B284">_xlfn.IFNA(INDEX(Employees[Employment Type],MATCH(Schedule!A284:A284,Employees[Employee Names],0)),"")</f>
        <v/>
      </c>
      <c r="C284" s="101" t="str">
        <f>_xlfn.IFNA(INDEX(Employees[Employee Role],MATCH(Schedule!A284,Employees[Employee Names],0)),"")</f>
        <v/>
      </c>
      <c r="D284" s="103"/>
      <c r="E284" s="90"/>
      <c r="F284" s="91"/>
      <c r="G284" s="91"/>
      <c r="H284" s="91"/>
      <c r="I284" s="91"/>
      <c r="J284" s="91"/>
      <c r="K284" s="92"/>
      <c r="L284" s="90"/>
      <c r="M284" s="91"/>
      <c r="N284" s="91"/>
      <c r="O284" s="91"/>
      <c r="P284" s="91"/>
      <c r="Q284" s="91"/>
      <c r="R284" s="92"/>
      <c r="S284" s="90"/>
      <c r="T284" s="91"/>
      <c r="U284" s="91"/>
      <c r="V284" s="91"/>
      <c r="W284" s="91"/>
      <c r="X284" s="91"/>
      <c r="Y284" s="92"/>
      <c r="Z284" s="90"/>
      <c r="AA284" s="91"/>
      <c r="AB284" s="91"/>
      <c r="AC284" s="91"/>
      <c r="AD284" s="91"/>
      <c r="AE284" s="91"/>
      <c r="AF284" s="93"/>
      <c r="AG284" s="90"/>
      <c r="AH284" s="91"/>
      <c r="AI284" s="91"/>
      <c r="AJ284" s="91"/>
      <c r="AK284" s="91"/>
      <c r="AL284" s="91"/>
      <c r="AM284" s="93"/>
      <c r="AN284" s="90"/>
      <c r="AO284" s="91"/>
      <c r="AP284" s="91"/>
      <c r="AQ284" s="91"/>
      <c r="AR284" s="91"/>
      <c r="AS284" s="91"/>
      <c r="AT284" s="93"/>
      <c r="AU284" s="37">
        <f t="shared" si="67"/>
        <v>0</v>
      </c>
      <c r="AV284" s="37">
        <f t="shared" si="68"/>
        <v>0</v>
      </c>
      <c r="AW284" s="37">
        <f t="shared" si="69"/>
        <v>0</v>
      </c>
      <c r="AX284" s="37">
        <f t="shared" si="70"/>
        <v>0</v>
      </c>
      <c r="AY284" s="37">
        <f t="shared" si="71"/>
        <v>0</v>
      </c>
      <c r="AZ284" s="37">
        <f t="shared" si="72"/>
        <v>0</v>
      </c>
      <c r="BA284" s="20"/>
    </row>
    <row r="285" spans="1:53" ht="14.1" customHeight="1" x14ac:dyDescent="0.25">
      <c r="A285" s="89"/>
      <c r="B285" s="101" t="str" cm="1">
        <f t="array" ref="B285">_xlfn.IFNA(INDEX(Employees[Employment Type],MATCH(Schedule!A285:A285,Employees[Employee Names],0)),"")</f>
        <v/>
      </c>
      <c r="C285" s="101" t="str">
        <f>_xlfn.IFNA(INDEX(Employees[Employee Role],MATCH(Schedule!A285,Employees[Employee Names],0)),"")</f>
        <v/>
      </c>
      <c r="D285" s="103"/>
      <c r="E285" s="90"/>
      <c r="F285" s="91"/>
      <c r="G285" s="91"/>
      <c r="H285" s="91"/>
      <c r="I285" s="91"/>
      <c r="J285" s="91"/>
      <c r="K285" s="92"/>
      <c r="L285" s="90"/>
      <c r="M285" s="91"/>
      <c r="N285" s="91"/>
      <c r="O285" s="91"/>
      <c r="P285" s="91"/>
      <c r="Q285" s="91"/>
      <c r="R285" s="92"/>
      <c r="S285" s="90"/>
      <c r="T285" s="91"/>
      <c r="U285" s="91"/>
      <c r="V285" s="91"/>
      <c r="W285" s="91"/>
      <c r="X285" s="91"/>
      <c r="Y285" s="92"/>
      <c r="Z285" s="90"/>
      <c r="AA285" s="91"/>
      <c r="AB285" s="91"/>
      <c r="AC285" s="91"/>
      <c r="AD285" s="91"/>
      <c r="AE285" s="91"/>
      <c r="AF285" s="93"/>
      <c r="AG285" s="90"/>
      <c r="AH285" s="91"/>
      <c r="AI285" s="91"/>
      <c r="AJ285" s="91"/>
      <c r="AK285" s="91"/>
      <c r="AL285" s="91"/>
      <c r="AM285" s="93"/>
      <c r="AN285" s="90"/>
      <c r="AO285" s="91"/>
      <c r="AP285" s="91"/>
      <c r="AQ285" s="91"/>
      <c r="AR285" s="91"/>
      <c r="AS285" s="91"/>
      <c r="AT285" s="93"/>
      <c r="AU285" s="37">
        <f t="shared" si="67"/>
        <v>0</v>
      </c>
      <c r="AV285" s="37">
        <f t="shared" si="68"/>
        <v>0</v>
      </c>
      <c r="AW285" s="37">
        <f t="shared" si="69"/>
        <v>0</v>
      </c>
      <c r="AX285" s="37">
        <f t="shared" si="70"/>
        <v>0</v>
      </c>
      <c r="AY285" s="37">
        <f t="shared" si="71"/>
        <v>0</v>
      </c>
      <c r="AZ285" s="37">
        <f t="shared" si="72"/>
        <v>0</v>
      </c>
      <c r="BA285" s="20"/>
    </row>
    <row r="286" spans="1:53" ht="14.1" customHeight="1" x14ac:dyDescent="0.25">
      <c r="A286" s="89"/>
      <c r="B286" s="101" t="str" cm="1">
        <f t="array" ref="B286">_xlfn.IFNA(INDEX(Employees[Employment Type],MATCH(Schedule!A286:A286,Employees[Employee Names],0)),"")</f>
        <v/>
      </c>
      <c r="C286" s="101" t="str">
        <f>_xlfn.IFNA(INDEX(Employees[Employee Role],MATCH(Schedule!A286,Employees[Employee Names],0)),"")</f>
        <v/>
      </c>
      <c r="D286" s="103"/>
      <c r="E286" s="90"/>
      <c r="F286" s="91"/>
      <c r="G286" s="91"/>
      <c r="H286" s="91"/>
      <c r="I286" s="91"/>
      <c r="J286" s="91"/>
      <c r="K286" s="92"/>
      <c r="L286" s="90"/>
      <c r="M286" s="91"/>
      <c r="N286" s="91"/>
      <c r="O286" s="91"/>
      <c r="P286" s="91"/>
      <c r="Q286" s="91"/>
      <c r="R286" s="92"/>
      <c r="S286" s="90"/>
      <c r="T286" s="91"/>
      <c r="U286" s="91"/>
      <c r="V286" s="91"/>
      <c r="W286" s="91"/>
      <c r="X286" s="91"/>
      <c r="Y286" s="92"/>
      <c r="Z286" s="90"/>
      <c r="AA286" s="91"/>
      <c r="AB286" s="91"/>
      <c r="AC286" s="91"/>
      <c r="AD286" s="91"/>
      <c r="AE286" s="91"/>
      <c r="AF286" s="93"/>
      <c r="AG286" s="90"/>
      <c r="AH286" s="91"/>
      <c r="AI286" s="91"/>
      <c r="AJ286" s="91"/>
      <c r="AK286" s="91"/>
      <c r="AL286" s="91"/>
      <c r="AM286" s="93"/>
      <c r="AN286" s="90"/>
      <c r="AO286" s="91"/>
      <c r="AP286" s="91"/>
      <c r="AQ286" s="91"/>
      <c r="AR286" s="91"/>
      <c r="AS286" s="91"/>
      <c r="AT286" s="93"/>
      <c r="AU286" s="37">
        <f t="shared" si="67"/>
        <v>0</v>
      </c>
      <c r="AV286" s="37">
        <f t="shared" si="68"/>
        <v>0</v>
      </c>
      <c r="AW286" s="37">
        <f t="shared" si="69"/>
        <v>0</v>
      </c>
      <c r="AX286" s="37">
        <f t="shared" si="70"/>
        <v>0</v>
      </c>
      <c r="AY286" s="37">
        <f t="shared" si="71"/>
        <v>0</v>
      </c>
      <c r="AZ286" s="37">
        <f t="shared" si="72"/>
        <v>0</v>
      </c>
      <c r="BA286" s="20"/>
    </row>
    <row r="287" spans="1:53" ht="14.1" customHeight="1" x14ac:dyDescent="0.25">
      <c r="A287" s="89"/>
      <c r="B287" s="101" t="str" cm="1">
        <f t="array" ref="B287">_xlfn.IFNA(INDEX(Employees[Employment Type],MATCH(Schedule!A287:A287,Employees[Employee Names],0)),"")</f>
        <v/>
      </c>
      <c r="C287" s="101" t="str">
        <f>_xlfn.IFNA(INDEX(Employees[Employee Role],MATCH(Schedule!A287,Employees[Employee Names],0)),"")</f>
        <v/>
      </c>
      <c r="D287" s="103"/>
      <c r="E287" s="90"/>
      <c r="F287" s="91"/>
      <c r="G287" s="91"/>
      <c r="H287" s="91"/>
      <c r="I287" s="91"/>
      <c r="J287" s="91"/>
      <c r="K287" s="92"/>
      <c r="L287" s="90"/>
      <c r="M287" s="91"/>
      <c r="N287" s="91"/>
      <c r="O287" s="91"/>
      <c r="P287" s="91"/>
      <c r="Q287" s="91"/>
      <c r="R287" s="92"/>
      <c r="S287" s="90"/>
      <c r="T287" s="91"/>
      <c r="U287" s="91"/>
      <c r="V287" s="91"/>
      <c r="W287" s="91"/>
      <c r="X287" s="91"/>
      <c r="Y287" s="92"/>
      <c r="Z287" s="90"/>
      <c r="AA287" s="91"/>
      <c r="AB287" s="91"/>
      <c r="AC287" s="91"/>
      <c r="AD287" s="91"/>
      <c r="AE287" s="91"/>
      <c r="AF287" s="93"/>
      <c r="AG287" s="90"/>
      <c r="AH287" s="91"/>
      <c r="AI287" s="91"/>
      <c r="AJ287" s="91"/>
      <c r="AK287" s="91"/>
      <c r="AL287" s="91"/>
      <c r="AM287" s="93"/>
      <c r="AN287" s="90"/>
      <c r="AO287" s="91"/>
      <c r="AP287" s="91"/>
      <c r="AQ287" s="91"/>
      <c r="AR287" s="91"/>
      <c r="AS287" s="91"/>
      <c r="AT287" s="93"/>
      <c r="AU287" s="37">
        <f t="shared" si="67"/>
        <v>0</v>
      </c>
      <c r="AV287" s="37">
        <f t="shared" si="68"/>
        <v>0</v>
      </c>
      <c r="AW287" s="37">
        <f t="shared" si="69"/>
        <v>0</v>
      </c>
      <c r="AX287" s="37">
        <f t="shared" si="70"/>
        <v>0</v>
      </c>
      <c r="AY287" s="37">
        <f t="shared" si="71"/>
        <v>0</v>
      </c>
      <c r="AZ287" s="37">
        <f t="shared" si="72"/>
        <v>0</v>
      </c>
      <c r="BA287" s="20"/>
    </row>
    <row r="288" spans="1:53" ht="14.1" customHeight="1" x14ac:dyDescent="0.25">
      <c r="A288" s="89"/>
      <c r="B288" s="101" t="str" cm="1">
        <f t="array" ref="B288">_xlfn.IFNA(INDEX(Employees[Employment Type],MATCH(Schedule!A288:A288,Employees[Employee Names],0)),"")</f>
        <v/>
      </c>
      <c r="C288" s="101" t="str">
        <f>_xlfn.IFNA(INDEX(Employees[Employee Role],MATCH(Schedule!A288,Employees[Employee Names],0)),"")</f>
        <v/>
      </c>
      <c r="D288" s="103"/>
      <c r="E288" s="90"/>
      <c r="F288" s="91"/>
      <c r="G288" s="91"/>
      <c r="H288" s="91"/>
      <c r="I288" s="91"/>
      <c r="J288" s="91"/>
      <c r="K288" s="92"/>
      <c r="L288" s="90"/>
      <c r="M288" s="91"/>
      <c r="N288" s="91"/>
      <c r="O288" s="91"/>
      <c r="P288" s="91"/>
      <c r="Q288" s="91"/>
      <c r="R288" s="92"/>
      <c r="S288" s="90"/>
      <c r="T288" s="91"/>
      <c r="U288" s="91"/>
      <c r="V288" s="91"/>
      <c r="W288" s="91"/>
      <c r="X288" s="91"/>
      <c r="Y288" s="92"/>
      <c r="Z288" s="90"/>
      <c r="AA288" s="91"/>
      <c r="AB288" s="91"/>
      <c r="AC288" s="91"/>
      <c r="AD288" s="91"/>
      <c r="AE288" s="91"/>
      <c r="AF288" s="93"/>
      <c r="AG288" s="90"/>
      <c r="AH288" s="91"/>
      <c r="AI288" s="91"/>
      <c r="AJ288" s="91"/>
      <c r="AK288" s="91"/>
      <c r="AL288" s="91"/>
      <c r="AM288" s="93"/>
      <c r="AN288" s="90"/>
      <c r="AO288" s="91"/>
      <c r="AP288" s="91"/>
      <c r="AQ288" s="91"/>
      <c r="AR288" s="91"/>
      <c r="AS288" s="91"/>
      <c r="AT288" s="93"/>
      <c r="AU288" s="37">
        <f t="shared" si="67"/>
        <v>0</v>
      </c>
      <c r="AV288" s="37">
        <f t="shared" si="68"/>
        <v>0</v>
      </c>
      <c r="AW288" s="37">
        <f t="shared" si="69"/>
        <v>0</v>
      </c>
      <c r="AX288" s="37">
        <f t="shared" si="70"/>
        <v>0</v>
      </c>
      <c r="AY288" s="37">
        <f t="shared" si="71"/>
        <v>0</v>
      </c>
      <c r="AZ288" s="37">
        <f t="shared" si="72"/>
        <v>0</v>
      </c>
      <c r="BA288" s="20"/>
    </row>
    <row r="289" spans="1:53" ht="14.1" customHeight="1" x14ac:dyDescent="0.25">
      <c r="A289" s="89"/>
      <c r="B289" s="101" t="str" cm="1">
        <f t="array" ref="B289">_xlfn.IFNA(INDEX(Employees[Employment Type],MATCH(Schedule!A289:A289,Employees[Employee Names],0)),"")</f>
        <v/>
      </c>
      <c r="C289" s="101" t="str">
        <f>_xlfn.IFNA(INDEX(Employees[Employee Role],MATCH(Schedule!A289,Employees[Employee Names],0)),"")</f>
        <v/>
      </c>
      <c r="D289" s="103"/>
      <c r="E289" s="90"/>
      <c r="F289" s="91"/>
      <c r="G289" s="91"/>
      <c r="H289" s="91"/>
      <c r="I289" s="91"/>
      <c r="J289" s="91"/>
      <c r="K289" s="92"/>
      <c r="L289" s="90"/>
      <c r="M289" s="91"/>
      <c r="N289" s="91"/>
      <c r="O289" s="91"/>
      <c r="P289" s="91"/>
      <c r="Q289" s="91"/>
      <c r="R289" s="92"/>
      <c r="S289" s="90"/>
      <c r="T289" s="91"/>
      <c r="U289" s="91"/>
      <c r="V289" s="91"/>
      <c r="W289" s="91"/>
      <c r="X289" s="91"/>
      <c r="Y289" s="92"/>
      <c r="Z289" s="90"/>
      <c r="AA289" s="91"/>
      <c r="AB289" s="91"/>
      <c r="AC289" s="91"/>
      <c r="AD289" s="91"/>
      <c r="AE289" s="91"/>
      <c r="AF289" s="93"/>
      <c r="AG289" s="90"/>
      <c r="AH289" s="91"/>
      <c r="AI289" s="91"/>
      <c r="AJ289" s="91"/>
      <c r="AK289" s="91"/>
      <c r="AL289" s="91"/>
      <c r="AM289" s="93"/>
      <c r="AN289" s="90"/>
      <c r="AO289" s="91"/>
      <c r="AP289" s="91"/>
      <c r="AQ289" s="91"/>
      <c r="AR289" s="91"/>
      <c r="AS289" s="91"/>
      <c r="AT289" s="93"/>
      <c r="AU289" s="37">
        <f t="shared" ref="AU289:AU323" si="73">SUM($E289:$K289)</f>
        <v>0</v>
      </c>
      <c r="AV289" s="37">
        <f t="shared" ref="AV289:AV323" si="74">SUM($L289:$R289)</f>
        <v>0</v>
      </c>
      <c r="AW289" s="37">
        <f t="shared" ref="AW289:AW323" si="75">SUM($S289:$Y289)</f>
        <v>0</v>
      </c>
      <c r="AX289" s="37">
        <f t="shared" ref="AX289:AX323" si="76">SUM($Z289:$AF289)</f>
        <v>0</v>
      </c>
      <c r="AY289" s="37">
        <f t="shared" ref="AY289:AY323" si="77">SUM($AG289:$AM289)</f>
        <v>0</v>
      </c>
      <c r="AZ289" s="37">
        <f t="shared" ref="AZ289:AZ323" si="78">SUM($AN289:$AT289)</f>
        <v>0</v>
      </c>
      <c r="BA289" s="20"/>
    </row>
    <row r="290" spans="1:53" ht="14.1" customHeight="1" x14ac:dyDescent="0.25">
      <c r="A290" s="89"/>
      <c r="B290" s="101" t="str" cm="1">
        <f t="array" ref="B290">_xlfn.IFNA(INDEX(Employees[Employment Type],MATCH(Schedule!A290:A290,Employees[Employee Names],0)),"")</f>
        <v/>
      </c>
      <c r="C290" s="101" t="str">
        <f>_xlfn.IFNA(INDEX(Employees[Employee Role],MATCH(Schedule!A290,Employees[Employee Names],0)),"")</f>
        <v/>
      </c>
      <c r="D290" s="103"/>
      <c r="E290" s="90"/>
      <c r="F290" s="91"/>
      <c r="G290" s="91"/>
      <c r="H290" s="91"/>
      <c r="I290" s="91"/>
      <c r="J290" s="91"/>
      <c r="K290" s="92"/>
      <c r="L290" s="90"/>
      <c r="M290" s="91"/>
      <c r="N290" s="91"/>
      <c r="O290" s="91"/>
      <c r="P290" s="91"/>
      <c r="Q290" s="91"/>
      <c r="R290" s="92"/>
      <c r="S290" s="90"/>
      <c r="T290" s="91"/>
      <c r="U290" s="91"/>
      <c r="V290" s="91"/>
      <c r="W290" s="91"/>
      <c r="X290" s="91"/>
      <c r="Y290" s="92"/>
      <c r="Z290" s="90"/>
      <c r="AA290" s="91"/>
      <c r="AB290" s="91"/>
      <c r="AC290" s="91"/>
      <c r="AD290" s="91"/>
      <c r="AE290" s="91"/>
      <c r="AF290" s="93"/>
      <c r="AG290" s="90"/>
      <c r="AH290" s="91"/>
      <c r="AI290" s="91"/>
      <c r="AJ290" s="91"/>
      <c r="AK290" s="91"/>
      <c r="AL290" s="91"/>
      <c r="AM290" s="93"/>
      <c r="AN290" s="90"/>
      <c r="AO290" s="91"/>
      <c r="AP290" s="91"/>
      <c r="AQ290" s="91"/>
      <c r="AR290" s="91"/>
      <c r="AS290" s="91"/>
      <c r="AT290" s="93"/>
      <c r="AU290" s="37">
        <f t="shared" si="73"/>
        <v>0</v>
      </c>
      <c r="AV290" s="37">
        <f t="shared" si="74"/>
        <v>0</v>
      </c>
      <c r="AW290" s="37">
        <f t="shared" si="75"/>
        <v>0</v>
      </c>
      <c r="AX290" s="37">
        <f t="shared" si="76"/>
        <v>0</v>
      </c>
      <c r="AY290" s="37">
        <f t="shared" si="77"/>
        <v>0</v>
      </c>
      <c r="AZ290" s="37">
        <f t="shared" si="78"/>
        <v>0</v>
      </c>
      <c r="BA290" s="20"/>
    </row>
    <row r="291" spans="1:53" ht="14.1" customHeight="1" x14ac:dyDescent="0.25">
      <c r="A291" s="89"/>
      <c r="B291" s="101" t="str" cm="1">
        <f t="array" ref="B291">_xlfn.IFNA(INDEX(Employees[Employment Type],MATCH(Schedule!A291:A291,Employees[Employee Names],0)),"")</f>
        <v/>
      </c>
      <c r="C291" s="101" t="str">
        <f>_xlfn.IFNA(INDEX(Employees[Employee Role],MATCH(Schedule!A291,Employees[Employee Names],0)),"")</f>
        <v/>
      </c>
      <c r="D291" s="103"/>
      <c r="E291" s="90"/>
      <c r="F291" s="91"/>
      <c r="G291" s="91"/>
      <c r="H291" s="91"/>
      <c r="I291" s="91"/>
      <c r="J291" s="91"/>
      <c r="K291" s="92"/>
      <c r="L291" s="90"/>
      <c r="M291" s="91"/>
      <c r="N291" s="91"/>
      <c r="O291" s="91"/>
      <c r="P291" s="91"/>
      <c r="Q291" s="91"/>
      <c r="R291" s="92"/>
      <c r="S291" s="90"/>
      <c r="T291" s="91"/>
      <c r="U291" s="91"/>
      <c r="V291" s="91"/>
      <c r="W291" s="91"/>
      <c r="X291" s="91"/>
      <c r="Y291" s="92"/>
      <c r="Z291" s="90"/>
      <c r="AA291" s="91"/>
      <c r="AB291" s="91"/>
      <c r="AC291" s="91"/>
      <c r="AD291" s="91"/>
      <c r="AE291" s="91"/>
      <c r="AF291" s="93"/>
      <c r="AG291" s="90"/>
      <c r="AH291" s="91"/>
      <c r="AI291" s="91"/>
      <c r="AJ291" s="91"/>
      <c r="AK291" s="91"/>
      <c r="AL291" s="91"/>
      <c r="AM291" s="93"/>
      <c r="AN291" s="90"/>
      <c r="AO291" s="91"/>
      <c r="AP291" s="91"/>
      <c r="AQ291" s="91"/>
      <c r="AR291" s="91"/>
      <c r="AS291" s="91"/>
      <c r="AT291" s="93"/>
      <c r="AU291" s="37">
        <f t="shared" si="73"/>
        <v>0</v>
      </c>
      <c r="AV291" s="37">
        <f t="shared" si="74"/>
        <v>0</v>
      </c>
      <c r="AW291" s="37">
        <f t="shared" si="75"/>
        <v>0</v>
      </c>
      <c r="AX291" s="37">
        <f t="shared" si="76"/>
        <v>0</v>
      </c>
      <c r="AY291" s="37">
        <f t="shared" si="77"/>
        <v>0</v>
      </c>
      <c r="AZ291" s="37">
        <f t="shared" si="78"/>
        <v>0</v>
      </c>
      <c r="BA291" s="20"/>
    </row>
    <row r="292" spans="1:53" ht="14.1" customHeight="1" x14ac:dyDescent="0.25">
      <c r="A292" s="89"/>
      <c r="B292" s="101" t="str" cm="1">
        <f t="array" ref="B292">_xlfn.IFNA(INDEX(Employees[Employment Type],MATCH(Schedule!A292:A292,Employees[Employee Names],0)),"")</f>
        <v/>
      </c>
      <c r="C292" s="101" t="str">
        <f>_xlfn.IFNA(INDEX(Employees[Employee Role],MATCH(Schedule!A292,Employees[Employee Names],0)),"")</f>
        <v/>
      </c>
      <c r="D292" s="103"/>
      <c r="E292" s="90"/>
      <c r="F292" s="91"/>
      <c r="G292" s="91"/>
      <c r="H292" s="91"/>
      <c r="I292" s="91"/>
      <c r="J292" s="91"/>
      <c r="K292" s="92"/>
      <c r="L292" s="90"/>
      <c r="M292" s="91"/>
      <c r="N292" s="91"/>
      <c r="O292" s="91"/>
      <c r="P292" s="91"/>
      <c r="Q292" s="91"/>
      <c r="R292" s="92"/>
      <c r="S292" s="90"/>
      <c r="T292" s="91"/>
      <c r="U292" s="91"/>
      <c r="V292" s="91"/>
      <c r="W292" s="91"/>
      <c r="X292" s="91"/>
      <c r="Y292" s="92"/>
      <c r="Z292" s="90"/>
      <c r="AA292" s="91"/>
      <c r="AB292" s="91"/>
      <c r="AC292" s="91"/>
      <c r="AD292" s="91"/>
      <c r="AE292" s="91"/>
      <c r="AF292" s="93"/>
      <c r="AG292" s="90"/>
      <c r="AH292" s="91"/>
      <c r="AI292" s="91"/>
      <c r="AJ292" s="91"/>
      <c r="AK292" s="91"/>
      <c r="AL292" s="91"/>
      <c r="AM292" s="93"/>
      <c r="AN292" s="90"/>
      <c r="AO292" s="91"/>
      <c r="AP292" s="91"/>
      <c r="AQ292" s="91"/>
      <c r="AR292" s="91"/>
      <c r="AS292" s="91"/>
      <c r="AT292" s="93"/>
      <c r="AU292" s="37">
        <f t="shared" si="73"/>
        <v>0</v>
      </c>
      <c r="AV292" s="37">
        <f t="shared" si="74"/>
        <v>0</v>
      </c>
      <c r="AW292" s="37">
        <f t="shared" si="75"/>
        <v>0</v>
      </c>
      <c r="AX292" s="37">
        <f t="shared" si="76"/>
        <v>0</v>
      </c>
      <c r="AY292" s="37">
        <f t="shared" si="77"/>
        <v>0</v>
      </c>
      <c r="AZ292" s="37">
        <f t="shared" si="78"/>
        <v>0</v>
      </c>
      <c r="BA292" s="20"/>
    </row>
    <row r="293" spans="1:53" ht="14.1" customHeight="1" x14ac:dyDescent="0.25">
      <c r="A293" s="89"/>
      <c r="B293" s="101" t="str" cm="1">
        <f t="array" ref="B293">_xlfn.IFNA(INDEX(Employees[Employment Type],MATCH(Schedule!A293:A293,Employees[Employee Names],0)),"")</f>
        <v/>
      </c>
      <c r="C293" s="101" t="str">
        <f>_xlfn.IFNA(INDEX(Employees[Employee Role],MATCH(Schedule!A293,Employees[Employee Names],0)),"")</f>
        <v/>
      </c>
      <c r="D293" s="103"/>
      <c r="E293" s="90"/>
      <c r="F293" s="91"/>
      <c r="G293" s="91"/>
      <c r="H293" s="91"/>
      <c r="I293" s="91"/>
      <c r="J293" s="91"/>
      <c r="K293" s="92"/>
      <c r="L293" s="90"/>
      <c r="M293" s="91"/>
      <c r="N293" s="91"/>
      <c r="O293" s="91"/>
      <c r="P293" s="91"/>
      <c r="Q293" s="91"/>
      <c r="R293" s="92"/>
      <c r="S293" s="90"/>
      <c r="T293" s="91"/>
      <c r="U293" s="91"/>
      <c r="V293" s="91"/>
      <c r="W293" s="91"/>
      <c r="X293" s="91"/>
      <c r="Y293" s="92"/>
      <c r="Z293" s="90"/>
      <c r="AA293" s="91"/>
      <c r="AB293" s="91"/>
      <c r="AC293" s="91"/>
      <c r="AD293" s="91"/>
      <c r="AE293" s="91"/>
      <c r="AF293" s="93"/>
      <c r="AG293" s="90"/>
      <c r="AH293" s="91"/>
      <c r="AI293" s="91"/>
      <c r="AJ293" s="91"/>
      <c r="AK293" s="91"/>
      <c r="AL293" s="91"/>
      <c r="AM293" s="93"/>
      <c r="AN293" s="90"/>
      <c r="AO293" s="91"/>
      <c r="AP293" s="91"/>
      <c r="AQ293" s="91"/>
      <c r="AR293" s="91"/>
      <c r="AS293" s="91"/>
      <c r="AT293" s="93"/>
      <c r="AU293" s="37">
        <f t="shared" si="73"/>
        <v>0</v>
      </c>
      <c r="AV293" s="37">
        <f t="shared" si="74"/>
        <v>0</v>
      </c>
      <c r="AW293" s="37">
        <f t="shared" si="75"/>
        <v>0</v>
      </c>
      <c r="AX293" s="37">
        <f t="shared" si="76"/>
        <v>0</v>
      </c>
      <c r="AY293" s="37">
        <f t="shared" si="77"/>
        <v>0</v>
      </c>
      <c r="AZ293" s="37">
        <f t="shared" si="78"/>
        <v>0</v>
      </c>
      <c r="BA293" s="20"/>
    </row>
    <row r="294" spans="1:53" ht="14.1" customHeight="1" x14ac:dyDescent="0.25">
      <c r="A294" s="89"/>
      <c r="B294" s="101" t="str" cm="1">
        <f t="array" ref="B294">_xlfn.IFNA(INDEX(Employees[Employment Type],MATCH(Schedule!A294:A294,Employees[Employee Names],0)),"")</f>
        <v/>
      </c>
      <c r="C294" s="101" t="str">
        <f>_xlfn.IFNA(INDEX(Employees[Employee Role],MATCH(Schedule!A294,Employees[Employee Names],0)),"")</f>
        <v/>
      </c>
      <c r="D294" s="103"/>
      <c r="E294" s="90"/>
      <c r="F294" s="91"/>
      <c r="G294" s="91"/>
      <c r="H294" s="91"/>
      <c r="I294" s="91"/>
      <c r="J294" s="91"/>
      <c r="K294" s="92"/>
      <c r="L294" s="90"/>
      <c r="M294" s="91"/>
      <c r="N294" s="91"/>
      <c r="O294" s="91"/>
      <c r="P294" s="91"/>
      <c r="Q294" s="91"/>
      <c r="R294" s="92"/>
      <c r="S294" s="90"/>
      <c r="T294" s="91"/>
      <c r="U294" s="91"/>
      <c r="V294" s="91"/>
      <c r="W294" s="91"/>
      <c r="X294" s="91"/>
      <c r="Y294" s="92"/>
      <c r="Z294" s="90"/>
      <c r="AA294" s="91"/>
      <c r="AB294" s="91"/>
      <c r="AC294" s="91"/>
      <c r="AD294" s="91"/>
      <c r="AE294" s="91"/>
      <c r="AF294" s="93"/>
      <c r="AG294" s="90"/>
      <c r="AH294" s="91"/>
      <c r="AI294" s="91"/>
      <c r="AJ294" s="91"/>
      <c r="AK294" s="91"/>
      <c r="AL294" s="91"/>
      <c r="AM294" s="93"/>
      <c r="AN294" s="90"/>
      <c r="AO294" s="91"/>
      <c r="AP294" s="91"/>
      <c r="AQ294" s="91"/>
      <c r="AR294" s="91"/>
      <c r="AS294" s="91"/>
      <c r="AT294" s="93"/>
      <c r="AU294" s="37">
        <f t="shared" si="73"/>
        <v>0</v>
      </c>
      <c r="AV294" s="37">
        <f t="shared" si="74"/>
        <v>0</v>
      </c>
      <c r="AW294" s="37">
        <f t="shared" si="75"/>
        <v>0</v>
      </c>
      <c r="AX294" s="37">
        <f t="shared" si="76"/>
        <v>0</v>
      </c>
      <c r="AY294" s="37">
        <f t="shared" si="77"/>
        <v>0</v>
      </c>
      <c r="AZ294" s="37">
        <f t="shared" si="78"/>
        <v>0</v>
      </c>
      <c r="BA294" s="20"/>
    </row>
    <row r="295" spans="1:53" ht="14.1" customHeight="1" x14ac:dyDescent="0.25">
      <c r="A295" s="89"/>
      <c r="B295" s="101" t="str" cm="1">
        <f t="array" ref="B295">_xlfn.IFNA(INDEX(Employees[Employment Type],MATCH(Schedule!A295:A295,Employees[Employee Names],0)),"")</f>
        <v/>
      </c>
      <c r="C295" s="101" t="str">
        <f>_xlfn.IFNA(INDEX(Employees[Employee Role],MATCH(Schedule!A295,Employees[Employee Names],0)),"")</f>
        <v/>
      </c>
      <c r="D295" s="103"/>
      <c r="E295" s="90"/>
      <c r="F295" s="91"/>
      <c r="G295" s="91"/>
      <c r="H295" s="91"/>
      <c r="I295" s="91"/>
      <c r="J295" s="91"/>
      <c r="K295" s="92"/>
      <c r="L295" s="90"/>
      <c r="M295" s="91"/>
      <c r="N295" s="91"/>
      <c r="O295" s="91"/>
      <c r="P295" s="91"/>
      <c r="Q295" s="91"/>
      <c r="R295" s="92"/>
      <c r="S295" s="90"/>
      <c r="T295" s="91"/>
      <c r="U295" s="91"/>
      <c r="V295" s="91"/>
      <c r="W295" s="91"/>
      <c r="X295" s="91"/>
      <c r="Y295" s="92"/>
      <c r="Z295" s="90"/>
      <c r="AA295" s="91"/>
      <c r="AB295" s="91"/>
      <c r="AC295" s="91"/>
      <c r="AD295" s="91"/>
      <c r="AE295" s="91"/>
      <c r="AF295" s="93"/>
      <c r="AG295" s="90"/>
      <c r="AH295" s="91"/>
      <c r="AI295" s="91"/>
      <c r="AJ295" s="91"/>
      <c r="AK295" s="91"/>
      <c r="AL295" s="91"/>
      <c r="AM295" s="93"/>
      <c r="AN295" s="90"/>
      <c r="AO295" s="91"/>
      <c r="AP295" s="91"/>
      <c r="AQ295" s="91"/>
      <c r="AR295" s="91"/>
      <c r="AS295" s="91"/>
      <c r="AT295" s="93"/>
      <c r="AU295" s="37">
        <f t="shared" si="73"/>
        <v>0</v>
      </c>
      <c r="AV295" s="37">
        <f t="shared" si="74"/>
        <v>0</v>
      </c>
      <c r="AW295" s="37">
        <f t="shared" si="75"/>
        <v>0</v>
      </c>
      <c r="AX295" s="37">
        <f t="shared" si="76"/>
        <v>0</v>
      </c>
      <c r="AY295" s="37">
        <f t="shared" si="77"/>
        <v>0</v>
      </c>
      <c r="AZ295" s="37">
        <f t="shared" si="78"/>
        <v>0</v>
      </c>
      <c r="BA295" s="20"/>
    </row>
    <row r="296" spans="1:53" ht="14.1" customHeight="1" x14ac:dyDescent="0.25">
      <c r="A296" s="89"/>
      <c r="B296" s="101" t="str" cm="1">
        <f t="array" ref="B296">_xlfn.IFNA(INDEX(Employees[Employment Type],MATCH(Schedule!A296:A296,Employees[Employee Names],0)),"")</f>
        <v/>
      </c>
      <c r="C296" s="101" t="str">
        <f>_xlfn.IFNA(INDEX(Employees[Employee Role],MATCH(Schedule!A296,Employees[Employee Names],0)),"")</f>
        <v/>
      </c>
      <c r="D296" s="103"/>
      <c r="E296" s="90"/>
      <c r="F296" s="91"/>
      <c r="G296" s="91"/>
      <c r="H296" s="91"/>
      <c r="I296" s="91"/>
      <c r="J296" s="91"/>
      <c r="K296" s="92"/>
      <c r="L296" s="90"/>
      <c r="M296" s="91"/>
      <c r="N296" s="91"/>
      <c r="O296" s="91"/>
      <c r="P296" s="91"/>
      <c r="Q296" s="91"/>
      <c r="R296" s="92"/>
      <c r="S296" s="90"/>
      <c r="T296" s="91"/>
      <c r="U296" s="91"/>
      <c r="V296" s="91"/>
      <c r="W296" s="91"/>
      <c r="X296" s="91"/>
      <c r="Y296" s="92"/>
      <c r="Z296" s="90"/>
      <c r="AA296" s="91"/>
      <c r="AB296" s="91"/>
      <c r="AC296" s="91"/>
      <c r="AD296" s="91"/>
      <c r="AE296" s="91"/>
      <c r="AF296" s="93"/>
      <c r="AG296" s="90"/>
      <c r="AH296" s="91"/>
      <c r="AI296" s="91"/>
      <c r="AJ296" s="91"/>
      <c r="AK296" s="91"/>
      <c r="AL296" s="91"/>
      <c r="AM296" s="93"/>
      <c r="AN296" s="90"/>
      <c r="AO296" s="91"/>
      <c r="AP296" s="91"/>
      <c r="AQ296" s="91"/>
      <c r="AR296" s="91"/>
      <c r="AS296" s="91"/>
      <c r="AT296" s="93"/>
      <c r="AU296" s="37">
        <f t="shared" si="73"/>
        <v>0</v>
      </c>
      <c r="AV296" s="37">
        <f t="shared" si="74"/>
        <v>0</v>
      </c>
      <c r="AW296" s="37">
        <f t="shared" si="75"/>
        <v>0</v>
      </c>
      <c r="AX296" s="37">
        <f t="shared" si="76"/>
        <v>0</v>
      </c>
      <c r="AY296" s="37">
        <f t="shared" si="77"/>
        <v>0</v>
      </c>
      <c r="AZ296" s="37">
        <f t="shared" si="78"/>
        <v>0</v>
      </c>
      <c r="BA296" s="20"/>
    </row>
    <row r="297" spans="1:53" ht="14.1" customHeight="1" x14ac:dyDescent="0.25">
      <c r="A297" s="89"/>
      <c r="B297" s="101" t="str" cm="1">
        <f t="array" ref="B297">_xlfn.IFNA(INDEX(Employees[Employment Type],MATCH(Schedule!A297:A297,Employees[Employee Names],0)),"")</f>
        <v/>
      </c>
      <c r="C297" s="101" t="str">
        <f>_xlfn.IFNA(INDEX(Employees[Employee Role],MATCH(Schedule!A297,Employees[Employee Names],0)),"")</f>
        <v/>
      </c>
      <c r="D297" s="103"/>
      <c r="E297" s="90"/>
      <c r="F297" s="91"/>
      <c r="G297" s="91"/>
      <c r="H297" s="91"/>
      <c r="I297" s="91"/>
      <c r="J297" s="91"/>
      <c r="K297" s="92"/>
      <c r="L297" s="90"/>
      <c r="M297" s="91"/>
      <c r="N297" s="91"/>
      <c r="O297" s="91"/>
      <c r="P297" s="91"/>
      <c r="Q297" s="91"/>
      <c r="R297" s="92"/>
      <c r="S297" s="90"/>
      <c r="T297" s="91"/>
      <c r="U297" s="91"/>
      <c r="V297" s="91"/>
      <c r="W297" s="91"/>
      <c r="X297" s="91"/>
      <c r="Y297" s="92"/>
      <c r="Z297" s="90"/>
      <c r="AA297" s="91"/>
      <c r="AB297" s="91"/>
      <c r="AC297" s="91"/>
      <c r="AD297" s="91"/>
      <c r="AE297" s="91"/>
      <c r="AF297" s="93"/>
      <c r="AG297" s="90"/>
      <c r="AH297" s="91"/>
      <c r="AI297" s="91"/>
      <c r="AJ297" s="91"/>
      <c r="AK297" s="91"/>
      <c r="AL297" s="91"/>
      <c r="AM297" s="93"/>
      <c r="AN297" s="90"/>
      <c r="AO297" s="91"/>
      <c r="AP297" s="91"/>
      <c r="AQ297" s="91"/>
      <c r="AR297" s="91"/>
      <c r="AS297" s="91"/>
      <c r="AT297" s="93"/>
      <c r="AU297" s="37">
        <f t="shared" si="73"/>
        <v>0</v>
      </c>
      <c r="AV297" s="37">
        <f t="shared" si="74"/>
        <v>0</v>
      </c>
      <c r="AW297" s="37">
        <f t="shared" si="75"/>
        <v>0</v>
      </c>
      <c r="AX297" s="37">
        <f t="shared" si="76"/>
        <v>0</v>
      </c>
      <c r="AY297" s="37">
        <f t="shared" si="77"/>
        <v>0</v>
      </c>
      <c r="AZ297" s="37">
        <f t="shared" si="78"/>
        <v>0</v>
      </c>
      <c r="BA297" s="20"/>
    </row>
    <row r="298" spans="1:53" ht="14.1" customHeight="1" x14ac:dyDescent="0.25">
      <c r="A298" s="89"/>
      <c r="B298" s="101" t="str" cm="1">
        <f t="array" ref="B298">_xlfn.IFNA(INDEX(Employees[Employment Type],MATCH(Schedule!A298:A298,Employees[Employee Names],0)),"")</f>
        <v/>
      </c>
      <c r="C298" s="101" t="str">
        <f>_xlfn.IFNA(INDEX(Employees[Employee Role],MATCH(Schedule!A298,Employees[Employee Names],0)),"")</f>
        <v/>
      </c>
      <c r="D298" s="103"/>
      <c r="E298" s="90"/>
      <c r="F298" s="91"/>
      <c r="G298" s="91"/>
      <c r="H298" s="91"/>
      <c r="I298" s="91"/>
      <c r="J298" s="91"/>
      <c r="K298" s="92"/>
      <c r="L298" s="90"/>
      <c r="M298" s="91"/>
      <c r="N298" s="91"/>
      <c r="O298" s="91"/>
      <c r="P298" s="91"/>
      <c r="Q298" s="91"/>
      <c r="R298" s="92"/>
      <c r="S298" s="90"/>
      <c r="T298" s="91"/>
      <c r="U298" s="91"/>
      <c r="V298" s="91"/>
      <c r="W298" s="91"/>
      <c r="X298" s="91"/>
      <c r="Y298" s="92"/>
      <c r="Z298" s="90"/>
      <c r="AA298" s="91"/>
      <c r="AB298" s="91"/>
      <c r="AC298" s="91"/>
      <c r="AD298" s="91"/>
      <c r="AE298" s="91"/>
      <c r="AF298" s="93"/>
      <c r="AG298" s="90"/>
      <c r="AH298" s="91"/>
      <c r="AI298" s="91"/>
      <c r="AJ298" s="91"/>
      <c r="AK298" s="91"/>
      <c r="AL298" s="91"/>
      <c r="AM298" s="93"/>
      <c r="AN298" s="90"/>
      <c r="AO298" s="91"/>
      <c r="AP298" s="91"/>
      <c r="AQ298" s="91"/>
      <c r="AR298" s="91"/>
      <c r="AS298" s="91"/>
      <c r="AT298" s="93"/>
      <c r="AU298" s="37">
        <f t="shared" si="73"/>
        <v>0</v>
      </c>
      <c r="AV298" s="37">
        <f t="shared" si="74"/>
        <v>0</v>
      </c>
      <c r="AW298" s="37">
        <f t="shared" si="75"/>
        <v>0</v>
      </c>
      <c r="AX298" s="37">
        <f t="shared" si="76"/>
        <v>0</v>
      </c>
      <c r="AY298" s="37">
        <f t="shared" si="77"/>
        <v>0</v>
      </c>
      <c r="AZ298" s="37">
        <f t="shared" si="78"/>
        <v>0</v>
      </c>
      <c r="BA298" s="20"/>
    </row>
    <row r="299" spans="1:53" ht="14.1" customHeight="1" x14ac:dyDescent="0.25">
      <c r="A299" s="89"/>
      <c r="B299" s="101" t="str" cm="1">
        <f t="array" ref="B299">_xlfn.IFNA(INDEX(Employees[Employment Type],MATCH(Schedule!A299:A299,Employees[Employee Names],0)),"")</f>
        <v/>
      </c>
      <c r="C299" s="101" t="str">
        <f>_xlfn.IFNA(INDEX(Employees[Employee Role],MATCH(Schedule!A299,Employees[Employee Names],0)),"")</f>
        <v/>
      </c>
      <c r="D299" s="103"/>
      <c r="E299" s="90"/>
      <c r="F299" s="91"/>
      <c r="G299" s="91"/>
      <c r="H299" s="91"/>
      <c r="I299" s="91"/>
      <c r="J299" s="91"/>
      <c r="K299" s="92"/>
      <c r="L299" s="90"/>
      <c r="M299" s="91"/>
      <c r="N299" s="91"/>
      <c r="O299" s="91"/>
      <c r="P299" s="91"/>
      <c r="Q299" s="91"/>
      <c r="R299" s="92"/>
      <c r="S299" s="90"/>
      <c r="T299" s="91"/>
      <c r="U299" s="91"/>
      <c r="V299" s="91"/>
      <c r="W299" s="91"/>
      <c r="X299" s="91"/>
      <c r="Y299" s="92"/>
      <c r="Z299" s="90"/>
      <c r="AA299" s="91"/>
      <c r="AB299" s="91"/>
      <c r="AC299" s="91"/>
      <c r="AD299" s="91"/>
      <c r="AE299" s="91"/>
      <c r="AF299" s="93"/>
      <c r="AG299" s="90"/>
      <c r="AH299" s="91"/>
      <c r="AI299" s="91"/>
      <c r="AJ299" s="91"/>
      <c r="AK299" s="91"/>
      <c r="AL299" s="91"/>
      <c r="AM299" s="93"/>
      <c r="AN299" s="90"/>
      <c r="AO299" s="91"/>
      <c r="AP299" s="91"/>
      <c r="AQ299" s="91"/>
      <c r="AR299" s="91"/>
      <c r="AS299" s="91"/>
      <c r="AT299" s="93"/>
      <c r="AU299" s="37">
        <f t="shared" si="73"/>
        <v>0</v>
      </c>
      <c r="AV299" s="37">
        <f t="shared" si="74"/>
        <v>0</v>
      </c>
      <c r="AW299" s="37">
        <f t="shared" si="75"/>
        <v>0</v>
      </c>
      <c r="AX299" s="37">
        <f t="shared" si="76"/>
        <v>0</v>
      </c>
      <c r="AY299" s="37">
        <f t="shared" si="77"/>
        <v>0</v>
      </c>
      <c r="AZ299" s="37">
        <f t="shared" si="78"/>
        <v>0</v>
      </c>
      <c r="BA299" s="20"/>
    </row>
    <row r="300" spans="1:53" ht="14.1" customHeight="1" x14ac:dyDescent="0.25">
      <c r="A300" s="89"/>
      <c r="B300" s="101" t="str" cm="1">
        <f t="array" ref="B300">_xlfn.IFNA(INDEX(Employees[Employment Type],MATCH(Schedule!A300:A300,Employees[Employee Names],0)),"")</f>
        <v/>
      </c>
      <c r="C300" s="101" t="str">
        <f>_xlfn.IFNA(INDEX(Employees[Employee Role],MATCH(Schedule!A300,Employees[Employee Names],0)),"")</f>
        <v/>
      </c>
      <c r="D300" s="103"/>
      <c r="E300" s="90"/>
      <c r="F300" s="91"/>
      <c r="G300" s="91"/>
      <c r="H300" s="91"/>
      <c r="I300" s="91"/>
      <c r="J300" s="91"/>
      <c r="K300" s="92"/>
      <c r="L300" s="90"/>
      <c r="M300" s="91"/>
      <c r="N300" s="91"/>
      <c r="O300" s="91"/>
      <c r="P300" s="91"/>
      <c r="Q300" s="91"/>
      <c r="R300" s="92"/>
      <c r="S300" s="90"/>
      <c r="T300" s="91"/>
      <c r="U300" s="91"/>
      <c r="V300" s="91"/>
      <c r="W300" s="91"/>
      <c r="X300" s="91"/>
      <c r="Y300" s="92"/>
      <c r="Z300" s="90"/>
      <c r="AA300" s="91"/>
      <c r="AB300" s="91"/>
      <c r="AC300" s="91"/>
      <c r="AD300" s="91"/>
      <c r="AE300" s="91"/>
      <c r="AF300" s="93"/>
      <c r="AG300" s="90"/>
      <c r="AH300" s="91"/>
      <c r="AI300" s="91"/>
      <c r="AJ300" s="91"/>
      <c r="AK300" s="91"/>
      <c r="AL300" s="91"/>
      <c r="AM300" s="93"/>
      <c r="AN300" s="90"/>
      <c r="AO300" s="91"/>
      <c r="AP300" s="91"/>
      <c r="AQ300" s="91"/>
      <c r="AR300" s="91"/>
      <c r="AS300" s="91"/>
      <c r="AT300" s="93"/>
      <c r="AU300" s="37">
        <f t="shared" si="73"/>
        <v>0</v>
      </c>
      <c r="AV300" s="37">
        <f t="shared" si="74"/>
        <v>0</v>
      </c>
      <c r="AW300" s="37">
        <f t="shared" si="75"/>
        <v>0</v>
      </c>
      <c r="AX300" s="37">
        <f t="shared" si="76"/>
        <v>0</v>
      </c>
      <c r="AY300" s="37">
        <f t="shared" si="77"/>
        <v>0</v>
      </c>
      <c r="AZ300" s="37">
        <f t="shared" si="78"/>
        <v>0</v>
      </c>
      <c r="BA300" s="20"/>
    </row>
    <row r="301" spans="1:53" ht="14.1" customHeight="1" x14ac:dyDescent="0.25">
      <c r="A301" s="89"/>
      <c r="B301" s="101" t="str" cm="1">
        <f t="array" ref="B301">_xlfn.IFNA(INDEX(Employees[Employment Type],MATCH(Schedule!A301:A301,Employees[Employee Names],0)),"")</f>
        <v/>
      </c>
      <c r="C301" s="101" t="str">
        <f>_xlfn.IFNA(INDEX(Employees[Employee Role],MATCH(Schedule!A301,Employees[Employee Names],0)),"")</f>
        <v/>
      </c>
      <c r="D301" s="103"/>
      <c r="E301" s="90"/>
      <c r="F301" s="91"/>
      <c r="G301" s="91"/>
      <c r="H301" s="91"/>
      <c r="I301" s="91"/>
      <c r="J301" s="91"/>
      <c r="K301" s="92"/>
      <c r="L301" s="90"/>
      <c r="M301" s="91"/>
      <c r="N301" s="91"/>
      <c r="O301" s="91"/>
      <c r="P301" s="91"/>
      <c r="Q301" s="91"/>
      <c r="R301" s="92"/>
      <c r="S301" s="90"/>
      <c r="T301" s="91"/>
      <c r="U301" s="91"/>
      <c r="V301" s="91"/>
      <c r="W301" s="91"/>
      <c r="X301" s="91"/>
      <c r="Y301" s="92"/>
      <c r="Z301" s="90"/>
      <c r="AA301" s="91"/>
      <c r="AB301" s="91"/>
      <c r="AC301" s="91"/>
      <c r="AD301" s="91"/>
      <c r="AE301" s="91"/>
      <c r="AF301" s="93"/>
      <c r="AG301" s="90"/>
      <c r="AH301" s="91"/>
      <c r="AI301" s="91"/>
      <c r="AJ301" s="91"/>
      <c r="AK301" s="91"/>
      <c r="AL301" s="91"/>
      <c r="AM301" s="93"/>
      <c r="AN301" s="90"/>
      <c r="AO301" s="91"/>
      <c r="AP301" s="91"/>
      <c r="AQ301" s="91"/>
      <c r="AR301" s="91"/>
      <c r="AS301" s="91"/>
      <c r="AT301" s="93"/>
      <c r="AU301" s="37">
        <f t="shared" si="73"/>
        <v>0</v>
      </c>
      <c r="AV301" s="37">
        <f t="shared" si="74"/>
        <v>0</v>
      </c>
      <c r="AW301" s="37">
        <f t="shared" si="75"/>
        <v>0</v>
      </c>
      <c r="AX301" s="37">
        <f t="shared" si="76"/>
        <v>0</v>
      </c>
      <c r="AY301" s="37">
        <f t="shared" si="77"/>
        <v>0</v>
      </c>
      <c r="AZ301" s="37">
        <f t="shared" si="78"/>
        <v>0</v>
      </c>
      <c r="BA301" s="20"/>
    </row>
    <row r="302" spans="1:53" ht="14.1" customHeight="1" x14ac:dyDescent="0.25">
      <c r="A302" s="89"/>
      <c r="B302" s="101" t="str" cm="1">
        <f t="array" ref="B302">_xlfn.IFNA(INDEX(Employees[Employment Type],MATCH(Schedule!A302:A302,Employees[Employee Names],0)),"")</f>
        <v/>
      </c>
      <c r="C302" s="101" t="str">
        <f>_xlfn.IFNA(INDEX(Employees[Employee Role],MATCH(Schedule!A302,Employees[Employee Names],0)),"")</f>
        <v/>
      </c>
      <c r="D302" s="103"/>
      <c r="E302" s="90"/>
      <c r="F302" s="91"/>
      <c r="G302" s="91"/>
      <c r="H302" s="91"/>
      <c r="I302" s="91"/>
      <c r="J302" s="91"/>
      <c r="K302" s="92"/>
      <c r="L302" s="90"/>
      <c r="M302" s="91"/>
      <c r="N302" s="91"/>
      <c r="O302" s="91"/>
      <c r="P302" s="91"/>
      <c r="Q302" s="91"/>
      <c r="R302" s="92"/>
      <c r="S302" s="90"/>
      <c r="T302" s="91"/>
      <c r="U302" s="91"/>
      <c r="V302" s="91"/>
      <c r="W302" s="91"/>
      <c r="X302" s="91"/>
      <c r="Y302" s="92"/>
      <c r="Z302" s="90"/>
      <c r="AA302" s="91"/>
      <c r="AB302" s="91"/>
      <c r="AC302" s="91"/>
      <c r="AD302" s="91"/>
      <c r="AE302" s="91"/>
      <c r="AF302" s="93"/>
      <c r="AG302" s="90"/>
      <c r="AH302" s="91"/>
      <c r="AI302" s="91"/>
      <c r="AJ302" s="91"/>
      <c r="AK302" s="91"/>
      <c r="AL302" s="91"/>
      <c r="AM302" s="93"/>
      <c r="AN302" s="90"/>
      <c r="AO302" s="91"/>
      <c r="AP302" s="91"/>
      <c r="AQ302" s="91"/>
      <c r="AR302" s="91"/>
      <c r="AS302" s="91"/>
      <c r="AT302" s="93"/>
      <c r="AU302" s="37">
        <f t="shared" si="73"/>
        <v>0</v>
      </c>
      <c r="AV302" s="37">
        <f t="shared" si="74"/>
        <v>0</v>
      </c>
      <c r="AW302" s="37">
        <f t="shared" si="75"/>
        <v>0</v>
      </c>
      <c r="AX302" s="37">
        <f t="shared" si="76"/>
        <v>0</v>
      </c>
      <c r="AY302" s="37">
        <f t="shared" si="77"/>
        <v>0</v>
      </c>
      <c r="AZ302" s="37">
        <f t="shared" si="78"/>
        <v>0</v>
      </c>
      <c r="BA302" s="20"/>
    </row>
    <row r="303" spans="1:53" ht="14.1" customHeight="1" x14ac:dyDescent="0.25">
      <c r="A303" s="89"/>
      <c r="B303" s="101" t="str" cm="1">
        <f t="array" ref="B303">_xlfn.IFNA(INDEX(Employees[Employment Type],MATCH(Schedule!A303:A303,Employees[Employee Names],0)),"")</f>
        <v/>
      </c>
      <c r="C303" s="101" t="str">
        <f>_xlfn.IFNA(INDEX(Employees[Employee Role],MATCH(Schedule!A303,Employees[Employee Names],0)),"")</f>
        <v/>
      </c>
      <c r="D303" s="103">
        <f t="shared" ref="D303:D305" si="79">COUNTA($E303:$AF303)</f>
        <v>0</v>
      </c>
      <c r="E303" s="90"/>
      <c r="F303" s="91"/>
      <c r="G303" s="91"/>
      <c r="H303" s="91"/>
      <c r="I303" s="91"/>
      <c r="J303" s="91"/>
      <c r="K303" s="92"/>
      <c r="L303" s="90"/>
      <c r="M303" s="91"/>
      <c r="N303" s="91"/>
      <c r="O303" s="91"/>
      <c r="P303" s="91"/>
      <c r="Q303" s="91"/>
      <c r="R303" s="92"/>
      <c r="S303" s="90"/>
      <c r="T303" s="91"/>
      <c r="U303" s="91"/>
      <c r="V303" s="91"/>
      <c r="W303" s="91"/>
      <c r="X303" s="91"/>
      <c r="Y303" s="92"/>
      <c r="Z303" s="90"/>
      <c r="AA303" s="91"/>
      <c r="AB303" s="91"/>
      <c r="AC303" s="91"/>
      <c r="AD303" s="91"/>
      <c r="AE303" s="91"/>
      <c r="AF303" s="93"/>
      <c r="AG303" s="94"/>
      <c r="AH303" s="95"/>
      <c r="AI303" s="95"/>
      <c r="AJ303" s="95"/>
      <c r="AK303" s="95"/>
      <c r="AL303" s="95"/>
      <c r="AM303" s="96"/>
      <c r="AN303" s="94"/>
      <c r="AO303" s="95"/>
      <c r="AP303" s="95"/>
      <c r="AQ303" s="95"/>
      <c r="AR303" s="95"/>
      <c r="AS303" s="95"/>
      <c r="AT303" s="96"/>
      <c r="AU303" s="37">
        <f t="shared" si="73"/>
        <v>0</v>
      </c>
      <c r="AV303" s="37">
        <f t="shared" si="74"/>
        <v>0</v>
      </c>
      <c r="AW303" s="37">
        <f t="shared" si="75"/>
        <v>0</v>
      </c>
      <c r="AX303" s="37">
        <f t="shared" si="76"/>
        <v>0</v>
      </c>
      <c r="AY303" s="37">
        <f t="shared" si="77"/>
        <v>0</v>
      </c>
      <c r="AZ303" s="37">
        <f t="shared" si="78"/>
        <v>0</v>
      </c>
      <c r="BA303" s="20"/>
    </row>
    <row r="304" spans="1:53" ht="14.1" customHeight="1" x14ac:dyDescent="0.25">
      <c r="A304" s="89"/>
      <c r="B304" s="101" t="str" cm="1">
        <f t="array" ref="B304">_xlfn.IFNA(INDEX(Employees[Employment Type],MATCH(Schedule!A304:A304,Employees[Employee Names],0)),"")</f>
        <v/>
      </c>
      <c r="C304" s="101" t="str">
        <f>_xlfn.IFNA(INDEX(Employees[Employee Role],MATCH(Schedule!A304,Employees[Employee Names],0)),"")</f>
        <v/>
      </c>
      <c r="D304" s="103">
        <f t="shared" si="79"/>
        <v>0</v>
      </c>
      <c r="E304" s="90"/>
      <c r="F304" s="97"/>
      <c r="G304" s="91"/>
      <c r="H304" s="91"/>
      <c r="I304" s="91"/>
      <c r="J304" s="91"/>
      <c r="K304" s="92"/>
      <c r="L304" s="90"/>
      <c r="M304" s="91"/>
      <c r="N304" s="91"/>
      <c r="O304" s="91"/>
      <c r="P304" s="91"/>
      <c r="Q304" s="91"/>
      <c r="R304" s="92"/>
      <c r="S304" s="90"/>
      <c r="T304" s="91"/>
      <c r="U304" s="91"/>
      <c r="V304" s="91"/>
      <c r="W304" s="91"/>
      <c r="X304" s="91"/>
      <c r="Y304" s="92"/>
      <c r="Z304" s="90"/>
      <c r="AA304" s="91"/>
      <c r="AB304" s="91"/>
      <c r="AC304" s="91"/>
      <c r="AD304" s="91"/>
      <c r="AE304" s="91"/>
      <c r="AF304" s="93"/>
      <c r="AG304" s="94"/>
      <c r="AH304" s="95"/>
      <c r="AI304" s="95"/>
      <c r="AJ304" s="95"/>
      <c r="AK304" s="95"/>
      <c r="AL304" s="95"/>
      <c r="AM304" s="96"/>
      <c r="AN304" s="94"/>
      <c r="AO304" s="95"/>
      <c r="AP304" s="95"/>
      <c r="AQ304" s="95"/>
      <c r="AR304" s="95"/>
      <c r="AS304" s="95"/>
      <c r="AT304" s="96"/>
      <c r="AU304" s="37">
        <f t="shared" si="73"/>
        <v>0</v>
      </c>
      <c r="AV304" s="37">
        <f t="shared" si="74"/>
        <v>0</v>
      </c>
      <c r="AW304" s="37">
        <f t="shared" si="75"/>
        <v>0</v>
      </c>
      <c r="AX304" s="37">
        <f t="shared" si="76"/>
        <v>0</v>
      </c>
      <c r="AY304" s="37">
        <f t="shared" si="77"/>
        <v>0</v>
      </c>
      <c r="AZ304" s="37">
        <f t="shared" si="78"/>
        <v>0</v>
      </c>
      <c r="BA304" s="20"/>
    </row>
    <row r="305" spans="1:53" ht="14.1" customHeight="1" x14ac:dyDescent="0.25">
      <c r="A305" s="89"/>
      <c r="B305" s="101" t="str" cm="1">
        <f t="array" ref="B305">_xlfn.IFNA(INDEX(Employees[Employment Type],MATCH(Schedule!A305:A305,Employees[Employee Names],0)),"")</f>
        <v/>
      </c>
      <c r="C305" s="101" t="str">
        <f>_xlfn.IFNA(INDEX(Employees[Employee Role],MATCH(Schedule!A305,Employees[Employee Names],0)),"")</f>
        <v/>
      </c>
      <c r="D305" s="103">
        <f t="shared" si="79"/>
        <v>0</v>
      </c>
      <c r="E305" s="98"/>
      <c r="F305" s="91"/>
      <c r="G305" s="99"/>
      <c r="H305" s="91"/>
      <c r="I305" s="91"/>
      <c r="J305" s="91"/>
      <c r="K305" s="92"/>
      <c r="L305" s="90"/>
      <c r="M305" s="91"/>
      <c r="N305" s="91"/>
      <c r="O305" s="91"/>
      <c r="P305" s="91"/>
      <c r="Q305" s="91"/>
      <c r="R305" s="92"/>
      <c r="S305" s="90"/>
      <c r="T305" s="91"/>
      <c r="U305" s="91"/>
      <c r="V305" s="91"/>
      <c r="W305" s="91"/>
      <c r="X305" s="91"/>
      <c r="Y305" s="92"/>
      <c r="Z305" s="90"/>
      <c r="AA305" s="91"/>
      <c r="AB305" s="91"/>
      <c r="AC305" s="91"/>
      <c r="AD305" s="91"/>
      <c r="AE305" s="91"/>
      <c r="AF305" s="93"/>
      <c r="AG305" s="94"/>
      <c r="AH305" s="95"/>
      <c r="AI305" s="95"/>
      <c r="AJ305" s="95"/>
      <c r="AK305" s="95"/>
      <c r="AL305" s="95"/>
      <c r="AM305" s="96"/>
      <c r="AN305" s="94"/>
      <c r="AO305" s="95"/>
      <c r="AP305" s="95"/>
      <c r="AQ305" s="95"/>
      <c r="AR305" s="95"/>
      <c r="AS305" s="95"/>
      <c r="AT305" s="96"/>
      <c r="AU305" s="37">
        <f t="shared" si="73"/>
        <v>0</v>
      </c>
      <c r="AV305" s="37">
        <f t="shared" si="74"/>
        <v>0</v>
      </c>
      <c r="AW305" s="37">
        <f t="shared" si="75"/>
        <v>0</v>
      </c>
      <c r="AX305" s="37">
        <f t="shared" si="76"/>
        <v>0</v>
      </c>
      <c r="AY305" s="37">
        <f t="shared" si="77"/>
        <v>0</v>
      </c>
      <c r="AZ305" s="37">
        <f t="shared" si="78"/>
        <v>0</v>
      </c>
      <c r="BA305" s="20"/>
    </row>
    <row r="306" spans="1:53" ht="14.1" customHeight="1" x14ac:dyDescent="0.25">
      <c r="A306" s="89"/>
      <c r="B306" s="101" t="str" cm="1">
        <f t="array" ref="B306">_xlfn.IFNA(INDEX(Employees[Employment Type],MATCH(Schedule!A306:A306,Employees[Employee Names],0)),"")</f>
        <v/>
      </c>
      <c r="C306" s="101" t="str">
        <f>_xlfn.IFNA(INDEX(Employees[Employee Role],MATCH(Schedule!A306,Employees[Employee Names],0)),"")</f>
        <v/>
      </c>
      <c r="D306" s="103"/>
      <c r="E306" s="98"/>
      <c r="F306" s="91"/>
      <c r="G306" s="99"/>
      <c r="H306" s="91"/>
      <c r="I306" s="91"/>
      <c r="J306" s="91"/>
      <c r="K306" s="92"/>
      <c r="L306" s="90"/>
      <c r="M306" s="91"/>
      <c r="N306" s="91"/>
      <c r="O306" s="91"/>
      <c r="P306" s="91"/>
      <c r="Q306" s="91"/>
      <c r="R306" s="92"/>
      <c r="S306" s="90"/>
      <c r="T306" s="91"/>
      <c r="U306" s="91"/>
      <c r="V306" s="91"/>
      <c r="W306" s="91"/>
      <c r="X306" s="91"/>
      <c r="Y306" s="92"/>
      <c r="Z306" s="90"/>
      <c r="AA306" s="91"/>
      <c r="AB306" s="91"/>
      <c r="AC306" s="91"/>
      <c r="AD306" s="91"/>
      <c r="AE306" s="91"/>
      <c r="AF306" s="93"/>
      <c r="AG306" s="94"/>
      <c r="AH306" s="95"/>
      <c r="AI306" s="95"/>
      <c r="AJ306" s="95"/>
      <c r="AK306" s="95"/>
      <c r="AL306" s="95"/>
      <c r="AM306" s="96"/>
      <c r="AN306" s="94"/>
      <c r="AO306" s="95"/>
      <c r="AP306" s="95"/>
      <c r="AQ306" s="95"/>
      <c r="AR306" s="95"/>
      <c r="AS306" s="95"/>
      <c r="AT306" s="96"/>
      <c r="AU306" s="37">
        <f t="shared" si="73"/>
        <v>0</v>
      </c>
      <c r="AV306" s="37">
        <f t="shared" si="74"/>
        <v>0</v>
      </c>
      <c r="AW306" s="37">
        <f t="shared" si="75"/>
        <v>0</v>
      </c>
      <c r="AX306" s="37">
        <f t="shared" si="76"/>
        <v>0</v>
      </c>
      <c r="AY306" s="37">
        <f t="shared" si="77"/>
        <v>0</v>
      </c>
      <c r="AZ306" s="37">
        <f t="shared" si="78"/>
        <v>0</v>
      </c>
      <c r="BA306" s="20"/>
    </row>
    <row r="307" spans="1:53" ht="14.1" customHeight="1" x14ac:dyDescent="0.25">
      <c r="A307" s="89"/>
      <c r="B307" s="101" t="str" cm="1">
        <f t="array" ref="B307">_xlfn.IFNA(INDEX(Employees[Employment Type],MATCH(Schedule!A307:A307,Employees[Employee Names],0)),"")</f>
        <v/>
      </c>
      <c r="C307" s="101" t="str">
        <f>_xlfn.IFNA(INDEX(Employees[Employee Role],MATCH(Schedule!A307,Employees[Employee Names],0)),"")</f>
        <v/>
      </c>
      <c r="D307" s="103"/>
      <c r="E307" s="98"/>
      <c r="F307" s="91"/>
      <c r="G307" s="99"/>
      <c r="H307" s="91"/>
      <c r="I307" s="91"/>
      <c r="J307" s="91"/>
      <c r="K307" s="92"/>
      <c r="L307" s="90"/>
      <c r="M307" s="91"/>
      <c r="N307" s="91"/>
      <c r="O307" s="91"/>
      <c r="P307" s="91"/>
      <c r="Q307" s="91"/>
      <c r="R307" s="92"/>
      <c r="S307" s="90"/>
      <c r="T307" s="91"/>
      <c r="U307" s="91"/>
      <c r="V307" s="91"/>
      <c r="W307" s="91"/>
      <c r="X307" s="91"/>
      <c r="Y307" s="92"/>
      <c r="Z307" s="90"/>
      <c r="AA307" s="91"/>
      <c r="AB307" s="91"/>
      <c r="AC307" s="91"/>
      <c r="AD307" s="91"/>
      <c r="AE307" s="91"/>
      <c r="AF307" s="93"/>
      <c r="AG307" s="94"/>
      <c r="AH307" s="95"/>
      <c r="AI307" s="95"/>
      <c r="AJ307" s="95"/>
      <c r="AK307" s="95"/>
      <c r="AL307" s="95"/>
      <c r="AM307" s="96"/>
      <c r="AN307" s="94"/>
      <c r="AO307" s="95"/>
      <c r="AP307" s="95"/>
      <c r="AQ307" s="95"/>
      <c r="AR307" s="95"/>
      <c r="AS307" s="95"/>
      <c r="AT307" s="96"/>
      <c r="AU307" s="37">
        <f t="shared" si="73"/>
        <v>0</v>
      </c>
      <c r="AV307" s="37">
        <f t="shared" si="74"/>
        <v>0</v>
      </c>
      <c r="AW307" s="37">
        <f t="shared" si="75"/>
        <v>0</v>
      </c>
      <c r="AX307" s="37">
        <f t="shared" si="76"/>
        <v>0</v>
      </c>
      <c r="AY307" s="37">
        <f t="shared" si="77"/>
        <v>0</v>
      </c>
      <c r="AZ307" s="37">
        <f t="shared" si="78"/>
        <v>0</v>
      </c>
      <c r="BA307" s="20"/>
    </row>
    <row r="308" spans="1:53" ht="14.1" customHeight="1" x14ac:dyDescent="0.25">
      <c r="A308" s="89"/>
      <c r="B308" s="101" t="str" cm="1">
        <f t="array" ref="B308">_xlfn.IFNA(INDEX(Employees[Employment Type],MATCH(Schedule!A308:A308,Employees[Employee Names],0)),"")</f>
        <v/>
      </c>
      <c r="C308" s="101" t="str">
        <f>_xlfn.IFNA(INDEX(Employees[Employee Role],MATCH(Schedule!A308,Employees[Employee Names],0)),"")</f>
        <v/>
      </c>
      <c r="D308" s="103"/>
      <c r="E308" s="98"/>
      <c r="F308" s="91"/>
      <c r="G308" s="99"/>
      <c r="H308" s="91"/>
      <c r="I308" s="91"/>
      <c r="J308" s="91"/>
      <c r="K308" s="92"/>
      <c r="L308" s="90"/>
      <c r="M308" s="91"/>
      <c r="N308" s="91"/>
      <c r="O308" s="91"/>
      <c r="P308" s="91"/>
      <c r="Q308" s="91"/>
      <c r="R308" s="92"/>
      <c r="S308" s="90"/>
      <c r="T308" s="91"/>
      <c r="U308" s="91"/>
      <c r="V308" s="91"/>
      <c r="W308" s="91"/>
      <c r="X308" s="91"/>
      <c r="Y308" s="92"/>
      <c r="Z308" s="90"/>
      <c r="AA308" s="91"/>
      <c r="AB308" s="91"/>
      <c r="AC308" s="91"/>
      <c r="AD308" s="91"/>
      <c r="AE308" s="91"/>
      <c r="AF308" s="93"/>
      <c r="AG308" s="94"/>
      <c r="AH308" s="95"/>
      <c r="AI308" s="95"/>
      <c r="AJ308" s="95"/>
      <c r="AK308" s="95"/>
      <c r="AL308" s="95"/>
      <c r="AM308" s="96"/>
      <c r="AN308" s="94"/>
      <c r="AO308" s="95"/>
      <c r="AP308" s="95"/>
      <c r="AQ308" s="95"/>
      <c r="AR308" s="95"/>
      <c r="AS308" s="95"/>
      <c r="AT308" s="96"/>
      <c r="AU308" s="37">
        <f t="shared" si="73"/>
        <v>0</v>
      </c>
      <c r="AV308" s="37">
        <f t="shared" si="74"/>
        <v>0</v>
      </c>
      <c r="AW308" s="37">
        <f t="shared" si="75"/>
        <v>0</v>
      </c>
      <c r="AX308" s="37">
        <f t="shared" si="76"/>
        <v>0</v>
      </c>
      <c r="AY308" s="37">
        <f t="shared" si="77"/>
        <v>0</v>
      </c>
      <c r="AZ308" s="37">
        <f t="shared" si="78"/>
        <v>0</v>
      </c>
      <c r="BA308" s="20"/>
    </row>
    <row r="309" spans="1:53" ht="14.1" customHeight="1" x14ac:dyDescent="0.25">
      <c r="A309" s="89"/>
      <c r="B309" s="101" t="str" cm="1">
        <f t="array" ref="B309">_xlfn.IFNA(INDEX(Employees[Employment Type],MATCH(Schedule!A309:A309,Employees[Employee Names],0)),"")</f>
        <v/>
      </c>
      <c r="C309" s="101" t="str">
        <f>_xlfn.IFNA(INDEX(Employees[Employee Role],MATCH(Schedule!A309,Employees[Employee Names],0)),"")</f>
        <v/>
      </c>
      <c r="D309" s="103"/>
      <c r="E309" s="98"/>
      <c r="F309" s="91"/>
      <c r="G309" s="99"/>
      <c r="H309" s="91"/>
      <c r="I309" s="91"/>
      <c r="J309" s="91"/>
      <c r="K309" s="92"/>
      <c r="L309" s="90"/>
      <c r="M309" s="91"/>
      <c r="N309" s="91"/>
      <c r="O309" s="91"/>
      <c r="P309" s="91"/>
      <c r="Q309" s="91"/>
      <c r="R309" s="92"/>
      <c r="S309" s="90"/>
      <c r="T309" s="91"/>
      <c r="U309" s="91"/>
      <c r="V309" s="91"/>
      <c r="W309" s="91"/>
      <c r="X309" s="91"/>
      <c r="Y309" s="92"/>
      <c r="Z309" s="90"/>
      <c r="AA309" s="91"/>
      <c r="AB309" s="91"/>
      <c r="AC309" s="91"/>
      <c r="AD309" s="91"/>
      <c r="AE309" s="91"/>
      <c r="AF309" s="93"/>
      <c r="AG309" s="94"/>
      <c r="AH309" s="95"/>
      <c r="AI309" s="95"/>
      <c r="AJ309" s="95"/>
      <c r="AK309" s="95"/>
      <c r="AL309" s="95"/>
      <c r="AM309" s="96"/>
      <c r="AN309" s="94"/>
      <c r="AO309" s="95"/>
      <c r="AP309" s="95"/>
      <c r="AQ309" s="95"/>
      <c r="AR309" s="95"/>
      <c r="AS309" s="95"/>
      <c r="AT309" s="96"/>
      <c r="AU309" s="37">
        <f t="shared" si="73"/>
        <v>0</v>
      </c>
      <c r="AV309" s="37">
        <f t="shared" si="74"/>
        <v>0</v>
      </c>
      <c r="AW309" s="37">
        <f t="shared" si="75"/>
        <v>0</v>
      </c>
      <c r="AX309" s="37">
        <f t="shared" si="76"/>
        <v>0</v>
      </c>
      <c r="AY309" s="37">
        <f t="shared" si="77"/>
        <v>0</v>
      </c>
      <c r="AZ309" s="37">
        <f t="shared" si="78"/>
        <v>0</v>
      </c>
      <c r="BA309" s="20"/>
    </row>
    <row r="310" spans="1:53" ht="14.1" customHeight="1" x14ac:dyDescent="0.25">
      <c r="A310" s="89"/>
      <c r="B310" s="101" t="str" cm="1">
        <f t="array" ref="B310">_xlfn.IFNA(INDEX(Employees[Employment Type],MATCH(Schedule!A310:A310,Employees[Employee Names],0)),"")</f>
        <v/>
      </c>
      <c r="C310" s="101" t="str">
        <f>_xlfn.IFNA(INDEX(Employees[Employee Role],MATCH(Schedule!A310,Employees[Employee Names],0)),"")</f>
        <v/>
      </c>
      <c r="D310" s="103"/>
      <c r="E310" s="98"/>
      <c r="F310" s="91"/>
      <c r="G310" s="99"/>
      <c r="H310" s="91"/>
      <c r="I310" s="91"/>
      <c r="J310" s="91"/>
      <c r="K310" s="92"/>
      <c r="L310" s="90"/>
      <c r="M310" s="91"/>
      <c r="N310" s="91"/>
      <c r="O310" s="91"/>
      <c r="P310" s="91"/>
      <c r="Q310" s="91"/>
      <c r="R310" s="92"/>
      <c r="S310" s="90"/>
      <c r="T310" s="91"/>
      <c r="U310" s="91"/>
      <c r="V310" s="91"/>
      <c r="W310" s="91"/>
      <c r="X310" s="91"/>
      <c r="Y310" s="92"/>
      <c r="Z310" s="90"/>
      <c r="AA310" s="91"/>
      <c r="AB310" s="91"/>
      <c r="AC310" s="91"/>
      <c r="AD310" s="91"/>
      <c r="AE310" s="91"/>
      <c r="AF310" s="93"/>
      <c r="AG310" s="94"/>
      <c r="AH310" s="95"/>
      <c r="AI310" s="95"/>
      <c r="AJ310" s="95"/>
      <c r="AK310" s="95"/>
      <c r="AL310" s="95"/>
      <c r="AM310" s="96"/>
      <c r="AN310" s="94"/>
      <c r="AO310" s="95"/>
      <c r="AP310" s="95"/>
      <c r="AQ310" s="95"/>
      <c r="AR310" s="95"/>
      <c r="AS310" s="95"/>
      <c r="AT310" s="96"/>
      <c r="AU310" s="37">
        <f t="shared" si="73"/>
        <v>0</v>
      </c>
      <c r="AV310" s="37">
        <f t="shared" si="74"/>
        <v>0</v>
      </c>
      <c r="AW310" s="37">
        <f t="shared" si="75"/>
        <v>0</v>
      </c>
      <c r="AX310" s="37">
        <f t="shared" si="76"/>
        <v>0</v>
      </c>
      <c r="AY310" s="37">
        <f t="shared" si="77"/>
        <v>0</v>
      </c>
      <c r="AZ310" s="37">
        <f t="shared" si="78"/>
        <v>0</v>
      </c>
      <c r="BA310" s="20"/>
    </row>
    <row r="311" spans="1:53" ht="14.1" customHeight="1" x14ac:dyDescent="0.25">
      <c r="A311" s="89"/>
      <c r="B311" s="101" t="str" cm="1">
        <f t="array" ref="B311">_xlfn.IFNA(INDEX(Employees[Employment Type],MATCH(Schedule!A311:A311,Employees[Employee Names],0)),"")</f>
        <v/>
      </c>
      <c r="C311" s="101" t="str">
        <f>_xlfn.IFNA(INDEX(Employees[Employee Role],MATCH(Schedule!A311,Employees[Employee Names],0)),"")</f>
        <v/>
      </c>
      <c r="D311" s="103"/>
      <c r="E311" s="98"/>
      <c r="F311" s="91"/>
      <c r="G311" s="99"/>
      <c r="H311" s="91"/>
      <c r="I311" s="91"/>
      <c r="J311" s="91"/>
      <c r="K311" s="92"/>
      <c r="L311" s="90"/>
      <c r="M311" s="91"/>
      <c r="N311" s="91"/>
      <c r="O311" s="91"/>
      <c r="P311" s="91"/>
      <c r="Q311" s="91"/>
      <c r="R311" s="92"/>
      <c r="S311" s="90"/>
      <c r="T311" s="91"/>
      <c r="U311" s="91"/>
      <c r="V311" s="91"/>
      <c r="W311" s="91"/>
      <c r="X311" s="91"/>
      <c r="Y311" s="92"/>
      <c r="Z311" s="90"/>
      <c r="AA311" s="91"/>
      <c r="AB311" s="91"/>
      <c r="AC311" s="91"/>
      <c r="AD311" s="91"/>
      <c r="AE311" s="91"/>
      <c r="AF311" s="93"/>
      <c r="AG311" s="94"/>
      <c r="AH311" s="95"/>
      <c r="AI311" s="95"/>
      <c r="AJ311" s="95"/>
      <c r="AK311" s="95"/>
      <c r="AL311" s="95"/>
      <c r="AM311" s="96"/>
      <c r="AN311" s="94"/>
      <c r="AO311" s="95"/>
      <c r="AP311" s="95"/>
      <c r="AQ311" s="95"/>
      <c r="AR311" s="95"/>
      <c r="AS311" s="95"/>
      <c r="AT311" s="96"/>
      <c r="AU311" s="37">
        <f t="shared" si="73"/>
        <v>0</v>
      </c>
      <c r="AV311" s="37">
        <f t="shared" si="74"/>
        <v>0</v>
      </c>
      <c r="AW311" s="37">
        <f t="shared" si="75"/>
        <v>0</v>
      </c>
      <c r="AX311" s="37">
        <f t="shared" si="76"/>
        <v>0</v>
      </c>
      <c r="AY311" s="37">
        <f t="shared" si="77"/>
        <v>0</v>
      </c>
      <c r="AZ311" s="37">
        <f t="shared" si="78"/>
        <v>0</v>
      </c>
      <c r="BA311" s="20"/>
    </row>
    <row r="312" spans="1:53" ht="14.1" customHeight="1" x14ac:dyDescent="0.25">
      <c r="A312" s="89"/>
      <c r="B312" s="101" t="str" cm="1">
        <f t="array" ref="B312">_xlfn.IFNA(INDEX(Employees[Employment Type],MATCH(Schedule!A312:A312,Employees[Employee Names],0)),"")</f>
        <v/>
      </c>
      <c r="C312" s="101" t="str">
        <f>_xlfn.IFNA(INDEX(Employees[Employee Role],MATCH(Schedule!A312,Employees[Employee Names],0)),"")</f>
        <v/>
      </c>
      <c r="D312" s="103"/>
      <c r="E312" s="98"/>
      <c r="F312" s="91"/>
      <c r="G312" s="99"/>
      <c r="H312" s="91"/>
      <c r="I312" s="91"/>
      <c r="J312" s="91"/>
      <c r="K312" s="92"/>
      <c r="L312" s="90"/>
      <c r="M312" s="91"/>
      <c r="N312" s="91"/>
      <c r="O312" s="91"/>
      <c r="P312" s="91"/>
      <c r="Q312" s="91"/>
      <c r="R312" s="92"/>
      <c r="S312" s="90"/>
      <c r="T312" s="91"/>
      <c r="U312" s="91"/>
      <c r="V312" s="91"/>
      <c r="W312" s="91"/>
      <c r="X312" s="91"/>
      <c r="Y312" s="92"/>
      <c r="Z312" s="90"/>
      <c r="AA312" s="91"/>
      <c r="AB312" s="91"/>
      <c r="AC312" s="91"/>
      <c r="AD312" s="91"/>
      <c r="AE312" s="91"/>
      <c r="AF312" s="93"/>
      <c r="AG312" s="94"/>
      <c r="AH312" s="95"/>
      <c r="AI312" s="95"/>
      <c r="AJ312" s="95"/>
      <c r="AK312" s="95"/>
      <c r="AL312" s="95"/>
      <c r="AM312" s="96"/>
      <c r="AN312" s="94"/>
      <c r="AO312" s="95"/>
      <c r="AP312" s="95"/>
      <c r="AQ312" s="95"/>
      <c r="AR312" s="95"/>
      <c r="AS312" s="95"/>
      <c r="AT312" s="96"/>
      <c r="AU312" s="37">
        <f t="shared" si="73"/>
        <v>0</v>
      </c>
      <c r="AV312" s="37">
        <f t="shared" si="74"/>
        <v>0</v>
      </c>
      <c r="AW312" s="37">
        <f t="shared" si="75"/>
        <v>0</v>
      </c>
      <c r="AX312" s="37">
        <f t="shared" si="76"/>
        <v>0</v>
      </c>
      <c r="AY312" s="37">
        <f t="shared" si="77"/>
        <v>0</v>
      </c>
      <c r="AZ312" s="37">
        <f t="shared" si="78"/>
        <v>0</v>
      </c>
      <c r="BA312" s="20"/>
    </row>
    <row r="313" spans="1:53" ht="14.1" customHeight="1" x14ac:dyDescent="0.25">
      <c r="A313" s="89"/>
      <c r="B313" s="101" t="str" cm="1">
        <f t="array" ref="B313">_xlfn.IFNA(INDEX(Employees[Employment Type],MATCH(Schedule!A313:A313,Employees[Employee Names],0)),"")</f>
        <v/>
      </c>
      <c r="C313" s="101" t="str">
        <f>_xlfn.IFNA(INDEX(Employees[Employee Role],MATCH(Schedule!A313,Employees[Employee Names],0)),"")</f>
        <v/>
      </c>
      <c r="D313" s="103"/>
      <c r="E313" s="98"/>
      <c r="F313" s="91"/>
      <c r="G313" s="99"/>
      <c r="H313" s="91"/>
      <c r="I313" s="91"/>
      <c r="J313" s="91"/>
      <c r="K313" s="92"/>
      <c r="L313" s="90"/>
      <c r="M313" s="91"/>
      <c r="N313" s="91"/>
      <c r="O313" s="91"/>
      <c r="P313" s="91"/>
      <c r="Q313" s="91"/>
      <c r="R313" s="92"/>
      <c r="S313" s="90"/>
      <c r="T313" s="91"/>
      <c r="U313" s="91"/>
      <c r="V313" s="91"/>
      <c r="W313" s="91"/>
      <c r="X313" s="91"/>
      <c r="Y313" s="92"/>
      <c r="Z313" s="90"/>
      <c r="AA313" s="91"/>
      <c r="AB313" s="91"/>
      <c r="AC313" s="91"/>
      <c r="AD313" s="91"/>
      <c r="AE313" s="91"/>
      <c r="AF313" s="93"/>
      <c r="AG313" s="94"/>
      <c r="AH313" s="95"/>
      <c r="AI313" s="95"/>
      <c r="AJ313" s="95"/>
      <c r="AK313" s="95"/>
      <c r="AL313" s="95"/>
      <c r="AM313" s="96"/>
      <c r="AN313" s="94"/>
      <c r="AO313" s="95"/>
      <c r="AP313" s="95"/>
      <c r="AQ313" s="95"/>
      <c r="AR313" s="95"/>
      <c r="AS313" s="95"/>
      <c r="AT313" s="96"/>
      <c r="AU313" s="37">
        <f t="shared" si="73"/>
        <v>0</v>
      </c>
      <c r="AV313" s="37">
        <f t="shared" si="74"/>
        <v>0</v>
      </c>
      <c r="AW313" s="37">
        <f t="shared" si="75"/>
        <v>0</v>
      </c>
      <c r="AX313" s="37">
        <f t="shared" si="76"/>
        <v>0</v>
      </c>
      <c r="AY313" s="37">
        <f t="shared" si="77"/>
        <v>0</v>
      </c>
      <c r="AZ313" s="37">
        <f t="shared" si="78"/>
        <v>0</v>
      </c>
      <c r="BA313" s="20"/>
    </row>
    <row r="314" spans="1:53" ht="14.1" customHeight="1" x14ac:dyDescent="0.25">
      <c r="A314" s="89"/>
      <c r="B314" s="101" t="str" cm="1">
        <f t="array" ref="B314">_xlfn.IFNA(INDEX(Employees[Employment Type],MATCH(Schedule!A314:A314,Employees[Employee Names],0)),"")</f>
        <v/>
      </c>
      <c r="C314" s="101" t="str">
        <f>_xlfn.IFNA(INDEX(Employees[Employee Role],MATCH(Schedule!A314,Employees[Employee Names],0)),"")</f>
        <v/>
      </c>
      <c r="D314" s="103">
        <f t="shared" ref="D314:D322" si="80">COUNTA($E314:$AF314)</f>
        <v>0</v>
      </c>
      <c r="E314" s="98"/>
      <c r="F314" s="91"/>
      <c r="G314" s="99"/>
      <c r="H314" s="91"/>
      <c r="I314" s="91"/>
      <c r="J314" s="91"/>
      <c r="K314" s="92"/>
      <c r="L314" s="90"/>
      <c r="M314" s="91"/>
      <c r="N314" s="91"/>
      <c r="O314" s="91"/>
      <c r="P314" s="91"/>
      <c r="Q314" s="91"/>
      <c r="R314" s="92"/>
      <c r="S314" s="90"/>
      <c r="T314" s="91"/>
      <c r="U314" s="91"/>
      <c r="V314" s="91"/>
      <c r="W314" s="91"/>
      <c r="X314" s="91"/>
      <c r="Y314" s="92"/>
      <c r="Z314" s="90"/>
      <c r="AA314" s="91"/>
      <c r="AB314" s="91"/>
      <c r="AC314" s="91"/>
      <c r="AD314" s="91"/>
      <c r="AE314" s="91"/>
      <c r="AF314" s="93"/>
      <c r="AG314" s="94"/>
      <c r="AH314" s="95"/>
      <c r="AI314" s="95"/>
      <c r="AJ314" s="95"/>
      <c r="AK314" s="95"/>
      <c r="AL314" s="95"/>
      <c r="AM314" s="96"/>
      <c r="AN314" s="94"/>
      <c r="AO314" s="95"/>
      <c r="AP314" s="95"/>
      <c r="AQ314" s="95"/>
      <c r="AR314" s="95"/>
      <c r="AS314" s="95"/>
      <c r="AT314" s="96"/>
      <c r="AU314" s="37">
        <f t="shared" si="73"/>
        <v>0</v>
      </c>
      <c r="AV314" s="37">
        <f t="shared" si="74"/>
        <v>0</v>
      </c>
      <c r="AW314" s="37">
        <f t="shared" si="75"/>
        <v>0</v>
      </c>
      <c r="AX314" s="37">
        <f t="shared" si="76"/>
        <v>0</v>
      </c>
      <c r="AY314" s="37">
        <f t="shared" si="77"/>
        <v>0</v>
      </c>
      <c r="AZ314" s="37">
        <f t="shared" si="78"/>
        <v>0</v>
      </c>
      <c r="BA314" s="20"/>
    </row>
    <row r="315" spans="1:53" ht="14.1" customHeight="1" x14ac:dyDescent="0.25">
      <c r="A315" s="89"/>
      <c r="B315" s="101" t="str" cm="1">
        <f t="array" ref="B315">_xlfn.IFNA(INDEX(Employees[Employment Type],MATCH(Schedule!A315:A315,Employees[Employee Names],0)),"")</f>
        <v/>
      </c>
      <c r="C315" s="101" t="str">
        <f>_xlfn.IFNA(INDEX(Employees[Employee Role],MATCH(Schedule!A315,Employees[Employee Names],0)),"")</f>
        <v/>
      </c>
      <c r="D315" s="103">
        <f t="shared" si="80"/>
        <v>0</v>
      </c>
      <c r="E315" s="98"/>
      <c r="F315" s="91"/>
      <c r="G315" s="99"/>
      <c r="H315" s="91"/>
      <c r="I315" s="91"/>
      <c r="J315" s="91"/>
      <c r="K315" s="92"/>
      <c r="L315" s="90"/>
      <c r="M315" s="91"/>
      <c r="N315" s="91"/>
      <c r="O315" s="91"/>
      <c r="P315" s="91"/>
      <c r="Q315" s="91"/>
      <c r="R315" s="92"/>
      <c r="S315" s="90"/>
      <c r="T315" s="91"/>
      <c r="U315" s="91"/>
      <c r="V315" s="91"/>
      <c r="W315" s="91"/>
      <c r="X315" s="91"/>
      <c r="Y315" s="92"/>
      <c r="Z315" s="90"/>
      <c r="AA315" s="91"/>
      <c r="AB315" s="91"/>
      <c r="AC315" s="91"/>
      <c r="AD315" s="91"/>
      <c r="AE315" s="91"/>
      <c r="AF315" s="93"/>
      <c r="AG315" s="94"/>
      <c r="AH315" s="95"/>
      <c r="AI315" s="95"/>
      <c r="AJ315" s="95"/>
      <c r="AK315" s="95"/>
      <c r="AL315" s="95"/>
      <c r="AM315" s="96"/>
      <c r="AN315" s="94"/>
      <c r="AO315" s="95"/>
      <c r="AP315" s="95"/>
      <c r="AQ315" s="95"/>
      <c r="AR315" s="95"/>
      <c r="AS315" s="95"/>
      <c r="AT315" s="96"/>
      <c r="AU315" s="37">
        <f t="shared" si="73"/>
        <v>0</v>
      </c>
      <c r="AV315" s="37">
        <f t="shared" si="74"/>
        <v>0</v>
      </c>
      <c r="AW315" s="37">
        <f t="shared" si="75"/>
        <v>0</v>
      </c>
      <c r="AX315" s="37">
        <f t="shared" si="76"/>
        <v>0</v>
      </c>
      <c r="AY315" s="37">
        <f t="shared" si="77"/>
        <v>0</v>
      </c>
      <c r="AZ315" s="37">
        <f t="shared" si="78"/>
        <v>0</v>
      </c>
      <c r="BA315" s="20"/>
    </row>
    <row r="316" spans="1:53" ht="14.1" customHeight="1" x14ac:dyDescent="0.25">
      <c r="A316" s="89"/>
      <c r="B316" s="101" t="str" cm="1">
        <f t="array" ref="B316">_xlfn.IFNA(INDEX(Employees[Employment Type],MATCH(Schedule!A316:A316,Employees[Employee Names],0)),"")</f>
        <v/>
      </c>
      <c r="C316" s="101" t="str">
        <f>_xlfn.IFNA(INDEX(Employees[Employee Role],MATCH(Schedule!A316,Employees[Employee Names],0)),"")</f>
        <v/>
      </c>
      <c r="D316" s="103">
        <f t="shared" si="80"/>
        <v>0</v>
      </c>
      <c r="E316" s="98"/>
      <c r="F316" s="91"/>
      <c r="G316" s="99"/>
      <c r="H316" s="91"/>
      <c r="I316" s="91"/>
      <c r="J316" s="91"/>
      <c r="K316" s="92"/>
      <c r="L316" s="90"/>
      <c r="M316" s="91"/>
      <c r="N316" s="91"/>
      <c r="O316" s="91"/>
      <c r="P316" s="91"/>
      <c r="Q316" s="91"/>
      <c r="R316" s="92"/>
      <c r="S316" s="90"/>
      <c r="T316" s="91"/>
      <c r="U316" s="91"/>
      <c r="V316" s="91"/>
      <c r="W316" s="91"/>
      <c r="X316" s="91"/>
      <c r="Y316" s="92"/>
      <c r="Z316" s="90"/>
      <c r="AA316" s="91"/>
      <c r="AB316" s="91"/>
      <c r="AC316" s="91"/>
      <c r="AD316" s="91"/>
      <c r="AE316" s="91"/>
      <c r="AF316" s="93"/>
      <c r="AG316" s="94"/>
      <c r="AH316" s="95"/>
      <c r="AI316" s="95"/>
      <c r="AJ316" s="95"/>
      <c r="AK316" s="95"/>
      <c r="AL316" s="95"/>
      <c r="AM316" s="96"/>
      <c r="AN316" s="94"/>
      <c r="AO316" s="95"/>
      <c r="AP316" s="95"/>
      <c r="AQ316" s="95"/>
      <c r="AR316" s="95"/>
      <c r="AS316" s="95"/>
      <c r="AT316" s="96"/>
      <c r="AU316" s="37">
        <f t="shared" si="73"/>
        <v>0</v>
      </c>
      <c r="AV316" s="37">
        <f t="shared" si="74"/>
        <v>0</v>
      </c>
      <c r="AW316" s="37">
        <f t="shared" si="75"/>
        <v>0</v>
      </c>
      <c r="AX316" s="37">
        <f t="shared" si="76"/>
        <v>0</v>
      </c>
      <c r="AY316" s="37">
        <f t="shared" si="77"/>
        <v>0</v>
      </c>
      <c r="AZ316" s="37">
        <f t="shared" si="78"/>
        <v>0</v>
      </c>
      <c r="BA316" s="20"/>
    </row>
    <row r="317" spans="1:53" ht="14.1" customHeight="1" x14ac:dyDescent="0.25">
      <c r="A317" s="89"/>
      <c r="B317" s="101" t="str" cm="1">
        <f t="array" ref="B317">_xlfn.IFNA(INDEX(Employees[Employment Type],MATCH(Schedule!A317:A317,Employees[Employee Names],0)),"")</f>
        <v/>
      </c>
      <c r="C317" s="101" t="str">
        <f>_xlfn.IFNA(INDEX(Employees[Employee Role],MATCH(Schedule!A317,Employees[Employee Names],0)),"")</f>
        <v/>
      </c>
      <c r="D317" s="103">
        <f t="shared" si="80"/>
        <v>0</v>
      </c>
      <c r="E317" s="98"/>
      <c r="F317" s="91"/>
      <c r="G317" s="99"/>
      <c r="H317" s="91"/>
      <c r="I317" s="91"/>
      <c r="J317" s="91"/>
      <c r="K317" s="92"/>
      <c r="L317" s="90"/>
      <c r="M317" s="91"/>
      <c r="N317" s="91"/>
      <c r="O317" s="91"/>
      <c r="P317" s="91"/>
      <c r="Q317" s="91"/>
      <c r="R317" s="92"/>
      <c r="S317" s="90"/>
      <c r="T317" s="91"/>
      <c r="U317" s="91"/>
      <c r="V317" s="91"/>
      <c r="W317" s="91"/>
      <c r="X317" s="91"/>
      <c r="Y317" s="92"/>
      <c r="Z317" s="90"/>
      <c r="AA317" s="91"/>
      <c r="AB317" s="91"/>
      <c r="AC317" s="91"/>
      <c r="AD317" s="91"/>
      <c r="AE317" s="91"/>
      <c r="AF317" s="93"/>
      <c r="AG317" s="94"/>
      <c r="AH317" s="95"/>
      <c r="AI317" s="95"/>
      <c r="AJ317" s="95"/>
      <c r="AK317" s="95"/>
      <c r="AL317" s="95"/>
      <c r="AM317" s="96"/>
      <c r="AN317" s="94"/>
      <c r="AO317" s="95"/>
      <c r="AP317" s="95"/>
      <c r="AQ317" s="95"/>
      <c r="AR317" s="95"/>
      <c r="AS317" s="95"/>
      <c r="AT317" s="96"/>
      <c r="AU317" s="37">
        <f t="shared" si="73"/>
        <v>0</v>
      </c>
      <c r="AV317" s="37">
        <f t="shared" si="74"/>
        <v>0</v>
      </c>
      <c r="AW317" s="37">
        <f t="shared" si="75"/>
        <v>0</v>
      </c>
      <c r="AX317" s="37">
        <f t="shared" si="76"/>
        <v>0</v>
      </c>
      <c r="AY317" s="37">
        <f t="shared" si="77"/>
        <v>0</v>
      </c>
      <c r="AZ317" s="37">
        <f t="shared" si="78"/>
        <v>0</v>
      </c>
      <c r="BA317" s="20"/>
    </row>
    <row r="318" spans="1:53" ht="14.1" customHeight="1" x14ac:dyDescent="0.25">
      <c r="A318" s="89"/>
      <c r="B318" s="101" t="str" cm="1">
        <f t="array" ref="B318">_xlfn.IFNA(INDEX(Employees[Employment Type],MATCH(Schedule!A318:A318,Employees[Employee Names],0)),"")</f>
        <v/>
      </c>
      <c r="C318" s="101" t="str">
        <f>_xlfn.IFNA(INDEX(Employees[Employee Role],MATCH(Schedule!A318,Employees[Employee Names],0)),"")</f>
        <v/>
      </c>
      <c r="D318" s="103">
        <f t="shared" si="80"/>
        <v>0</v>
      </c>
      <c r="E318" s="98"/>
      <c r="F318" s="91"/>
      <c r="G318" s="99"/>
      <c r="H318" s="91"/>
      <c r="I318" s="91"/>
      <c r="J318" s="91"/>
      <c r="K318" s="92"/>
      <c r="L318" s="90"/>
      <c r="M318" s="91"/>
      <c r="N318" s="91"/>
      <c r="O318" s="91"/>
      <c r="P318" s="91"/>
      <c r="Q318" s="91"/>
      <c r="R318" s="92"/>
      <c r="S318" s="90"/>
      <c r="T318" s="91"/>
      <c r="U318" s="91"/>
      <c r="V318" s="91"/>
      <c r="W318" s="91"/>
      <c r="X318" s="91"/>
      <c r="Y318" s="92"/>
      <c r="Z318" s="90"/>
      <c r="AA318" s="91"/>
      <c r="AB318" s="91"/>
      <c r="AC318" s="91"/>
      <c r="AD318" s="91"/>
      <c r="AE318" s="91"/>
      <c r="AF318" s="93"/>
      <c r="AG318" s="94"/>
      <c r="AH318" s="95"/>
      <c r="AI318" s="95"/>
      <c r="AJ318" s="95"/>
      <c r="AK318" s="95"/>
      <c r="AL318" s="95"/>
      <c r="AM318" s="96"/>
      <c r="AN318" s="94"/>
      <c r="AO318" s="95"/>
      <c r="AP318" s="95"/>
      <c r="AQ318" s="95"/>
      <c r="AR318" s="95"/>
      <c r="AS318" s="95"/>
      <c r="AT318" s="96"/>
      <c r="AU318" s="37">
        <f t="shared" si="73"/>
        <v>0</v>
      </c>
      <c r="AV318" s="37">
        <f t="shared" si="74"/>
        <v>0</v>
      </c>
      <c r="AW318" s="37">
        <f t="shared" si="75"/>
        <v>0</v>
      </c>
      <c r="AX318" s="37">
        <f t="shared" si="76"/>
        <v>0</v>
      </c>
      <c r="AY318" s="37">
        <f t="shared" si="77"/>
        <v>0</v>
      </c>
      <c r="AZ318" s="37">
        <f t="shared" si="78"/>
        <v>0</v>
      </c>
      <c r="BA318" s="20"/>
    </row>
    <row r="319" spans="1:53" ht="14.1" customHeight="1" x14ac:dyDescent="0.25">
      <c r="A319" s="89"/>
      <c r="B319" s="101" t="str" cm="1">
        <f t="array" ref="B319">_xlfn.IFNA(INDEX(Employees[Employment Type],MATCH(Schedule!A319:A319,Employees[Employee Names],0)),"")</f>
        <v/>
      </c>
      <c r="C319" s="101" t="str">
        <f>_xlfn.IFNA(INDEX(Employees[Employee Role],MATCH(Schedule!A319,Employees[Employee Names],0)),"")</f>
        <v/>
      </c>
      <c r="D319" s="103">
        <f t="shared" si="80"/>
        <v>0</v>
      </c>
      <c r="E319" s="90"/>
      <c r="F319" s="100"/>
      <c r="G319" s="91"/>
      <c r="H319" s="91"/>
      <c r="I319" s="91"/>
      <c r="J319" s="91"/>
      <c r="K319" s="92"/>
      <c r="L319" s="90"/>
      <c r="M319" s="91"/>
      <c r="N319" s="91"/>
      <c r="O319" s="91"/>
      <c r="P319" s="91"/>
      <c r="Q319" s="91"/>
      <c r="R319" s="92"/>
      <c r="S319" s="90"/>
      <c r="T319" s="91"/>
      <c r="U319" s="91"/>
      <c r="V319" s="91"/>
      <c r="W319" s="91"/>
      <c r="X319" s="91"/>
      <c r="Y319" s="92"/>
      <c r="Z319" s="90"/>
      <c r="AA319" s="91"/>
      <c r="AB319" s="91"/>
      <c r="AC319" s="91"/>
      <c r="AD319" s="91"/>
      <c r="AE319" s="91"/>
      <c r="AF319" s="93"/>
      <c r="AG319" s="94"/>
      <c r="AH319" s="95"/>
      <c r="AI319" s="95"/>
      <c r="AJ319" s="95"/>
      <c r="AK319" s="95"/>
      <c r="AL319" s="95"/>
      <c r="AM319" s="96"/>
      <c r="AN319" s="94"/>
      <c r="AO319" s="95"/>
      <c r="AP319" s="95"/>
      <c r="AQ319" s="95"/>
      <c r="AR319" s="95"/>
      <c r="AS319" s="95"/>
      <c r="AT319" s="96"/>
      <c r="AU319" s="37">
        <f t="shared" si="73"/>
        <v>0</v>
      </c>
      <c r="AV319" s="37">
        <f t="shared" si="74"/>
        <v>0</v>
      </c>
      <c r="AW319" s="37">
        <f t="shared" si="75"/>
        <v>0</v>
      </c>
      <c r="AX319" s="37">
        <f t="shared" si="76"/>
        <v>0</v>
      </c>
      <c r="AY319" s="37">
        <f t="shared" si="77"/>
        <v>0</v>
      </c>
      <c r="AZ319" s="37">
        <f t="shared" si="78"/>
        <v>0</v>
      </c>
      <c r="BA319" s="20"/>
    </row>
    <row r="320" spans="1:53" ht="14.1" customHeight="1" x14ac:dyDescent="0.25">
      <c r="A320" s="89"/>
      <c r="B320" s="101" t="str" cm="1">
        <f t="array" ref="B320">_xlfn.IFNA(INDEX(Employees[Employment Type],MATCH(Schedule!A320:A320,Employees[Employee Names],0)),"")</f>
        <v/>
      </c>
      <c r="C320" s="101" t="str">
        <f>_xlfn.IFNA(INDEX(Employees[Employee Role],MATCH(Schedule!A320,Employees[Employee Names],0)),"")</f>
        <v/>
      </c>
      <c r="D320" s="103">
        <f t="shared" si="80"/>
        <v>0</v>
      </c>
      <c r="E320" s="90"/>
      <c r="F320" s="91"/>
      <c r="G320" s="91"/>
      <c r="H320" s="91"/>
      <c r="I320" s="91"/>
      <c r="J320" s="91"/>
      <c r="K320" s="92"/>
      <c r="L320" s="90"/>
      <c r="M320" s="91"/>
      <c r="N320" s="91"/>
      <c r="O320" s="91"/>
      <c r="P320" s="91"/>
      <c r="Q320" s="91"/>
      <c r="R320" s="92"/>
      <c r="S320" s="90"/>
      <c r="T320" s="91"/>
      <c r="U320" s="91"/>
      <c r="V320" s="91"/>
      <c r="W320" s="91"/>
      <c r="X320" s="91"/>
      <c r="Y320" s="92"/>
      <c r="Z320" s="90"/>
      <c r="AA320" s="91"/>
      <c r="AB320" s="91"/>
      <c r="AC320" s="91"/>
      <c r="AD320" s="91"/>
      <c r="AE320" s="91"/>
      <c r="AF320" s="93"/>
      <c r="AG320" s="94"/>
      <c r="AH320" s="95"/>
      <c r="AI320" s="95"/>
      <c r="AJ320" s="95"/>
      <c r="AK320" s="95"/>
      <c r="AL320" s="95"/>
      <c r="AM320" s="96"/>
      <c r="AN320" s="94"/>
      <c r="AO320" s="95"/>
      <c r="AP320" s="95"/>
      <c r="AQ320" s="95"/>
      <c r="AR320" s="95"/>
      <c r="AS320" s="95"/>
      <c r="AT320" s="96"/>
      <c r="AU320" s="37">
        <f t="shared" si="73"/>
        <v>0</v>
      </c>
      <c r="AV320" s="37">
        <f t="shared" si="74"/>
        <v>0</v>
      </c>
      <c r="AW320" s="37">
        <f t="shared" si="75"/>
        <v>0</v>
      </c>
      <c r="AX320" s="37">
        <f t="shared" si="76"/>
        <v>0</v>
      </c>
      <c r="AY320" s="37">
        <f t="shared" si="77"/>
        <v>0</v>
      </c>
      <c r="AZ320" s="37">
        <f t="shared" si="78"/>
        <v>0</v>
      </c>
      <c r="BA320" s="20"/>
    </row>
    <row r="321" spans="1:53" ht="14.1" customHeight="1" x14ac:dyDescent="0.25">
      <c r="A321" s="89"/>
      <c r="B321" s="101" t="str" cm="1">
        <f t="array" ref="B321">_xlfn.IFNA(INDEX(Employees[Employment Type],MATCH(Schedule!A321:A321,Employees[Employee Names],0)),"")</f>
        <v/>
      </c>
      <c r="C321" s="101" t="str">
        <f>_xlfn.IFNA(INDEX(Employees[Employee Role],MATCH(Schedule!A321,Employees[Employee Names],0)),"")</f>
        <v/>
      </c>
      <c r="D321" s="103">
        <f t="shared" si="80"/>
        <v>0</v>
      </c>
      <c r="E321" s="90"/>
      <c r="F321" s="91"/>
      <c r="G321" s="91"/>
      <c r="H321" s="91"/>
      <c r="I321" s="91"/>
      <c r="J321" s="91"/>
      <c r="K321" s="92"/>
      <c r="L321" s="90"/>
      <c r="M321" s="91"/>
      <c r="N321" s="91"/>
      <c r="O321" s="91"/>
      <c r="P321" s="91"/>
      <c r="Q321" s="91"/>
      <c r="R321" s="92"/>
      <c r="S321" s="90"/>
      <c r="T321" s="91"/>
      <c r="U321" s="91"/>
      <c r="V321" s="91"/>
      <c r="W321" s="91"/>
      <c r="X321" s="91"/>
      <c r="Y321" s="92"/>
      <c r="Z321" s="90"/>
      <c r="AA321" s="91"/>
      <c r="AB321" s="91"/>
      <c r="AC321" s="91"/>
      <c r="AD321" s="91"/>
      <c r="AE321" s="91"/>
      <c r="AF321" s="93"/>
      <c r="AG321" s="94"/>
      <c r="AH321" s="95"/>
      <c r="AI321" s="95"/>
      <c r="AJ321" s="95"/>
      <c r="AK321" s="95"/>
      <c r="AL321" s="95"/>
      <c r="AM321" s="96"/>
      <c r="AN321" s="94"/>
      <c r="AO321" s="95"/>
      <c r="AP321" s="95"/>
      <c r="AQ321" s="95"/>
      <c r="AR321" s="95"/>
      <c r="AS321" s="95"/>
      <c r="AT321" s="96"/>
      <c r="AU321" s="37">
        <f t="shared" si="73"/>
        <v>0</v>
      </c>
      <c r="AV321" s="37">
        <f t="shared" si="74"/>
        <v>0</v>
      </c>
      <c r="AW321" s="37">
        <f t="shared" si="75"/>
        <v>0</v>
      </c>
      <c r="AX321" s="37">
        <f t="shared" si="76"/>
        <v>0</v>
      </c>
      <c r="AY321" s="37">
        <f t="shared" si="77"/>
        <v>0</v>
      </c>
      <c r="AZ321" s="37">
        <f t="shared" si="78"/>
        <v>0</v>
      </c>
      <c r="BA321" s="20"/>
    </row>
    <row r="322" spans="1:53" ht="14.1" customHeight="1" x14ac:dyDescent="0.25">
      <c r="A322" s="89"/>
      <c r="B322" s="101" t="str" cm="1">
        <f t="array" ref="B322">_xlfn.IFNA(INDEX(Employees[Employment Type],MATCH(Schedule!A322:A322,Employees[Employee Names],0)),"")</f>
        <v/>
      </c>
      <c r="C322" s="101" t="str">
        <f>_xlfn.IFNA(INDEX(Employees[Employee Role],MATCH(Schedule!A322,Employees[Employee Names],0)),"")</f>
        <v/>
      </c>
      <c r="D322" s="103">
        <f t="shared" si="80"/>
        <v>0</v>
      </c>
      <c r="E322" s="90"/>
      <c r="F322" s="91"/>
      <c r="G322" s="91"/>
      <c r="H322" s="91"/>
      <c r="I322" s="91"/>
      <c r="J322" s="91"/>
      <c r="K322" s="92"/>
      <c r="L322" s="90"/>
      <c r="M322" s="91"/>
      <c r="N322" s="91"/>
      <c r="O322" s="91"/>
      <c r="P322" s="91"/>
      <c r="Q322" s="91"/>
      <c r="R322" s="92"/>
      <c r="S322" s="90"/>
      <c r="T322" s="91"/>
      <c r="U322" s="91"/>
      <c r="V322" s="91"/>
      <c r="W322" s="91"/>
      <c r="X322" s="91"/>
      <c r="Y322" s="92"/>
      <c r="Z322" s="90"/>
      <c r="AA322" s="91"/>
      <c r="AB322" s="91"/>
      <c r="AC322" s="91"/>
      <c r="AD322" s="91"/>
      <c r="AE322" s="91"/>
      <c r="AF322" s="93"/>
      <c r="AG322" s="90"/>
      <c r="AH322" s="91"/>
      <c r="AI322" s="91"/>
      <c r="AJ322" s="91"/>
      <c r="AK322" s="91"/>
      <c r="AL322" s="91"/>
      <c r="AM322" s="93"/>
      <c r="AN322" s="90"/>
      <c r="AO322" s="91"/>
      <c r="AP322" s="91"/>
      <c r="AQ322" s="91"/>
      <c r="AR322" s="91"/>
      <c r="AS322" s="91"/>
      <c r="AT322" s="93"/>
      <c r="AU322" s="37">
        <f t="shared" si="73"/>
        <v>0</v>
      </c>
      <c r="AV322" s="37">
        <f t="shared" si="74"/>
        <v>0</v>
      </c>
      <c r="AW322" s="37">
        <f t="shared" si="75"/>
        <v>0</v>
      </c>
      <c r="AX322" s="37">
        <f t="shared" si="76"/>
        <v>0</v>
      </c>
      <c r="AY322" s="37">
        <f t="shared" si="77"/>
        <v>0</v>
      </c>
      <c r="AZ322" s="37">
        <f t="shared" si="78"/>
        <v>0</v>
      </c>
      <c r="BA322" s="20"/>
    </row>
    <row r="323" spans="1:53" ht="14.1" customHeight="1" x14ac:dyDescent="0.25">
      <c r="A323" s="89"/>
      <c r="B323" s="101" t="str" cm="1">
        <f t="array" ref="B323">_xlfn.IFNA(INDEX(Employees[Employment Type],MATCH(Schedule!A323:A323,Employees[Employee Names],0)),"")</f>
        <v/>
      </c>
      <c r="C323" s="101" t="str">
        <f>_xlfn.IFNA(INDEX(Employees[Employee Role],MATCH(Schedule!A323,Employees[Employee Names],0)),"")</f>
        <v/>
      </c>
      <c r="D323" s="103">
        <f t="shared" si="66"/>
        <v>0</v>
      </c>
      <c r="E323" s="90"/>
      <c r="F323" s="91"/>
      <c r="G323" s="91"/>
      <c r="H323" s="91"/>
      <c r="I323" s="91"/>
      <c r="J323" s="91"/>
      <c r="K323" s="92"/>
      <c r="L323" s="90"/>
      <c r="M323" s="91"/>
      <c r="N323" s="91"/>
      <c r="O323" s="91"/>
      <c r="P323" s="91"/>
      <c r="Q323" s="91"/>
      <c r="R323" s="92"/>
      <c r="S323" s="90"/>
      <c r="T323" s="91"/>
      <c r="U323" s="91"/>
      <c r="V323" s="91"/>
      <c r="W323" s="91"/>
      <c r="X323" s="91"/>
      <c r="Y323" s="92"/>
      <c r="Z323" s="90"/>
      <c r="AA323" s="91"/>
      <c r="AB323" s="91"/>
      <c r="AC323" s="91"/>
      <c r="AD323" s="91"/>
      <c r="AE323" s="91"/>
      <c r="AF323" s="93"/>
      <c r="AG323" s="90"/>
      <c r="AH323" s="91"/>
      <c r="AI323" s="91"/>
      <c r="AJ323" s="91"/>
      <c r="AK323" s="91"/>
      <c r="AL323" s="91"/>
      <c r="AM323" s="93"/>
      <c r="AN323" s="90"/>
      <c r="AO323" s="91"/>
      <c r="AP323" s="91"/>
      <c r="AQ323" s="91"/>
      <c r="AR323" s="91"/>
      <c r="AS323" s="91"/>
      <c r="AT323" s="93"/>
      <c r="AU323" s="37">
        <f t="shared" si="73"/>
        <v>0</v>
      </c>
      <c r="AV323" s="37">
        <f t="shared" si="74"/>
        <v>0</v>
      </c>
      <c r="AW323" s="37">
        <f t="shared" si="75"/>
        <v>0</v>
      </c>
      <c r="AX323" s="37">
        <f t="shared" si="76"/>
        <v>0</v>
      </c>
      <c r="AY323" s="37">
        <f t="shared" si="77"/>
        <v>0</v>
      </c>
      <c r="AZ323" s="37">
        <f t="shared" si="78"/>
        <v>0</v>
      </c>
      <c r="BA323" s="20"/>
    </row>
    <row r="324" spans="1:53" ht="14.1" customHeight="1" x14ac:dyDescent="0.25">
      <c r="A324" s="22"/>
      <c r="B324" s="22"/>
      <c r="C324" s="23"/>
      <c r="D324" s="24"/>
      <c r="E324" s="24"/>
      <c r="F324" s="24"/>
      <c r="G324" s="24"/>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c r="AE324" s="24"/>
      <c r="AF324" s="20"/>
      <c r="AG324" s="24"/>
      <c r="AH324" s="24"/>
      <c r="AI324" s="24"/>
      <c r="AJ324" s="24"/>
      <c r="AK324" s="24"/>
      <c r="AL324" s="24"/>
      <c r="AM324" s="20"/>
      <c r="AN324" s="24"/>
      <c r="AO324" s="24"/>
      <c r="AP324" s="24"/>
      <c r="AQ324" s="24"/>
      <c r="AR324" s="24"/>
      <c r="AS324" s="24"/>
      <c r="AT324" s="20"/>
      <c r="AU324" s="20"/>
      <c r="AV324" s="20"/>
      <c r="AW324" s="20"/>
      <c r="AX324" s="20"/>
      <c r="AY324" s="20"/>
      <c r="AZ324" s="20"/>
      <c r="BA324" s="20"/>
    </row>
    <row r="325" spans="1:53" ht="14.1" customHeight="1" x14ac:dyDescent="0.25">
      <c r="A325" s="116" t="s">
        <v>44</v>
      </c>
      <c r="B325" s="117"/>
      <c r="C325" s="117"/>
      <c r="D325" s="117"/>
      <c r="E325" s="72">
        <f t="shared" ref="E325:AT325" si="81">COUNTA(E224:E323)</f>
        <v>0</v>
      </c>
      <c r="F325" s="73">
        <f t="shared" si="81"/>
        <v>0</v>
      </c>
      <c r="G325" s="73">
        <f t="shared" si="81"/>
        <v>0</v>
      </c>
      <c r="H325" s="73">
        <f t="shared" si="81"/>
        <v>0</v>
      </c>
      <c r="I325" s="73">
        <f t="shared" si="81"/>
        <v>0</v>
      </c>
      <c r="J325" s="73">
        <f t="shared" si="81"/>
        <v>0</v>
      </c>
      <c r="K325" s="73">
        <f t="shared" si="81"/>
        <v>0</v>
      </c>
      <c r="L325" s="72">
        <f t="shared" si="81"/>
        <v>0</v>
      </c>
      <c r="M325" s="73">
        <f t="shared" si="81"/>
        <v>0</v>
      </c>
      <c r="N325" s="73">
        <f t="shared" si="81"/>
        <v>0</v>
      </c>
      <c r="O325" s="73">
        <f t="shared" si="81"/>
        <v>0</v>
      </c>
      <c r="P325" s="73">
        <f t="shared" si="81"/>
        <v>0</v>
      </c>
      <c r="Q325" s="73">
        <f t="shared" si="81"/>
        <v>0</v>
      </c>
      <c r="R325" s="73">
        <f t="shared" si="81"/>
        <v>0</v>
      </c>
      <c r="S325" s="72">
        <f t="shared" si="81"/>
        <v>0</v>
      </c>
      <c r="T325" s="73">
        <f t="shared" si="81"/>
        <v>0</v>
      </c>
      <c r="U325" s="73">
        <f t="shared" si="81"/>
        <v>0</v>
      </c>
      <c r="V325" s="73">
        <f t="shared" si="81"/>
        <v>0</v>
      </c>
      <c r="W325" s="73">
        <f t="shared" si="81"/>
        <v>0</v>
      </c>
      <c r="X325" s="73">
        <f t="shared" si="81"/>
        <v>0</v>
      </c>
      <c r="Y325" s="73">
        <f t="shared" si="81"/>
        <v>0</v>
      </c>
      <c r="Z325" s="72">
        <f t="shared" si="81"/>
        <v>0</v>
      </c>
      <c r="AA325" s="73">
        <f t="shared" si="81"/>
        <v>0</v>
      </c>
      <c r="AB325" s="73">
        <f t="shared" si="81"/>
        <v>0</v>
      </c>
      <c r="AC325" s="73">
        <f t="shared" si="81"/>
        <v>0</v>
      </c>
      <c r="AD325" s="73">
        <f t="shared" si="81"/>
        <v>0</v>
      </c>
      <c r="AE325" s="73">
        <f t="shared" si="81"/>
        <v>0</v>
      </c>
      <c r="AF325" s="73">
        <f t="shared" si="81"/>
        <v>0</v>
      </c>
      <c r="AG325" s="72">
        <f t="shared" si="81"/>
        <v>0</v>
      </c>
      <c r="AH325" s="73">
        <f t="shared" si="81"/>
        <v>0</v>
      </c>
      <c r="AI325" s="73">
        <f t="shared" si="81"/>
        <v>0</v>
      </c>
      <c r="AJ325" s="73">
        <f t="shared" si="81"/>
        <v>0</v>
      </c>
      <c r="AK325" s="73">
        <f t="shared" si="81"/>
        <v>0</v>
      </c>
      <c r="AL325" s="73">
        <f t="shared" si="81"/>
        <v>0</v>
      </c>
      <c r="AM325" s="73">
        <f t="shared" si="81"/>
        <v>0</v>
      </c>
      <c r="AN325" s="72">
        <f t="shared" si="81"/>
        <v>0</v>
      </c>
      <c r="AO325" s="73">
        <f t="shared" si="81"/>
        <v>0</v>
      </c>
      <c r="AP325" s="73">
        <f t="shared" si="81"/>
        <v>0</v>
      </c>
      <c r="AQ325" s="73">
        <f t="shared" si="81"/>
        <v>0</v>
      </c>
      <c r="AR325" s="73">
        <f t="shared" si="81"/>
        <v>0</v>
      </c>
      <c r="AS325" s="73">
        <f t="shared" si="81"/>
        <v>0</v>
      </c>
      <c r="AT325" s="73">
        <f t="shared" si="81"/>
        <v>0</v>
      </c>
      <c r="AU325" s="20"/>
      <c r="AV325" s="20"/>
      <c r="AW325" s="20"/>
      <c r="AX325" s="20"/>
      <c r="AY325" s="20"/>
      <c r="AZ325" s="20"/>
      <c r="BA325" s="20"/>
    </row>
    <row r="326" spans="1:53" ht="14.1" customHeight="1" x14ac:dyDescent="0.25">
      <c r="A326" s="119" t="s">
        <v>45</v>
      </c>
      <c r="B326" s="120"/>
      <c r="C326" s="120"/>
      <c r="D326" s="120"/>
      <c r="E326" s="104">
        <v>8</v>
      </c>
      <c r="F326" s="89">
        <v>8</v>
      </c>
      <c r="G326" s="89">
        <v>8</v>
      </c>
      <c r="H326" s="89">
        <v>8</v>
      </c>
      <c r="I326" s="89">
        <v>8</v>
      </c>
      <c r="J326" s="89">
        <v>8</v>
      </c>
      <c r="K326" s="89">
        <v>8</v>
      </c>
      <c r="L326" s="104">
        <v>8</v>
      </c>
      <c r="M326" s="89">
        <v>8</v>
      </c>
      <c r="N326" s="89">
        <v>8</v>
      </c>
      <c r="O326" s="89">
        <v>8</v>
      </c>
      <c r="P326" s="89">
        <v>8</v>
      </c>
      <c r="Q326" s="89">
        <v>8</v>
      </c>
      <c r="R326" s="89">
        <v>8</v>
      </c>
      <c r="S326" s="104">
        <v>8</v>
      </c>
      <c r="T326" s="89">
        <v>8</v>
      </c>
      <c r="U326" s="89">
        <v>8</v>
      </c>
      <c r="V326" s="89">
        <v>8</v>
      </c>
      <c r="W326" s="89">
        <v>8</v>
      </c>
      <c r="X326" s="89">
        <v>8</v>
      </c>
      <c r="Y326" s="89">
        <v>8</v>
      </c>
      <c r="Z326" s="104">
        <v>8</v>
      </c>
      <c r="AA326" s="89">
        <v>8</v>
      </c>
      <c r="AB326" s="89">
        <v>8</v>
      </c>
      <c r="AC326" s="89">
        <v>8</v>
      </c>
      <c r="AD326" s="89">
        <v>8</v>
      </c>
      <c r="AE326" s="89">
        <v>8</v>
      </c>
      <c r="AF326" s="89">
        <v>8</v>
      </c>
      <c r="AG326" s="104">
        <v>8</v>
      </c>
      <c r="AH326" s="89">
        <v>8</v>
      </c>
      <c r="AI326" s="89">
        <v>8</v>
      </c>
      <c r="AJ326" s="89">
        <v>8</v>
      </c>
      <c r="AK326" s="89">
        <v>8</v>
      </c>
      <c r="AL326" s="89">
        <v>8</v>
      </c>
      <c r="AM326" s="89">
        <v>8</v>
      </c>
      <c r="AN326" s="104">
        <v>8</v>
      </c>
      <c r="AO326" s="89">
        <v>8</v>
      </c>
      <c r="AP326" s="89">
        <v>8</v>
      </c>
      <c r="AQ326" s="89">
        <v>8</v>
      </c>
      <c r="AR326" s="89">
        <v>8</v>
      </c>
      <c r="AS326" s="89">
        <v>8</v>
      </c>
      <c r="AT326" s="89">
        <v>8</v>
      </c>
      <c r="AU326" s="20"/>
      <c r="AV326" s="20"/>
      <c r="AW326" s="20"/>
      <c r="AX326" s="20"/>
      <c r="AY326" s="20"/>
      <c r="AZ326" s="20"/>
      <c r="BA326" s="20"/>
    </row>
    <row r="327" spans="1:53" ht="14.1" customHeight="1" x14ac:dyDescent="0.25">
      <c r="A327" s="116" t="s">
        <v>46</v>
      </c>
      <c r="B327" s="117"/>
      <c r="C327" s="117"/>
      <c r="D327" s="117"/>
      <c r="E327" s="72">
        <f>E326-E325</f>
        <v>8</v>
      </c>
      <c r="F327" s="73">
        <f t="shared" ref="F327:K327" si="82">F326-F325</f>
        <v>8</v>
      </c>
      <c r="G327" s="73">
        <f t="shared" si="82"/>
        <v>8</v>
      </c>
      <c r="H327" s="73">
        <f t="shared" si="82"/>
        <v>8</v>
      </c>
      <c r="I327" s="73">
        <f t="shared" si="82"/>
        <v>8</v>
      </c>
      <c r="J327" s="73">
        <f t="shared" si="82"/>
        <v>8</v>
      </c>
      <c r="K327" s="73">
        <f t="shared" si="82"/>
        <v>8</v>
      </c>
      <c r="L327" s="72">
        <f>L326-L325</f>
        <v>8</v>
      </c>
      <c r="M327" s="73">
        <f t="shared" ref="M327:R327" si="83">M326-M325</f>
        <v>8</v>
      </c>
      <c r="N327" s="73">
        <f t="shared" si="83"/>
        <v>8</v>
      </c>
      <c r="O327" s="73">
        <f t="shared" si="83"/>
        <v>8</v>
      </c>
      <c r="P327" s="73">
        <f t="shared" si="83"/>
        <v>8</v>
      </c>
      <c r="Q327" s="73">
        <f t="shared" si="83"/>
        <v>8</v>
      </c>
      <c r="R327" s="73">
        <f t="shared" si="83"/>
        <v>8</v>
      </c>
      <c r="S327" s="72">
        <f>S326-S325</f>
        <v>8</v>
      </c>
      <c r="T327" s="73">
        <f t="shared" ref="T327:Y327" si="84">T326-T325</f>
        <v>8</v>
      </c>
      <c r="U327" s="73">
        <f t="shared" si="84"/>
        <v>8</v>
      </c>
      <c r="V327" s="73">
        <f t="shared" si="84"/>
        <v>8</v>
      </c>
      <c r="W327" s="73">
        <f t="shared" si="84"/>
        <v>8</v>
      </c>
      <c r="X327" s="73">
        <f t="shared" si="84"/>
        <v>8</v>
      </c>
      <c r="Y327" s="73">
        <f t="shared" si="84"/>
        <v>8</v>
      </c>
      <c r="Z327" s="72">
        <f>Z326-Z325</f>
        <v>8</v>
      </c>
      <c r="AA327" s="73">
        <f t="shared" ref="AA327:AF327" si="85">AA326-AA325</f>
        <v>8</v>
      </c>
      <c r="AB327" s="73">
        <f t="shared" si="85"/>
        <v>8</v>
      </c>
      <c r="AC327" s="73">
        <f t="shared" si="85"/>
        <v>8</v>
      </c>
      <c r="AD327" s="73">
        <f t="shared" si="85"/>
        <v>8</v>
      </c>
      <c r="AE327" s="73">
        <f t="shared" si="85"/>
        <v>8</v>
      </c>
      <c r="AF327" s="73">
        <f t="shared" si="85"/>
        <v>8</v>
      </c>
      <c r="AG327" s="72">
        <f>AG326-AG325</f>
        <v>8</v>
      </c>
      <c r="AH327" s="73">
        <f t="shared" ref="AH327:AM327" si="86">AH326-AH325</f>
        <v>8</v>
      </c>
      <c r="AI327" s="73">
        <f t="shared" si="86"/>
        <v>8</v>
      </c>
      <c r="AJ327" s="73">
        <f t="shared" si="86"/>
        <v>8</v>
      </c>
      <c r="AK327" s="73">
        <f t="shared" si="86"/>
        <v>8</v>
      </c>
      <c r="AL327" s="73">
        <f t="shared" si="86"/>
        <v>8</v>
      </c>
      <c r="AM327" s="73">
        <f t="shared" si="86"/>
        <v>8</v>
      </c>
      <c r="AN327" s="72">
        <f>AN326-AN325</f>
        <v>8</v>
      </c>
      <c r="AO327" s="73">
        <f t="shared" ref="AO327:AT327" si="87">AO326-AO325</f>
        <v>8</v>
      </c>
      <c r="AP327" s="73">
        <f t="shared" si="87"/>
        <v>8</v>
      </c>
      <c r="AQ327" s="73">
        <f t="shared" si="87"/>
        <v>8</v>
      </c>
      <c r="AR327" s="73">
        <f t="shared" si="87"/>
        <v>8</v>
      </c>
      <c r="AS327" s="73">
        <f t="shared" si="87"/>
        <v>8</v>
      </c>
      <c r="AT327" s="73">
        <f t="shared" si="87"/>
        <v>8</v>
      </c>
      <c r="AU327" s="20"/>
      <c r="AV327" s="20"/>
      <c r="AW327" s="20"/>
      <c r="AX327" s="20"/>
      <c r="AY327" s="20"/>
      <c r="AZ327" s="20"/>
      <c r="BA327" s="20"/>
    </row>
    <row r="328" spans="1:53" ht="14.1" hidden="1" customHeight="1" x14ac:dyDescent="0.25">
      <c r="A328" s="2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c r="AA328" s="20"/>
      <c r="AB328" s="20"/>
      <c r="AC328" s="20"/>
      <c r="AD328" s="20"/>
      <c r="AE328" s="20"/>
      <c r="AF328" s="20"/>
      <c r="AG328" s="20"/>
      <c r="AH328" s="20"/>
      <c r="AI328" s="20"/>
      <c r="AJ328" s="20"/>
      <c r="AK328" s="20"/>
      <c r="AL328" s="20"/>
      <c r="AM328" s="20"/>
      <c r="AN328" s="20"/>
      <c r="AO328" s="20"/>
      <c r="AP328" s="20"/>
      <c r="AQ328" s="20"/>
      <c r="AR328" s="20"/>
      <c r="AS328" s="20"/>
      <c r="AT328" s="20"/>
      <c r="AU328" s="20"/>
      <c r="AV328" s="20"/>
      <c r="AW328" s="20"/>
      <c r="AX328" s="20"/>
      <c r="AY328" s="20"/>
      <c r="AZ328" s="20"/>
      <c r="BA328" s="20"/>
    </row>
    <row r="329" spans="1:53" ht="14.1" hidden="1" customHeight="1" x14ac:dyDescent="0.25">
      <c r="A329" s="2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row>
    <row r="330" spans="1:53" ht="14.1" hidden="1" customHeight="1" x14ac:dyDescent="0.25"/>
    <row r="331" spans="1:53" ht="14.1" hidden="1" customHeight="1" x14ac:dyDescent="0.25"/>
    <row r="332" spans="1:53" ht="14.1" hidden="1" customHeight="1" x14ac:dyDescent="0.25"/>
    <row r="333" spans="1:53" ht="14.1" hidden="1" customHeight="1" x14ac:dyDescent="0.25"/>
    <row r="334" spans="1:53" ht="14.1" hidden="1" customHeight="1" x14ac:dyDescent="0.25"/>
    <row r="335" spans="1:53" ht="14.1" hidden="1" customHeight="1" x14ac:dyDescent="0.25"/>
    <row r="336" spans="1:53" ht="14.1" hidden="1" customHeight="1" x14ac:dyDescent="0.25"/>
    <row r="337" ht="14.1" hidden="1" customHeight="1" x14ac:dyDescent="0.25"/>
    <row r="338" ht="14.1" hidden="1" customHeight="1" x14ac:dyDescent="0.25"/>
    <row r="339" ht="14.1" hidden="1" customHeight="1" x14ac:dyDescent="0.25"/>
    <row r="340" ht="14.1" hidden="1" customHeight="1" x14ac:dyDescent="0.25"/>
    <row r="341" ht="14.1" hidden="1" customHeight="1" x14ac:dyDescent="0.25"/>
    <row r="342" ht="14.1" hidden="1" customHeight="1" x14ac:dyDescent="0.25"/>
    <row r="343" ht="14.1" hidden="1" customHeight="1" x14ac:dyDescent="0.25"/>
    <row r="344" ht="14.1" hidden="1" customHeight="1" x14ac:dyDescent="0.25"/>
    <row r="345" ht="14.1" hidden="1" customHeight="1" x14ac:dyDescent="0.25"/>
    <row r="346" ht="14.1" hidden="1" customHeight="1" x14ac:dyDescent="0.25"/>
    <row r="347" ht="14.1" hidden="1" customHeight="1" x14ac:dyDescent="0.25"/>
    <row r="348" ht="14.1" hidden="1" customHeight="1" x14ac:dyDescent="0.25"/>
    <row r="349" ht="14.1" hidden="1" customHeight="1" x14ac:dyDescent="0.25"/>
    <row r="350" ht="14.1" hidden="1" customHeight="1" x14ac:dyDescent="0.25"/>
    <row r="351" ht="14.1" hidden="1" customHeight="1" x14ac:dyDescent="0.25"/>
    <row r="352" ht="14.1" hidden="1" customHeight="1" x14ac:dyDescent="0.25"/>
    <row r="353" ht="14.1" hidden="1" customHeight="1" x14ac:dyDescent="0.25"/>
    <row r="354" ht="14.1" hidden="1" customHeight="1" x14ac:dyDescent="0.25"/>
    <row r="355" ht="14.1" hidden="1" customHeight="1" x14ac:dyDescent="0.25"/>
    <row r="356" ht="14.1" hidden="1" customHeight="1" x14ac:dyDescent="0.25"/>
    <row r="357" ht="14.1" hidden="1" customHeight="1" x14ac:dyDescent="0.25"/>
    <row r="358" ht="14.1" hidden="1" customHeight="1" x14ac:dyDescent="0.25"/>
    <row r="359" ht="14.1" hidden="1" customHeight="1" x14ac:dyDescent="0.25"/>
    <row r="360" ht="14.1" hidden="1" customHeight="1" x14ac:dyDescent="0.25"/>
    <row r="361" ht="14.1" hidden="1" customHeight="1" x14ac:dyDescent="0.25"/>
    <row r="362" ht="14.1" hidden="1" customHeight="1" x14ac:dyDescent="0.25"/>
    <row r="363" ht="14.1" hidden="1" customHeight="1" x14ac:dyDescent="0.25"/>
    <row r="364" ht="14.1" hidden="1" customHeight="1" x14ac:dyDescent="0.25"/>
    <row r="365" ht="14.1" hidden="1" customHeight="1" x14ac:dyDescent="0.25"/>
    <row r="366" ht="14.1" hidden="1" customHeight="1" x14ac:dyDescent="0.25"/>
    <row r="367" ht="14.1" hidden="1" customHeight="1" x14ac:dyDescent="0.25"/>
    <row r="368" ht="14.1" hidden="1" customHeight="1" x14ac:dyDescent="0.25"/>
    <row r="369" ht="14.1" hidden="1" customHeight="1" x14ac:dyDescent="0.25"/>
    <row r="370" ht="14.1" hidden="1" customHeight="1" x14ac:dyDescent="0.25"/>
    <row r="371" ht="14.1" hidden="1" customHeight="1" x14ac:dyDescent="0.25"/>
    <row r="372" ht="14.1" hidden="1" customHeight="1" x14ac:dyDescent="0.25"/>
    <row r="373" ht="14.1" hidden="1" customHeight="1" x14ac:dyDescent="0.25"/>
    <row r="374" ht="14.1" hidden="1" customHeight="1" x14ac:dyDescent="0.25"/>
    <row r="375" ht="14.1" hidden="1" customHeight="1" x14ac:dyDescent="0.25"/>
    <row r="376" ht="14.1" hidden="1" customHeight="1" x14ac:dyDescent="0.25"/>
    <row r="377" ht="14.1" hidden="1" customHeight="1" x14ac:dyDescent="0.25"/>
    <row r="378" ht="14.1" hidden="1" customHeight="1" x14ac:dyDescent="0.25"/>
    <row r="379" ht="14.1" hidden="1" customHeight="1" x14ac:dyDescent="0.25"/>
    <row r="380" ht="14.1" hidden="1" customHeight="1" x14ac:dyDescent="0.25"/>
    <row r="381" ht="14.1" hidden="1" customHeight="1" x14ac:dyDescent="0.25"/>
    <row r="382" ht="14.1" hidden="1" customHeight="1" x14ac:dyDescent="0.25"/>
    <row r="383" ht="14.1" hidden="1" customHeight="1" x14ac:dyDescent="0.25"/>
    <row r="384" ht="14.1" hidden="1" customHeight="1" x14ac:dyDescent="0.25"/>
    <row r="385" ht="14.1" hidden="1" customHeight="1" x14ac:dyDescent="0.25"/>
    <row r="386" ht="14.1" hidden="1" customHeight="1" x14ac:dyDescent="0.25"/>
    <row r="387" ht="14.1" hidden="1" customHeight="1" x14ac:dyDescent="0.25"/>
    <row r="388" ht="14.1" hidden="1" customHeight="1" x14ac:dyDescent="0.25"/>
    <row r="389" ht="14.1" hidden="1" customHeight="1" x14ac:dyDescent="0.25"/>
    <row r="390" ht="14.1" hidden="1" customHeight="1" x14ac:dyDescent="0.25"/>
    <row r="391" ht="14.1" hidden="1" customHeight="1" x14ac:dyDescent="0.25"/>
    <row r="392" ht="14.1" hidden="1" customHeight="1" x14ac:dyDescent="0.25"/>
    <row r="393" ht="14.1" hidden="1" customHeight="1" x14ac:dyDescent="0.25"/>
    <row r="394" ht="14.1" hidden="1" customHeight="1" x14ac:dyDescent="0.25"/>
    <row r="395" ht="14.1" hidden="1" customHeight="1" x14ac:dyDescent="0.25"/>
    <row r="396" ht="14.1" hidden="1" customHeight="1" x14ac:dyDescent="0.25"/>
    <row r="397" ht="14.1" hidden="1" customHeight="1" x14ac:dyDescent="0.25"/>
    <row r="398" ht="14.1" hidden="1" customHeight="1" x14ac:dyDescent="0.25"/>
    <row r="399" ht="14.1" hidden="1" customHeight="1" x14ac:dyDescent="0.25"/>
    <row r="400" ht="14.1" hidden="1" customHeight="1" x14ac:dyDescent="0.25"/>
    <row r="401" ht="14.1" hidden="1" customHeight="1" x14ac:dyDescent="0.25"/>
    <row r="402" ht="14.1" hidden="1" customHeight="1" x14ac:dyDescent="0.25"/>
    <row r="403" ht="14.1" hidden="1" customHeight="1" x14ac:dyDescent="0.25"/>
    <row r="404" ht="14.1" hidden="1" customHeight="1" x14ac:dyDescent="0.25"/>
    <row r="405" ht="14.1" hidden="1" customHeight="1" x14ac:dyDescent="0.25"/>
    <row r="406" ht="14.1" hidden="1" customHeight="1" x14ac:dyDescent="0.25"/>
    <row r="407" ht="14.1" hidden="1" customHeight="1" x14ac:dyDescent="0.25"/>
    <row r="408" ht="14.1" hidden="1" customHeight="1" x14ac:dyDescent="0.25"/>
    <row r="409" ht="14.1" hidden="1" customHeight="1" x14ac:dyDescent="0.25"/>
    <row r="410" ht="14.1" hidden="1" customHeight="1" x14ac:dyDescent="0.25"/>
    <row r="411" ht="14.1" hidden="1" customHeight="1" x14ac:dyDescent="0.25"/>
    <row r="412" ht="14.1" hidden="1" customHeight="1" x14ac:dyDescent="0.25"/>
    <row r="413" ht="14.1" hidden="1" customHeight="1" x14ac:dyDescent="0.25"/>
    <row r="414" ht="14.1" hidden="1" customHeight="1" x14ac:dyDescent="0.25"/>
    <row r="415" ht="14.1" hidden="1" customHeight="1" x14ac:dyDescent="0.25"/>
    <row r="416" ht="14.1" hidden="1" customHeight="1" x14ac:dyDescent="0.25"/>
    <row r="417" ht="14.1" hidden="1" customHeight="1" x14ac:dyDescent="0.25"/>
    <row r="418" ht="14.1" hidden="1" customHeight="1" x14ac:dyDescent="0.25"/>
    <row r="419" ht="14.1" hidden="1" customHeight="1" x14ac:dyDescent="0.25"/>
    <row r="420" ht="14.1" hidden="1" customHeight="1" x14ac:dyDescent="0.25"/>
    <row r="421" ht="14.1" hidden="1" customHeight="1" x14ac:dyDescent="0.25"/>
    <row r="422" ht="14.1" hidden="1" customHeight="1" x14ac:dyDescent="0.25"/>
    <row r="423" ht="14.1" hidden="1" customHeight="1" x14ac:dyDescent="0.25"/>
    <row r="424" ht="14.1" hidden="1" customHeight="1" x14ac:dyDescent="0.25"/>
    <row r="425" ht="14.1" hidden="1" customHeight="1" x14ac:dyDescent="0.25"/>
    <row r="426" ht="14.1" hidden="1" customHeight="1" x14ac:dyDescent="0.25"/>
    <row r="427" ht="14.1" hidden="1" customHeight="1" x14ac:dyDescent="0.25"/>
    <row r="428" ht="14.1" hidden="1" customHeight="1" x14ac:dyDescent="0.25"/>
    <row r="429" ht="14.1" hidden="1" customHeight="1" x14ac:dyDescent="0.25"/>
    <row r="430" ht="14.1" hidden="1" customHeight="1" x14ac:dyDescent="0.25"/>
    <row r="431" ht="14.1" hidden="1" customHeight="1" x14ac:dyDescent="0.25"/>
    <row r="432" ht="14.1" hidden="1" customHeight="1" x14ac:dyDescent="0.25"/>
    <row r="433" ht="14.1" hidden="1" customHeight="1" x14ac:dyDescent="0.25"/>
    <row r="434" ht="14.1" hidden="1" customHeight="1" x14ac:dyDescent="0.25"/>
    <row r="435" ht="14.1" hidden="1" customHeight="1" x14ac:dyDescent="0.25"/>
    <row r="436" ht="14.1" hidden="1" customHeight="1" x14ac:dyDescent="0.25"/>
    <row r="437" ht="14.1" hidden="1" customHeight="1" x14ac:dyDescent="0.25"/>
    <row r="438" ht="14.1" hidden="1" customHeight="1" x14ac:dyDescent="0.25"/>
    <row r="439" ht="14.1" hidden="1" customHeight="1" x14ac:dyDescent="0.25"/>
    <row r="440" ht="14.1" hidden="1" customHeight="1" x14ac:dyDescent="0.25"/>
    <row r="441" ht="14.1" hidden="1" customHeight="1" x14ac:dyDescent="0.25"/>
    <row r="442" ht="14.1" hidden="1" customHeight="1" x14ac:dyDescent="0.25"/>
    <row r="443" ht="14.1" hidden="1" customHeight="1" x14ac:dyDescent="0.25"/>
    <row r="444" ht="14.1" hidden="1" customHeight="1" x14ac:dyDescent="0.25"/>
    <row r="445" ht="14.1" hidden="1" customHeight="1" x14ac:dyDescent="0.25"/>
    <row r="446" ht="14.1" hidden="1" customHeight="1" x14ac:dyDescent="0.25"/>
    <row r="447" ht="14.1" hidden="1" customHeight="1" x14ac:dyDescent="0.25"/>
    <row r="448" ht="14.1" hidden="1" customHeight="1" x14ac:dyDescent="0.25"/>
    <row r="449" ht="14.1" hidden="1" customHeight="1" x14ac:dyDescent="0.25"/>
    <row r="450" ht="14.1" hidden="1" customHeight="1" x14ac:dyDescent="0.25"/>
    <row r="451" ht="14.1" hidden="1" customHeight="1" x14ac:dyDescent="0.25"/>
    <row r="452" ht="14.1" hidden="1" customHeight="1" x14ac:dyDescent="0.25"/>
    <row r="453" ht="14.1" hidden="1" customHeight="1" x14ac:dyDescent="0.25"/>
    <row r="454" ht="14.1" hidden="1" customHeight="1" x14ac:dyDescent="0.25"/>
    <row r="455" ht="14.1" hidden="1" customHeight="1" x14ac:dyDescent="0.25"/>
    <row r="456" ht="14.1" hidden="1" customHeight="1" x14ac:dyDescent="0.25"/>
    <row r="457" ht="14.1" hidden="1" customHeight="1" x14ac:dyDescent="0.25"/>
    <row r="458" ht="14.1" hidden="1" customHeight="1" x14ac:dyDescent="0.25"/>
    <row r="459" ht="14.1" hidden="1" customHeight="1" x14ac:dyDescent="0.25"/>
    <row r="460" ht="14.1" hidden="1" customHeight="1" x14ac:dyDescent="0.25"/>
    <row r="461" ht="14.1" hidden="1" customHeight="1" x14ac:dyDescent="0.25"/>
    <row r="462" ht="14.1" hidden="1" customHeight="1" x14ac:dyDescent="0.25"/>
    <row r="463" ht="14.1" hidden="1" customHeight="1" x14ac:dyDescent="0.25"/>
    <row r="464" ht="14.1" hidden="1" customHeight="1" x14ac:dyDescent="0.25"/>
    <row r="465" ht="14.1" hidden="1" customHeight="1" x14ac:dyDescent="0.25"/>
    <row r="466" ht="14.1" hidden="1" customHeight="1" x14ac:dyDescent="0.25"/>
    <row r="467" ht="14.1" hidden="1" customHeight="1" x14ac:dyDescent="0.25"/>
    <row r="468" ht="14.1" hidden="1" customHeight="1" x14ac:dyDescent="0.25"/>
    <row r="469" ht="14.1" hidden="1" customHeight="1" x14ac:dyDescent="0.25"/>
    <row r="470" ht="14.1" hidden="1" customHeight="1" x14ac:dyDescent="0.25"/>
    <row r="471" ht="14.1" hidden="1" customHeight="1" x14ac:dyDescent="0.25"/>
    <row r="472" ht="14.1" hidden="1" customHeight="1" x14ac:dyDescent="0.25"/>
    <row r="473" ht="14.1" hidden="1" customHeight="1" x14ac:dyDescent="0.25"/>
    <row r="474" ht="14.1" hidden="1" customHeight="1" x14ac:dyDescent="0.25"/>
    <row r="475" ht="14.1" hidden="1" customHeight="1" x14ac:dyDescent="0.25"/>
    <row r="476" ht="14.1" hidden="1" customHeight="1" x14ac:dyDescent="0.25"/>
    <row r="477" ht="14.1" hidden="1" customHeight="1" x14ac:dyDescent="0.25"/>
    <row r="478" ht="14.1" hidden="1" customHeight="1" x14ac:dyDescent="0.25"/>
    <row r="479" ht="14.1" hidden="1" customHeight="1" x14ac:dyDescent="0.25"/>
    <row r="480" ht="14.1" hidden="1" customHeight="1" x14ac:dyDescent="0.25"/>
    <row r="481" ht="14.1" hidden="1" customHeight="1" x14ac:dyDescent="0.25"/>
    <row r="482" ht="14.1" hidden="1" customHeight="1" x14ac:dyDescent="0.25"/>
    <row r="483" ht="14.1" hidden="1" customHeight="1" x14ac:dyDescent="0.25"/>
    <row r="484" ht="14.1" hidden="1" customHeight="1" x14ac:dyDescent="0.25"/>
    <row r="485" ht="14.1" hidden="1" customHeight="1" x14ac:dyDescent="0.25"/>
    <row r="486" ht="14.1" hidden="1" customHeight="1" x14ac:dyDescent="0.25"/>
    <row r="487" ht="14.1" hidden="1" customHeight="1" x14ac:dyDescent="0.25"/>
    <row r="488" ht="14.1" hidden="1" customHeight="1" x14ac:dyDescent="0.25"/>
    <row r="489" ht="14.1" hidden="1" customHeight="1" x14ac:dyDescent="0.25"/>
    <row r="490" ht="14.1" hidden="1" customHeight="1" x14ac:dyDescent="0.25"/>
    <row r="491" ht="14.1" hidden="1" customHeight="1" x14ac:dyDescent="0.25"/>
    <row r="492" ht="14.1" hidden="1" customHeight="1" x14ac:dyDescent="0.25"/>
    <row r="493" ht="14.1" hidden="1" customHeight="1" x14ac:dyDescent="0.25"/>
    <row r="494" ht="14.1" hidden="1" customHeight="1" x14ac:dyDescent="0.25"/>
    <row r="495" ht="14.1" hidden="1" customHeight="1" x14ac:dyDescent="0.25"/>
    <row r="496" ht="14.1" hidden="1" customHeight="1" x14ac:dyDescent="0.25"/>
    <row r="497" ht="14.1" hidden="1" customHeight="1" x14ac:dyDescent="0.25"/>
    <row r="498" ht="14.1" hidden="1" customHeight="1" x14ac:dyDescent="0.25"/>
    <row r="499" ht="14.1" hidden="1" customHeight="1" x14ac:dyDescent="0.25"/>
    <row r="500" ht="14.1" hidden="1" customHeight="1" x14ac:dyDescent="0.25"/>
    <row r="501" ht="14.1" hidden="1" customHeight="1" x14ac:dyDescent="0.25"/>
    <row r="502" ht="14.1" hidden="1" customHeight="1" x14ac:dyDescent="0.25"/>
    <row r="503" ht="14.1" hidden="1" customHeight="1" x14ac:dyDescent="0.25"/>
    <row r="504" ht="14.1" hidden="1" customHeight="1" x14ac:dyDescent="0.25"/>
    <row r="505" ht="14.1" hidden="1" customHeight="1" x14ac:dyDescent="0.25"/>
    <row r="506" ht="14.1" hidden="1" customHeight="1" x14ac:dyDescent="0.25"/>
    <row r="507" ht="14.1" hidden="1" customHeight="1" x14ac:dyDescent="0.25"/>
    <row r="508" ht="14.1" hidden="1" customHeight="1" x14ac:dyDescent="0.25"/>
    <row r="509" ht="14.1" hidden="1" customHeight="1" x14ac:dyDescent="0.25"/>
    <row r="510" ht="14.1" hidden="1" customHeight="1" x14ac:dyDescent="0.25"/>
    <row r="511" ht="14.1" hidden="1" customHeight="1" x14ac:dyDescent="0.25"/>
    <row r="512" ht="14.1" hidden="1" customHeight="1" x14ac:dyDescent="0.25"/>
    <row r="513" ht="14.1" hidden="1" customHeight="1" x14ac:dyDescent="0.25"/>
    <row r="514" ht="14.1" hidden="1" customHeight="1" x14ac:dyDescent="0.25"/>
    <row r="515" ht="14.1" hidden="1" customHeight="1" x14ac:dyDescent="0.25"/>
    <row r="516" ht="14.1" hidden="1" customHeight="1" x14ac:dyDescent="0.25"/>
    <row r="517" ht="14.1" hidden="1" customHeight="1" x14ac:dyDescent="0.25"/>
    <row r="518" ht="14.1" hidden="1" customHeight="1" x14ac:dyDescent="0.25"/>
    <row r="519" ht="14.1" hidden="1" customHeight="1" x14ac:dyDescent="0.25"/>
    <row r="520" ht="14.1" hidden="1" customHeight="1" x14ac:dyDescent="0.25"/>
    <row r="521" ht="14.1" hidden="1" customHeight="1" x14ac:dyDescent="0.25"/>
    <row r="522" ht="14.1" hidden="1" customHeight="1" x14ac:dyDescent="0.25"/>
    <row r="523" ht="14.1" hidden="1" customHeight="1" x14ac:dyDescent="0.25"/>
    <row r="524" ht="14.1" hidden="1" customHeight="1" x14ac:dyDescent="0.25"/>
    <row r="525" ht="14.1" hidden="1" customHeight="1" x14ac:dyDescent="0.25"/>
    <row r="526" ht="14.1" hidden="1" customHeight="1" x14ac:dyDescent="0.25"/>
    <row r="527" ht="14.1" hidden="1" customHeight="1" x14ac:dyDescent="0.25"/>
    <row r="528" ht="14.1" hidden="1" customHeight="1" x14ac:dyDescent="0.25"/>
    <row r="529" ht="14.1" hidden="1" customHeight="1" x14ac:dyDescent="0.25"/>
    <row r="530" ht="14.1" hidden="1" customHeight="1" x14ac:dyDescent="0.25"/>
    <row r="531" ht="14.1" hidden="1" customHeight="1" x14ac:dyDescent="0.25"/>
    <row r="532" ht="14.1" hidden="1" customHeight="1" x14ac:dyDescent="0.25"/>
    <row r="533" ht="14.1" hidden="1" customHeight="1" x14ac:dyDescent="0.25"/>
    <row r="534" ht="14.1" hidden="1" customHeight="1" x14ac:dyDescent="0.25"/>
    <row r="535" ht="14.1" hidden="1" customHeight="1" x14ac:dyDescent="0.25"/>
    <row r="536" ht="14.1" hidden="1" customHeight="1" x14ac:dyDescent="0.25"/>
    <row r="537" ht="14.1" hidden="1" customHeight="1" x14ac:dyDescent="0.25"/>
    <row r="538" ht="14.1" hidden="1" customHeight="1" x14ac:dyDescent="0.25"/>
    <row r="539" ht="14.1" hidden="1" customHeight="1" x14ac:dyDescent="0.25"/>
    <row r="540" ht="14.1" hidden="1" customHeight="1" x14ac:dyDescent="0.25"/>
    <row r="541" ht="14.1" hidden="1" customHeight="1" x14ac:dyDescent="0.25"/>
    <row r="542" ht="14.1" hidden="1" customHeight="1" x14ac:dyDescent="0.25"/>
    <row r="543" ht="14.1" hidden="1" customHeight="1" x14ac:dyDescent="0.25"/>
    <row r="544" ht="14.1" hidden="1" customHeight="1" x14ac:dyDescent="0.25"/>
    <row r="545" ht="14.1" hidden="1" customHeight="1" x14ac:dyDescent="0.25"/>
    <row r="546" ht="14.1" hidden="1" customHeight="1" x14ac:dyDescent="0.25"/>
    <row r="547" ht="14.1" hidden="1" customHeight="1" x14ac:dyDescent="0.25"/>
    <row r="548" ht="14.1" hidden="1" customHeight="1" x14ac:dyDescent="0.25"/>
    <row r="549" ht="14.1" hidden="1" customHeight="1" x14ac:dyDescent="0.25"/>
    <row r="550" ht="14.1" hidden="1" customHeight="1" x14ac:dyDescent="0.25"/>
    <row r="551" ht="14.1" hidden="1" customHeight="1" x14ac:dyDescent="0.25"/>
    <row r="552" ht="14.1" hidden="1" customHeight="1" x14ac:dyDescent="0.25"/>
    <row r="553" ht="14.1" hidden="1" customHeight="1" x14ac:dyDescent="0.25"/>
    <row r="554" ht="14.1" hidden="1" customHeight="1" x14ac:dyDescent="0.25"/>
    <row r="555" ht="14.1" hidden="1" customHeight="1" x14ac:dyDescent="0.25"/>
    <row r="556" ht="14.1" hidden="1" customHeight="1" x14ac:dyDescent="0.25"/>
    <row r="557" ht="14.1" hidden="1" customHeight="1" x14ac:dyDescent="0.25"/>
    <row r="558" ht="14.1" hidden="1" customHeight="1" x14ac:dyDescent="0.25"/>
    <row r="559" ht="14.1" hidden="1" customHeight="1" x14ac:dyDescent="0.25"/>
    <row r="560" ht="14.1" hidden="1" customHeight="1" x14ac:dyDescent="0.25"/>
    <row r="561" ht="14.1" hidden="1" customHeight="1" x14ac:dyDescent="0.25"/>
    <row r="562" ht="14.1" hidden="1" customHeight="1" x14ac:dyDescent="0.25"/>
    <row r="563" ht="14.1" hidden="1" customHeight="1" x14ac:dyDescent="0.25"/>
    <row r="564" ht="14.1" hidden="1" customHeight="1" x14ac:dyDescent="0.25"/>
    <row r="565" ht="14.1" hidden="1" customHeight="1" x14ac:dyDescent="0.25"/>
    <row r="566" ht="14.1" hidden="1" customHeight="1" x14ac:dyDescent="0.25"/>
    <row r="567" ht="14.1" hidden="1" customHeight="1" x14ac:dyDescent="0.25"/>
    <row r="568" ht="14.1" hidden="1" customHeight="1" x14ac:dyDescent="0.25"/>
    <row r="569" ht="14.1" hidden="1" customHeight="1" x14ac:dyDescent="0.25"/>
    <row r="570" ht="14.1" hidden="1" customHeight="1" x14ac:dyDescent="0.25"/>
    <row r="571" ht="14.1" hidden="1" customHeight="1" x14ac:dyDescent="0.25"/>
    <row r="572" ht="14.1" hidden="1" customHeight="1" x14ac:dyDescent="0.25"/>
    <row r="573" ht="14.1" hidden="1" customHeight="1" x14ac:dyDescent="0.25"/>
    <row r="574" ht="14.1" hidden="1" customHeight="1" x14ac:dyDescent="0.25"/>
    <row r="575" ht="14.1" hidden="1" customHeight="1" x14ac:dyDescent="0.25"/>
    <row r="576" ht="14.1" hidden="1" customHeight="1" x14ac:dyDescent="0.25"/>
    <row r="577" ht="14.1" hidden="1" customHeight="1" x14ac:dyDescent="0.25"/>
    <row r="578" ht="14.1" hidden="1" customHeight="1" x14ac:dyDescent="0.25"/>
    <row r="579" ht="14.1" hidden="1" customHeight="1" x14ac:dyDescent="0.25"/>
    <row r="580" ht="14.1" hidden="1" customHeight="1" x14ac:dyDescent="0.25"/>
    <row r="581" ht="14.1" hidden="1" customHeight="1" x14ac:dyDescent="0.25"/>
    <row r="582" ht="14.1" hidden="1" customHeight="1" x14ac:dyDescent="0.25"/>
    <row r="583" ht="14.1" hidden="1" customHeight="1" x14ac:dyDescent="0.25"/>
    <row r="584" ht="14.1" hidden="1" customHeight="1" x14ac:dyDescent="0.25"/>
    <row r="585" ht="14.1" hidden="1" customHeight="1" x14ac:dyDescent="0.25"/>
    <row r="586" ht="14.1" hidden="1" customHeight="1" x14ac:dyDescent="0.25"/>
    <row r="587" ht="14.1" hidden="1" customHeight="1" x14ac:dyDescent="0.25"/>
    <row r="588" ht="14.1" hidden="1" customHeight="1" x14ac:dyDescent="0.25"/>
    <row r="589" ht="14.1" hidden="1" customHeight="1" x14ac:dyDescent="0.25"/>
    <row r="590" ht="14.1" hidden="1" customHeight="1" x14ac:dyDescent="0.25"/>
    <row r="591" ht="14.1" hidden="1" customHeight="1" x14ac:dyDescent="0.25"/>
    <row r="592" ht="14.1" hidden="1" customHeight="1" x14ac:dyDescent="0.25"/>
    <row r="593" ht="14.1" hidden="1" customHeight="1" x14ac:dyDescent="0.25"/>
    <row r="594" ht="14.1" hidden="1" customHeight="1" x14ac:dyDescent="0.25"/>
    <row r="595" ht="14.1" hidden="1" customHeight="1" x14ac:dyDescent="0.25"/>
    <row r="596" ht="14.1" hidden="1" customHeight="1" x14ac:dyDescent="0.25"/>
    <row r="597" ht="14.1" hidden="1" customHeight="1" x14ac:dyDescent="0.25"/>
    <row r="598" ht="14.1" hidden="1" customHeight="1" x14ac:dyDescent="0.25"/>
    <row r="599" ht="14.1" hidden="1" customHeight="1" x14ac:dyDescent="0.25"/>
    <row r="600" ht="14.1" hidden="1" customHeight="1" x14ac:dyDescent="0.25"/>
    <row r="601" ht="14.1" hidden="1" customHeight="1" x14ac:dyDescent="0.25"/>
    <row r="602" ht="14.1" hidden="1" customHeight="1" x14ac:dyDescent="0.25"/>
    <row r="603" ht="14.1" hidden="1" customHeight="1" x14ac:dyDescent="0.25"/>
    <row r="604" ht="14.1" hidden="1" customHeight="1" x14ac:dyDescent="0.25"/>
    <row r="605" ht="14.1" hidden="1" customHeight="1" x14ac:dyDescent="0.25"/>
    <row r="606" ht="14.1" hidden="1" customHeight="1" x14ac:dyDescent="0.25"/>
    <row r="607" ht="14.1" hidden="1" customHeight="1" x14ac:dyDescent="0.25"/>
    <row r="608" ht="14.1" hidden="1" customHeight="1" x14ac:dyDescent="0.25"/>
    <row r="609" ht="14.1" hidden="1" customHeight="1" x14ac:dyDescent="0.25"/>
    <row r="610" ht="14.1" hidden="1" customHeight="1" x14ac:dyDescent="0.25"/>
    <row r="611" ht="14.1" hidden="1" customHeight="1" x14ac:dyDescent="0.25"/>
    <row r="612" ht="14.1" hidden="1" customHeight="1" x14ac:dyDescent="0.25"/>
    <row r="613" ht="14.1" hidden="1" customHeight="1" x14ac:dyDescent="0.25"/>
    <row r="614" ht="14.1" hidden="1" customHeight="1" x14ac:dyDescent="0.25"/>
    <row r="615" ht="14.1" hidden="1" customHeight="1" x14ac:dyDescent="0.25"/>
    <row r="616" ht="14.1" hidden="1" customHeight="1" x14ac:dyDescent="0.25"/>
    <row r="617" ht="14.1" hidden="1" customHeight="1" x14ac:dyDescent="0.25"/>
    <row r="618" ht="14.1" hidden="1" customHeight="1" x14ac:dyDescent="0.25"/>
    <row r="619" ht="14.1" hidden="1" customHeight="1" x14ac:dyDescent="0.25"/>
    <row r="620" ht="14.1" hidden="1" customHeight="1" x14ac:dyDescent="0.25"/>
    <row r="621" ht="14.1" hidden="1" customHeight="1" x14ac:dyDescent="0.25"/>
    <row r="622" ht="14.1" hidden="1" customHeight="1" x14ac:dyDescent="0.25"/>
    <row r="623" ht="14.1" hidden="1" customHeight="1" x14ac:dyDescent="0.25"/>
    <row r="624" ht="14.1" hidden="1" customHeight="1" x14ac:dyDescent="0.25"/>
    <row r="625" ht="14.1" hidden="1" customHeight="1" x14ac:dyDescent="0.25"/>
    <row r="626" ht="14.1" hidden="1" customHeight="1" x14ac:dyDescent="0.25"/>
    <row r="627" ht="14.1" hidden="1" customHeight="1" x14ac:dyDescent="0.25"/>
    <row r="628" ht="14.1" hidden="1" customHeight="1" x14ac:dyDescent="0.25"/>
    <row r="629" ht="14.1" hidden="1" customHeight="1" x14ac:dyDescent="0.25"/>
    <row r="630" ht="14.1" hidden="1" customHeight="1" x14ac:dyDescent="0.25"/>
    <row r="631" ht="14.1" hidden="1" customHeight="1" x14ac:dyDescent="0.25"/>
    <row r="632" ht="14.1" hidden="1" customHeight="1" x14ac:dyDescent="0.25"/>
    <row r="633" ht="14.1" hidden="1" customHeight="1" x14ac:dyDescent="0.25"/>
    <row r="634" ht="14.1" hidden="1" customHeight="1" x14ac:dyDescent="0.25"/>
    <row r="635" ht="14.1" hidden="1" customHeight="1" x14ac:dyDescent="0.25"/>
    <row r="636" ht="14.1" hidden="1" customHeight="1" x14ac:dyDescent="0.25"/>
    <row r="637" ht="14.1" hidden="1" customHeight="1" x14ac:dyDescent="0.25"/>
    <row r="638" ht="14.1" hidden="1" customHeight="1" x14ac:dyDescent="0.25"/>
    <row r="639" ht="14.1" hidden="1" customHeight="1" x14ac:dyDescent="0.25"/>
    <row r="640" ht="14.1" hidden="1" customHeight="1" x14ac:dyDescent="0.25"/>
    <row r="641" ht="14.1" hidden="1" customHeight="1" x14ac:dyDescent="0.25"/>
    <row r="642" ht="14.1" hidden="1" customHeight="1" x14ac:dyDescent="0.25"/>
    <row r="643" ht="14.1" hidden="1" customHeight="1" x14ac:dyDescent="0.25"/>
    <row r="644" ht="14.1" hidden="1" customHeight="1" x14ac:dyDescent="0.25"/>
    <row r="645" ht="14.1" hidden="1" customHeight="1" x14ac:dyDescent="0.25"/>
    <row r="646" ht="14.1" hidden="1" customHeight="1" x14ac:dyDescent="0.25"/>
    <row r="647" ht="14.1" hidden="1" customHeight="1" x14ac:dyDescent="0.25"/>
    <row r="648" ht="14.1" hidden="1" customHeight="1" x14ac:dyDescent="0.25"/>
    <row r="649" ht="14.1" hidden="1" customHeight="1" x14ac:dyDescent="0.25"/>
    <row r="650" ht="14.1" hidden="1" customHeight="1" x14ac:dyDescent="0.25"/>
    <row r="651" ht="14.1" hidden="1" customHeight="1" x14ac:dyDescent="0.25"/>
    <row r="652" ht="14.1" hidden="1" customHeight="1" x14ac:dyDescent="0.25"/>
    <row r="653" ht="14.1" hidden="1" customHeight="1" x14ac:dyDescent="0.25"/>
    <row r="654" ht="14.1" hidden="1" customHeight="1" x14ac:dyDescent="0.25"/>
    <row r="655" ht="14.1" hidden="1" customHeight="1" x14ac:dyDescent="0.25"/>
    <row r="656" ht="14.1" hidden="1" customHeight="1" x14ac:dyDescent="0.25"/>
    <row r="657" ht="14.1" hidden="1" customHeight="1" x14ac:dyDescent="0.25"/>
    <row r="658" ht="14.1" hidden="1" customHeight="1" x14ac:dyDescent="0.25"/>
    <row r="659" ht="14.1" hidden="1" customHeight="1" x14ac:dyDescent="0.25"/>
    <row r="660" ht="14.1" hidden="1" customHeight="1" x14ac:dyDescent="0.25"/>
    <row r="661" ht="14.1" hidden="1" customHeight="1" x14ac:dyDescent="0.25"/>
    <row r="662" ht="14.1" hidden="1" customHeight="1" x14ac:dyDescent="0.25"/>
    <row r="663" ht="14.1" hidden="1" customHeight="1" x14ac:dyDescent="0.25"/>
    <row r="664" ht="14.1" hidden="1" customHeight="1" x14ac:dyDescent="0.25"/>
    <row r="665" ht="14.1" hidden="1" customHeight="1" x14ac:dyDescent="0.25"/>
    <row r="666" ht="14.1" hidden="1" customHeight="1" x14ac:dyDescent="0.25"/>
    <row r="667" ht="14.1" hidden="1" customHeight="1" x14ac:dyDescent="0.25"/>
    <row r="668" ht="14.1" hidden="1" customHeight="1" x14ac:dyDescent="0.25"/>
    <row r="669" ht="14.1" hidden="1" customHeight="1" x14ac:dyDescent="0.25"/>
    <row r="670" ht="14.1" hidden="1" customHeight="1" x14ac:dyDescent="0.25"/>
    <row r="671" ht="14.1" hidden="1" customHeight="1" x14ac:dyDescent="0.25"/>
    <row r="672" ht="14.1" hidden="1" customHeight="1" x14ac:dyDescent="0.25"/>
    <row r="673" ht="14.1" hidden="1" customHeight="1" x14ac:dyDescent="0.25"/>
    <row r="674" ht="14.1" hidden="1" customHeight="1" x14ac:dyDescent="0.25"/>
    <row r="675" ht="14.1" hidden="1" customHeight="1" x14ac:dyDescent="0.25"/>
    <row r="676" ht="14.1" hidden="1" customHeight="1" x14ac:dyDescent="0.25"/>
    <row r="677" ht="14.1" hidden="1" customHeight="1" x14ac:dyDescent="0.25"/>
    <row r="678" ht="14.1" hidden="1" customHeight="1" x14ac:dyDescent="0.25"/>
    <row r="679" ht="14.1" hidden="1" customHeight="1" x14ac:dyDescent="0.25"/>
    <row r="680" ht="14.1" hidden="1" customHeight="1" x14ac:dyDescent="0.25"/>
    <row r="681" ht="14.1" hidden="1" customHeight="1" x14ac:dyDescent="0.25"/>
    <row r="682" ht="14.1" hidden="1" customHeight="1" x14ac:dyDescent="0.25"/>
    <row r="683" ht="14.1" hidden="1" customHeight="1" x14ac:dyDescent="0.25"/>
    <row r="684" ht="14.1" hidden="1" customHeight="1" x14ac:dyDescent="0.25"/>
    <row r="685" ht="14.1" hidden="1" customHeight="1" x14ac:dyDescent="0.25"/>
    <row r="686" ht="14.1" hidden="1" customHeight="1" x14ac:dyDescent="0.25"/>
    <row r="687" ht="14.1" hidden="1" customHeight="1" x14ac:dyDescent="0.25"/>
    <row r="688" ht="14.1" hidden="1" customHeight="1" x14ac:dyDescent="0.25"/>
    <row r="689" ht="14.1" hidden="1" customHeight="1" x14ac:dyDescent="0.25"/>
    <row r="690" ht="14.1" hidden="1" customHeight="1" x14ac:dyDescent="0.25"/>
    <row r="691" ht="14.1" hidden="1" customHeight="1" x14ac:dyDescent="0.25"/>
    <row r="692" ht="14.1" hidden="1" customHeight="1" x14ac:dyDescent="0.25"/>
    <row r="693" ht="14.1" hidden="1" customHeight="1" x14ac:dyDescent="0.25"/>
    <row r="694" ht="14.1" hidden="1" customHeight="1" x14ac:dyDescent="0.25"/>
    <row r="695" ht="14.1" hidden="1" customHeight="1" x14ac:dyDescent="0.25"/>
    <row r="696" ht="14.1" hidden="1" customHeight="1" x14ac:dyDescent="0.25"/>
    <row r="697" ht="14.1" hidden="1" customHeight="1" x14ac:dyDescent="0.25"/>
    <row r="698" ht="14.1" hidden="1" customHeight="1" x14ac:dyDescent="0.25"/>
    <row r="699" ht="14.1" hidden="1" customHeight="1" x14ac:dyDescent="0.25"/>
    <row r="700" ht="14.1" hidden="1" customHeight="1" x14ac:dyDescent="0.25"/>
    <row r="701" ht="14.1" hidden="1" customHeight="1" x14ac:dyDescent="0.25"/>
    <row r="702" ht="14.1" hidden="1" customHeight="1" x14ac:dyDescent="0.25"/>
    <row r="703" ht="14.1" hidden="1" customHeight="1" x14ac:dyDescent="0.25"/>
    <row r="704" ht="14.1" hidden="1" customHeight="1" x14ac:dyDescent="0.25"/>
    <row r="705" ht="14.1" hidden="1" customHeight="1" x14ac:dyDescent="0.25"/>
    <row r="706" ht="14.1" hidden="1" customHeight="1" x14ac:dyDescent="0.25"/>
    <row r="707" ht="14.1" hidden="1" customHeight="1" x14ac:dyDescent="0.25"/>
    <row r="708" ht="14.1" hidden="1" customHeight="1" x14ac:dyDescent="0.25"/>
    <row r="709" ht="14.1" hidden="1" customHeight="1" x14ac:dyDescent="0.25"/>
    <row r="710" ht="14.1" hidden="1" customHeight="1" x14ac:dyDescent="0.25"/>
    <row r="711" ht="14.1" hidden="1" customHeight="1" x14ac:dyDescent="0.25"/>
    <row r="712" ht="14.1" hidden="1" customHeight="1" x14ac:dyDescent="0.25"/>
    <row r="713" ht="14.1" hidden="1" customHeight="1" x14ac:dyDescent="0.25"/>
    <row r="714" ht="14.1" hidden="1" customHeight="1" x14ac:dyDescent="0.25"/>
    <row r="715" ht="14.1" hidden="1" customHeight="1" x14ac:dyDescent="0.25"/>
    <row r="716" ht="14.1" hidden="1" customHeight="1" x14ac:dyDescent="0.25"/>
    <row r="717" ht="14.1" hidden="1" customHeight="1" x14ac:dyDescent="0.25"/>
    <row r="718" ht="14.1" hidden="1" customHeight="1" x14ac:dyDescent="0.25"/>
    <row r="719" ht="14.1" hidden="1" customHeight="1" x14ac:dyDescent="0.25"/>
    <row r="720" ht="14.1" hidden="1" customHeight="1" x14ac:dyDescent="0.25"/>
    <row r="721" ht="14.1" hidden="1" customHeight="1" x14ac:dyDescent="0.25"/>
    <row r="722" ht="14.1" hidden="1" customHeight="1" x14ac:dyDescent="0.25"/>
    <row r="723" ht="14.1" hidden="1" customHeight="1" x14ac:dyDescent="0.25"/>
    <row r="724" ht="14.1" hidden="1" customHeight="1" x14ac:dyDescent="0.25"/>
    <row r="725" ht="14.1" hidden="1" customHeight="1" x14ac:dyDescent="0.25"/>
    <row r="726" ht="14.1" hidden="1" customHeight="1" x14ac:dyDescent="0.25"/>
    <row r="727" ht="14.1" hidden="1" customHeight="1" x14ac:dyDescent="0.25"/>
    <row r="728" ht="14.1" hidden="1" customHeight="1" x14ac:dyDescent="0.25"/>
    <row r="729" ht="14.1" hidden="1" customHeight="1" x14ac:dyDescent="0.25"/>
    <row r="730" ht="14.1" hidden="1" customHeight="1" x14ac:dyDescent="0.25"/>
    <row r="731" ht="14.1" hidden="1" customHeight="1" x14ac:dyDescent="0.25"/>
    <row r="732" ht="14.1" hidden="1" customHeight="1" x14ac:dyDescent="0.25"/>
    <row r="733" ht="14.1" hidden="1" customHeight="1" x14ac:dyDescent="0.25"/>
    <row r="734" ht="14.1" hidden="1" customHeight="1" x14ac:dyDescent="0.25"/>
    <row r="735" ht="14.1" hidden="1" customHeight="1" x14ac:dyDescent="0.25"/>
    <row r="736" ht="14.1" hidden="1" customHeight="1" x14ac:dyDescent="0.25"/>
    <row r="737" ht="14.1" hidden="1" customHeight="1" x14ac:dyDescent="0.25"/>
    <row r="738" ht="14.1" hidden="1" customHeight="1" x14ac:dyDescent="0.25"/>
    <row r="739" ht="14.1" hidden="1" customHeight="1" x14ac:dyDescent="0.25"/>
    <row r="740" ht="14.1" hidden="1" customHeight="1" x14ac:dyDescent="0.25"/>
    <row r="741" ht="14.1" hidden="1" customHeight="1" x14ac:dyDescent="0.25"/>
    <row r="742" ht="14.1" hidden="1" customHeight="1" x14ac:dyDescent="0.25"/>
    <row r="743" ht="14.1" hidden="1" customHeight="1" x14ac:dyDescent="0.25"/>
    <row r="744" ht="14.1" hidden="1" customHeight="1" x14ac:dyDescent="0.25"/>
    <row r="745" ht="14.1" hidden="1" customHeight="1" x14ac:dyDescent="0.25"/>
    <row r="746" ht="14.1" hidden="1" customHeight="1" x14ac:dyDescent="0.25"/>
    <row r="747" ht="14.1" hidden="1" customHeight="1" x14ac:dyDescent="0.25"/>
    <row r="748" ht="14.1" hidden="1" customHeight="1" x14ac:dyDescent="0.25"/>
    <row r="749" ht="14.1" hidden="1" customHeight="1" x14ac:dyDescent="0.25"/>
    <row r="750" ht="14.1" hidden="1" customHeight="1" x14ac:dyDescent="0.25"/>
    <row r="751" ht="14.1" hidden="1" customHeight="1" x14ac:dyDescent="0.25"/>
    <row r="752" ht="14.1" hidden="1" customHeight="1" x14ac:dyDescent="0.25"/>
    <row r="753" ht="14.1" hidden="1" customHeight="1" x14ac:dyDescent="0.25"/>
    <row r="754" ht="14.1" hidden="1" customHeight="1" x14ac:dyDescent="0.25"/>
    <row r="755" ht="14.1" hidden="1" customHeight="1" x14ac:dyDescent="0.25"/>
    <row r="756" ht="14.1" hidden="1" customHeight="1" x14ac:dyDescent="0.25"/>
    <row r="757" ht="14.1" hidden="1" customHeight="1" x14ac:dyDescent="0.25"/>
    <row r="758" ht="14.1" hidden="1" customHeight="1" x14ac:dyDescent="0.25"/>
    <row r="759" ht="14.1" hidden="1" customHeight="1" x14ac:dyDescent="0.25"/>
    <row r="760" ht="14.1" hidden="1" customHeight="1" x14ac:dyDescent="0.25"/>
    <row r="761" ht="14.1" hidden="1" customHeight="1" x14ac:dyDescent="0.25"/>
    <row r="762" ht="14.1" hidden="1" customHeight="1" x14ac:dyDescent="0.25"/>
    <row r="763" ht="14.1" hidden="1" customHeight="1" x14ac:dyDescent="0.25"/>
    <row r="764" ht="14.1" hidden="1" customHeight="1" x14ac:dyDescent="0.25"/>
  </sheetData>
  <mergeCells count="39">
    <mergeCell ref="AU4:AZ4"/>
    <mergeCell ref="A1:D1"/>
    <mergeCell ref="M1:Q1"/>
    <mergeCell ref="R1:V1"/>
    <mergeCell ref="W1:AB1"/>
    <mergeCell ref="AC1:AJ1"/>
    <mergeCell ref="AN221:AT221"/>
    <mergeCell ref="E221:K221"/>
    <mergeCell ref="L221:R221"/>
    <mergeCell ref="S221:Y221"/>
    <mergeCell ref="Z221:AF221"/>
    <mergeCell ref="AG221:AM221"/>
    <mergeCell ref="AN5:AT5"/>
    <mergeCell ref="A2:D2"/>
    <mergeCell ref="A3:D3"/>
    <mergeCell ref="AG113:AM113"/>
    <mergeCell ref="AN113:AT113"/>
    <mergeCell ref="C113:D113"/>
    <mergeCell ref="E113:K113"/>
    <mergeCell ref="L113:R113"/>
    <mergeCell ref="S113:Y113"/>
    <mergeCell ref="Z113:AF113"/>
    <mergeCell ref="C5:D5"/>
    <mergeCell ref="E5:K5"/>
    <mergeCell ref="L5:R5"/>
    <mergeCell ref="S5:Y5"/>
    <mergeCell ref="Z5:AF5"/>
    <mergeCell ref="AG5:AM5"/>
    <mergeCell ref="A325:D325"/>
    <mergeCell ref="E1:L1"/>
    <mergeCell ref="A326:D326"/>
    <mergeCell ref="A327:D327"/>
    <mergeCell ref="A109:D109"/>
    <mergeCell ref="A110:D110"/>
    <mergeCell ref="A111:D111"/>
    <mergeCell ref="C221:D221"/>
    <mergeCell ref="A217:D217"/>
    <mergeCell ref="A218:D218"/>
    <mergeCell ref="A219:D219"/>
  </mergeCells>
  <dataValidations count="1">
    <dataValidation type="list" allowBlank="1" showInputMessage="1" showErrorMessage="1" sqref="A8:A108 A116:A216 A224:A324" xr:uid="{91EA7BA1-704D-4383-8F02-3D2B155BFF84}">
      <formula1>rngEmployees</formula1>
    </dataValidation>
  </dataValidations>
  <hyperlinks>
    <hyperlink ref="R1:V1" location="Lists!A1" display="Lists" xr:uid="{CFFD2FA7-D0B1-4FBE-8B0E-1E4D1778EEEC}"/>
    <hyperlink ref="A1:D1" location="Introduction!A1" display="Go to introduction" xr:uid="{983FBDB7-CFC9-45F9-A400-6D737ED48250}"/>
    <hyperlink ref="M1:Q1" location="Lists!A1" display="Lists" xr:uid="{AAB40A27-0BEA-4D45-BFB2-C789D529259B}"/>
    <hyperlink ref="E1:L1" location="Dashboard!A1" display="Dashboard" xr:uid="{CCDFAB58-6946-4699-A5D0-AF2DDB68704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Schedule">
                <anchor moveWithCells="1" sizeWithCells="1">
                  <from>
                    <xdr:col>0</xdr:col>
                    <xdr:colOff>114300</xdr:colOff>
                    <xdr:row>3</xdr:row>
                    <xdr:rowOff>0</xdr:rowOff>
                  </from>
                  <to>
                    <xdr:col>1</xdr:col>
                    <xdr:colOff>209550</xdr:colOff>
                    <xdr:row>4</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638AB-BFCD-4EDE-890D-48BE178FDF31}">
  <sheetPr codeName="DashSht">
    <tabColor rgb="FF50B47F"/>
  </sheetPr>
  <dimension ref="A1:BB509"/>
  <sheetViews>
    <sheetView showGridLines="0" showRowColHeaders="0" zoomScaleNormal="100" workbookViewId="0">
      <pane ySplit="1" topLeftCell="A2" activePane="bottomLeft" state="frozen"/>
      <selection pane="bottomLeft" activeCell="AA37" sqref="AA37"/>
    </sheetView>
  </sheetViews>
  <sheetFormatPr defaultColWidth="0" defaultRowHeight="14.25" zeroHeight="1" x14ac:dyDescent="0.2"/>
  <cols>
    <col min="1" max="1" width="9" style="20" customWidth="1"/>
    <col min="2" max="2" width="17.42578125" style="20" bestFit="1" customWidth="1"/>
    <col min="3" max="3" width="12.28515625" style="20" customWidth="1"/>
    <col min="4" max="8" width="11.7109375" style="20" customWidth="1"/>
    <col min="9" max="10" width="9" style="20" customWidth="1"/>
    <col min="11" max="11" width="16.140625" style="20" bestFit="1" customWidth="1"/>
    <col min="12" max="19" width="4.42578125" style="20" bestFit="1" customWidth="1"/>
    <col min="20" max="20" width="3.42578125" style="20" bestFit="1" customWidth="1"/>
    <col min="21" max="21" width="4" style="20" bestFit="1" customWidth="1"/>
    <col min="22" max="22" width="3.5703125" style="20" bestFit="1" customWidth="1"/>
    <col min="23" max="25" width="3.42578125" style="20" bestFit="1" customWidth="1"/>
    <col min="26" max="26" width="3.5703125" style="20" bestFit="1" customWidth="1"/>
    <col min="27" max="27" width="3.42578125" style="20" bestFit="1" customWidth="1"/>
    <col min="28" max="28" width="3.85546875" style="20" bestFit="1" customWidth="1"/>
    <col min="29" max="29" width="5" style="20" bestFit="1" customWidth="1"/>
    <col min="30" max="34" width="4.42578125" style="20" bestFit="1" customWidth="1"/>
    <col min="35" max="35" width="5" style="20" bestFit="1" customWidth="1"/>
    <col min="36" max="36" width="4.42578125" style="20" bestFit="1" customWidth="1"/>
    <col min="37" max="37" width="5" style="20" bestFit="1" customWidth="1"/>
    <col min="38" max="39" width="4.42578125" style="20" bestFit="1" customWidth="1"/>
    <col min="40" max="53" width="4.5703125" style="20" customWidth="1"/>
    <col min="54" max="54" width="9" style="20" customWidth="1"/>
    <col min="55" max="16384" width="9" style="20" hidden="1"/>
  </cols>
  <sheetData>
    <row r="1" spans="1:53" s="25" customFormat="1" ht="15" x14ac:dyDescent="0.25">
      <c r="A1" s="118" t="s">
        <v>73</v>
      </c>
      <c r="B1" s="118"/>
      <c r="C1" s="118"/>
      <c r="D1" s="118"/>
      <c r="E1" s="118" t="s">
        <v>88</v>
      </c>
      <c r="F1" s="118"/>
      <c r="G1" s="118"/>
      <c r="H1" s="118" t="s">
        <v>72</v>
      </c>
      <c r="I1" s="118"/>
      <c r="J1" s="118"/>
      <c r="K1" s="118"/>
      <c r="L1" s="118" t="s">
        <v>89</v>
      </c>
      <c r="M1" s="118"/>
      <c r="N1" s="118"/>
      <c r="O1" s="118"/>
      <c r="P1" s="118"/>
      <c r="Q1" s="118"/>
    </row>
    <row r="2" spans="1:53" x14ac:dyDescent="0.2">
      <c r="A2" s="28"/>
      <c r="B2" s="28"/>
      <c r="C2" s="28"/>
      <c r="D2" s="28"/>
      <c r="E2" s="28"/>
      <c r="F2" s="28"/>
      <c r="G2" s="28"/>
      <c r="H2" s="28"/>
      <c r="I2" s="28"/>
      <c r="J2" s="28"/>
      <c r="K2" s="28"/>
      <c r="L2" s="28"/>
    </row>
    <row r="3" spans="1:53" ht="15" x14ac:dyDescent="0.2">
      <c r="A3" s="35" t="s">
        <v>56</v>
      </c>
      <c r="B3" s="7"/>
      <c r="C3" s="7"/>
      <c r="D3" s="7"/>
      <c r="E3" s="7"/>
      <c r="F3" s="7"/>
      <c r="G3" s="7"/>
      <c r="H3" s="7"/>
      <c r="I3" s="7"/>
      <c r="J3" s="28"/>
      <c r="K3" s="22"/>
      <c r="L3" s="83" t="str">
        <f>Schedule!E$6</f>
        <v>24th</v>
      </c>
      <c r="M3" s="84" t="str">
        <f>Schedule!F$6</f>
        <v>25th</v>
      </c>
      <c r="N3" s="84" t="str">
        <f>Schedule!G$6</f>
        <v>26th</v>
      </c>
      <c r="O3" s="84" t="str">
        <f>Schedule!H$6</f>
        <v>27th</v>
      </c>
      <c r="P3" s="84" t="str">
        <f>Schedule!I$6</f>
        <v>28th</v>
      </c>
      <c r="Q3" s="84" t="str">
        <f>Schedule!J$6</f>
        <v>29th</v>
      </c>
      <c r="R3" s="84" t="str">
        <f>Schedule!K$6</f>
        <v>30th</v>
      </c>
      <c r="S3" s="84" t="str">
        <f>Schedule!L$6</f>
        <v>31st</v>
      </c>
      <c r="T3" s="84" t="str">
        <f>Schedule!M$6</f>
        <v>1st</v>
      </c>
      <c r="U3" s="84" t="str">
        <f>Schedule!N$6</f>
        <v>2nd</v>
      </c>
      <c r="V3" s="84" t="str">
        <f>Schedule!O$6</f>
        <v>3rd</v>
      </c>
      <c r="W3" s="84" t="str">
        <f>Schedule!P$6</f>
        <v>4th</v>
      </c>
      <c r="X3" s="84" t="str">
        <f>Schedule!Q$6</f>
        <v>5th</v>
      </c>
      <c r="Y3" s="84" t="str">
        <f>Schedule!R$6</f>
        <v>6th</v>
      </c>
      <c r="Z3" s="84" t="str">
        <f>Schedule!S$6</f>
        <v>7th</v>
      </c>
      <c r="AA3" s="84" t="str">
        <f>Schedule!T$6</f>
        <v>8th</v>
      </c>
      <c r="AB3" s="84" t="str">
        <f>Schedule!U$6</f>
        <v>9th</v>
      </c>
      <c r="AC3" s="84" t="str">
        <f>Schedule!V$6</f>
        <v>10th</v>
      </c>
      <c r="AD3" s="84" t="str">
        <f>Schedule!W$6</f>
        <v>11th</v>
      </c>
      <c r="AE3" s="84" t="str">
        <f>Schedule!X$6</f>
        <v>12th</v>
      </c>
      <c r="AF3" s="84" t="str">
        <f>Schedule!Y$6</f>
        <v>13th</v>
      </c>
      <c r="AG3" s="84" t="str">
        <f>Schedule!Z$6</f>
        <v>14th</v>
      </c>
      <c r="AH3" s="84" t="str">
        <f>Schedule!AA$6</f>
        <v>15th</v>
      </c>
      <c r="AI3" s="84" t="str">
        <f>Schedule!AB$6</f>
        <v>16th</v>
      </c>
      <c r="AJ3" s="84" t="str">
        <f>Schedule!AC$6</f>
        <v>17th</v>
      </c>
      <c r="AK3" s="84" t="str">
        <f>Schedule!AD$6</f>
        <v>18th</v>
      </c>
      <c r="AL3" s="84" t="str">
        <f>Schedule!AE$6</f>
        <v>19th</v>
      </c>
      <c r="AM3" s="84" t="str">
        <f>Schedule!AF$6</f>
        <v>20th</v>
      </c>
      <c r="AN3" s="84" t="str">
        <f>Schedule!AG$6</f>
        <v>21st</v>
      </c>
      <c r="AO3" s="84" t="str">
        <f>Schedule!AH$6</f>
        <v>22nd</v>
      </c>
      <c r="AP3" s="84" t="str">
        <f>Schedule!AI$6</f>
        <v>23rd</v>
      </c>
      <c r="AQ3" s="84" t="str">
        <f>Schedule!AJ$6</f>
        <v>24th</v>
      </c>
      <c r="AR3" s="84" t="str">
        <f>Schedule!AK$6</f>
        <v>25th</v>
      </c>
      <c r="AS3" s="84" t="str">
        <f>Schedule!AL$6</f>
        <v>26th</v>
      </c>
      <c r="AT3" s="84" t="str">
        <f>Schedule!AM$6</f>
        <v>27th</v>
      </c>
      <c r="AU3" s="84" t="str">
        <f>Schedule!AN$6</f>
        <v>28th</v>
      </c>
      <c r="AV3" s="84" t="str">
        <f>Schedule!AO$6</f>
        <v>29th</v>
      </c>
      <c r="AW3" s="84" t="str">
        <f>Schedule!AP$6</f>
        <v>30th</v>
      </c>
      <c r="AX3" s="84" t="str">
        <f>Schedule!AQ$6</f>
        <v>1st</v>
      </c>
      <c r="AY3" s="84" t="str">
        <f>Schedule!AR$6</f>
        <v>2nd</v>
      </c>
      <c r="AZ3" s="84" t="str">
        <f>Schedule!AS$6</f>
        <v>3rd</v>
      </c>
      <c r="BA3" s="88" t="str">
        <f>Schedule!AT$6</f>
        <v>4th</v>
      </c>
    </row>
    <row r="4" spans="1:53" x14ac:dyDescent="0.2">
      <c r="A4" s="28"/>
      <c r="B4" s="28"/>
      <c r="C4" s="7"/>
      <c r="D4" s="7"/>
      <c r="E4" s="7"/>
      <c r="F4" s="7"/>
      <c r="G4" s="7"/>
      <c r="H4" s="7"/>
      <c r="I4" s="7"/>
      <c r="J4" s="129" t="s">
        <v>79</v>
      </c>
      <c r="K4" s="129"/>
      <c r="L4" s="43" t="str">
        <f>INDEX(Lists!$F$5:$H$5,MATCH(Lists!$H$3,Lists!$F$4:$H$4,0))</f>
        <v>M</v>
      </c>
      <c r="M4" s="43" t="str">
        <f>INDEX(Lists!$F$6:$H$6,MATCH(Lists!$H$3,Lists!$F$4:$H$4,0))</f>
        <v>T</v>
      </c>
      <c r="N4" s="43" t="str">
        <f>INDEX(Lists!$F$7:$H$7,MATCH(Lists!$H$3,Lists!$F$4:$H$4,0))</f>
        <v>W</v>
      </c>
      <c r="O4" s="43" t="str">
        <f>INDEX(Lists!$F$8:$H$8,MATCH(Lists!$H$3,Lists!$F$4:$H$4,0))</f>
        <v>R</v>
      </c>
      <c r="P4" s="43" t="str">
        <f>INDEX(Lists!$F$9:$H$9,MATCH(Lists!$H$3,Lists!$F$4:$H$4,0))</f>
        <v>F</v>
      </c>
      <c r="Q4" s="43" t="str">
        <f>INDEX(Lists!$F$10:$H$10,MATCH(Lists!$H$3,Lists!$F$4:$H$4,0))</f>
        <v>S</v>
      </c>
      <c r="R4" s="43" t="str">
        <f>INDEX(Lists!$F$11:$H$11,MATCH(Lists!$H$3,Lists!$F$4:$H$4,0))</f>
        <v>U</v>
      </c>
      <c r="S4" s="43" t="str">
        <f>INDEX(Lists!$F$5:$H$5,MATCH(Lists!$H$3,Lists!$F$4:$H$4,0))</f>
        <v>M</v>
      </c>
      <c r="T4" s="43" t="str">
        <f>INDEX(Lists!$F$6:$H$6,MATCH(Lists!$H$3,Lists!$F$4:$H$4,0))</f>
        <v>T</v>
      </c>
      <c r="U4" s="43" t="str">
        <f>INDEX(Lists!$F$7:$H$7,MATCH(Lists!$H$3,Lists!$F$4:$H$4,0))</f>
        <v>W</v>
      </c>
      <c r="V4" s="43" t="str">
        <f>INDEX(Lists!$F$8:$H$8,MATCH(Lists!$H$3,Lists!$F$4:$H$4,0))</f>
        <v>R</v>
      </c>
      <c r="W4" s="43" t="str">
        <f>INDEX(Lists!$F$9:$H$9,MATCH(Lists!$H$3,Lists!$F$4:$H$4,0))</f>
        <v>F</v>
      </c>
      <c r="X4" s="43" t="str">
        <f>INDEX(Lists!$F$10:$H$10,MATCH(Lists!$H$3,Lists!$F$4:$H$4,0))</f>
        <v>S</v>
      </c>
      <c r="Y4" s="43" t="str">
        <f>INDEX(Lists!$F$11:$H$11,MATCH(Lists!$H$3,Lists!$F$4:$H$4,0))</f>
        <v>U</v>
      </c>
      <c r="Z4" s="43" t="str">
        <f>INDEX(Lists!$F$5:$H$5,MATCH(Lists!$H$3,Lists!$F$4:$H$4,0))</f>
        <v>M</v>
      </c>
      <c r="AA4" s="43" t="str">
        <f>INDEX(Lists!$F$6:$H$6,MATCH(Lists!$H$3,Lists!$F$4:$H$4,0))</f>
        <v>T</v>
      </c>
      <c r="AB4" s="43" t="str">
        <f>INDEX(Lists!$F$7:$H$7,MATCH(Lists!$H$3,Lists!$F$4:$H$4,0))</f>
        <v>W</v>
      </c>
      <c r="AC4" s="43" t="str">
        <f>INDEX(Lists!$F$8:$H$8,MATCH(Lists!$H$3,Lists!$F$4:$H$4,0))</f>
        <v>R</v>
      </c>
      <c r="AD4" s="43" t="str">
        <f>INDEX(Lists!$F$9:$H$9,MATCH(Lists!$H$3,Lists!$F$4:$H$4,0))</f>
        <v>F</v>
      </c>
      <c r="AE4" s="43" t="str">
        <f>INDEX(Lists!$F$10:$H$10,MATCH(Lists!$H$3,Lists!$F$4:$H$4,0))</f>
        <v>S</v>
      </c>
      <c r="AF4" s="43" t="str">
        <f>INDEX(Lists!$F$11:$H$11,MATCH(Lists!$H$3,Lists!$F$4:$H$4,0))</f>
        <v>U</v>
      </c>
      <c r="AG4" s="43" t="str">
        <f>INDEX(Lists!$F$5:$H$5,MATCH(Lists!$H$3,Lists!$F$4:$H$4,0))</f>
        <v>M</v>
      </c>
      <c r="AH4" s="43" t="str">
        <f>INDEX(Lists!$F$6:$H$6,MATCH(Lists!$H$3,Lists!$F$4:$H$4,0))</f>
        <v>T</v>
      </c>
      <c r="AI4" s="43" t="str">
        <f>INDEX(Lists!$F$7:$H$7,MATCH(Lists!$H$3,Lists!$F$4:$H$4,0))</f>
        <v>W</v>
      </c>
      <c r="AJ4" s="43" t="str">
        <f>INDEX(Lists!$F$8:$H$8,MATCH(Lists!$H$3,Lists!$F$4:$H$4,0))</f>
        <v>R</v>
      </c>
      <c r="AK4" s="43" t="str">
        <f>INDEX(Lists!$F$9:$H$9,MATCH(Lists!$H$3,Lists!$F$4:$H$4,0))</f>
        <v>F</v>
      </c>
      <c r="AL4" s="43" t="str">
        <f>INDEX(Lists!$F$10:$H$10,MATCH(Lists!$H$3,Lists!$F$4:$H$4,0))</f>
        <v>S</v>
      </c>
      <c r="AM4" s="43" t="str">
        <f>INDEX(Lists!$F$11:$H$11,MATCH(Lists!$H$3,Lists!$F$4:$H$4,0))</f>
        <v>U</v>
      </c>
      <c r="AN4" s="43" t="str">
        <f>INDEX(Lists!$F$5:$H$5,MATCH(Lists!$H$3,Lists!$F$4:$H$4,0))</f>
        <v>M</v>
      </c>
      <c r="AO4" s="43" t="str">
        <f>INDEX(Lists!$F$6:$H$6,MATCH(Lists!$H$3,Lists!$F$4:$H$4,0))</f>
        <v>T</v>
      </c>
      <c r="AP4" s="43" t="str">
        <f>INDEX(Lists!$F$7:$H$7,MATCH(Lists!$H$3,Lists!$F$4:$H$4,0))</f>
        <v>W</v>
      </c>
      <c r="AQ4" s="43" t="str">
        <f>INDEX(Lists!$F$8:$H$8,MATCH(Lists!$H$3,Lists!$F$4:$H$4,0))</f>
        <v>R</v>
      </c>
      <c r="AR4" s="43" t="str">
        <f>INDEX(Lists!$F$9:$H$9,MATCH(Lists!$H$3,Lists!$F$4:$H$4,0))</f>
        <v>F</v>
      </c>
      <c r="AS4" s="43" t="str">
        <f>INDEX(Lists!$F$10:$H$10,MATCH(Lists!$H$3,Lists!$F$4:$H$4,0))</f>
        <v>S</v>
      </c>
      <c r="AT4" s="43" t="str">
        <f>INDEX(Lists!$F$11:$H$11,MATCH(Lists!$H$3,Lists!$F$4:$H$4,0))</f>
        <v>U</v>
      </c>
      <c r="AU4" s="43" t="str">
        <f>INDEX(Lists!$F$5:$H$5,MATCH(Lists!$H$3,Lists!$F$4:$H$4,0))</f>
        <v>M</v>
      </c>
      <c r="AV4" s="43" t="str">
        <f>INDEX(Lists!$F$6:$H$6,MATCH(Lists!$H$3,Lists!$F$4:$H$4,0))</f>
        <v>T</v>
      </c>
      <c r="AW4" s="43" t="str">
        <f>INDEX(Lists!$F$7:$H$7,MATCH(Lists!$H$3,Lists!$F$4:$H$4,0))</f>
        <v>W</v>
      </c>
      <c r="AX4" s="43" t="str">
        <f>INDEX(Lists!$F$8:$H$8,MATCH(Lists!$H$3,Lists!$F$4:$H$4,0))</f>
        <v>R</v>
      </c>
      <c r="AY4" s="43" t="str">
        <f>INDEX(Lists!$F$9:$H$9,MATCH(Lists!$H$3,Lists!$F$4:$H$4,0))</f>
        <v>F</v>
      </c>
      <c r="AZ4" s="43" t="str">
        <f>INDEX(Lists!$F$10:$H$10,MATCH(Lists!$H$3,Lists!$F$4:$H$4,0))</f>
        <v>S</v>
      </c>
      <c r="BA4" s="43" t="str">
        <f>INDEX(Lists!$F$11:$H$11,MATCH(Lists!$H$3,Lists!$F$4:$H$4,0))</f>
        <v>U</v>
      </c>
    </row>
    <row r="5" spans="1:53" s="2" customFormat="1" ht="14.45" customHeight="1" x14ac:dyDescent="0.25">
      <c r="A5" s="7"/>
      <c r="B5"/>
      <c r="C5"/>
      <c r="D5"/>
      <c r="E5"/>
      <c r="F5"/>
      <c r="G5"/>
      <c r="H5"/>
      <c r="I5"/>
      <c r="J5" s="127" t="s">
        <v>65</v>
      </c>
      <c r="K5" s="128"/>
      <c r="L5" s="38">
        <f>SUM(Schedule!E$8:E$107)</f>
        <v>0</v>
      </c>
      <c r="M5" s="32">
        <f>SUM(Schedule!F$8:F$107)</f>
        <v>0</v>
      </c>
      <c r="N5" s="32">
        <f>SUM(Schedule!G$8:G$107)</f>
        <v>0</v>
      </c>
      <c r="O5" s="32">
        <f>SUM(Schedule!H$8:H$107)</f>
        <v>0</v>
      </c>
      <c r="P5" s="32">
        <f>SUM(Schedule!I$8:I$107)</f>
        <v>0</v>
      </c>
      <c r="Q5" s="32">
        <f>SUM(Schedule!J$8:J$107)</f>
        <v>0</v>
      </c>
      <c r="R5" s="33">
        <f>SUM(Schedule!K$8:K$107)</f>
        <v>0</v>
      </c>
      <c r="S5" s="31">
        <f>SUM(Schedule!L$8:L$107)</f>
        <v>0</v>
      </c>
      <c r="T5" s="32">
        <f>SUM(Schedule!M$8:M$107)</f>
        <v>0</v>
      </c>
      <c r="U5" s="32">
        <f>SUM(Schedule!N$8:N$107)</f>
        <v>0</v>
      </c>
      <c r="V5" s="32">
        <f>SUM(Schedule!O$8:O$107)</f>
        <v>0</v>
      </c>
      <c r="W5" s="32">
        <f>SUM(Schedule!P$8:P$107)</f>
        <v>0</v>
      </c>
      <c r="X5" s="32">
        <f>SUM(Schedule!Q$8:Q$107)</f>
        <v>0</v>
      </c>
      <c r="Y5" s="33">
        <f>SUM(Schedule!R$8:R$107)</f>
        <v>0</v>
      </c>
      <c r="Z5" s="31">
        <f>SUM(Schedule!S$8:S$107)</f>
        <v>0</v>
      </c>
      <c r="AA5" s="32">
        <f>SUM(Schedule!T$8:T$107)</f>
        <v>0</v>
      </c>
      <c r="AB5" s="32">
        <f>SUM(Schedule!U$8:U$107)</f>
        <v>0</v>
      </c>
      <c r="AC5" s="32">
        <f>SUM(Schedule!V$8:V$107)</f>
        <v>0</v>
      </c>
      <c r="AD5" s="32">
        <f>SUM(Schedule!W$8:W$107)</f>
        <v>0</v>
      </c>
      <c r="AE5" s="32">
        <f>SUM(Schedule!X$8:X$107)</f>
        <v>0</v>
      </c>
      <c r="AF5" s="33">
        <f>SUM(Schedule!Y$8:Y$107)</f>
        <v>0</v>
      </c>
      <c r="AG5" s="31">
        <f>SUM(Schedule!Z$8:Z$107)</f>
        <v>0</v>
      </c>
      <c r="AH5" s="32">
        <f>SUM(Schedule!AA$8:AA$107)</f>
        <v>0</v>
      </c>
      <c r="AI5" s="32">
        <f>SUM(Schedule!AB$8:AB$107)</f>
        <v>0</v>
      </c>
      <c r="AJ5" s="32">
        <f>SUM(Schedule!AC$8:AC$107)</f>
        <v>0</v>
      </c>
      <c r="AK5" s="32">
        <f>SUM(Schedule!AD$8:AD$107)</f>
        <v>0</v>
      </c>
      <c r="AL5" s="32">
        <f>SUM(Schedule!AE$8:AE$107)</f>
        <v>0</v>
      </c>
      <c r="AM5" s="34">
        <f>SUM(Schedule!AF$8:AF$107)</f>
        <v>0</v>
      </c>
      <c r="AN5" s="31">
        <f>SUM(Schedule!AG$8:AG$107)</f>
        <v>0</v>
      </c>
      <c r="AO5" s="32">
        <f>SUM(Schedule!AH$8:AH$107)</f>
        <v>0</v>
      </c>
      <c r="AP5" s="32">
        <f>SUM(Schedule!AI$8:AI$107)</f>
        <v>0</v>
      </c>
      <c r="AQ5" s="32">
        <f>SUM(Schedule!AJ$8:AJ$107)</f>
        <v>0</v>
      </c>
      <c r="AR5" s="32">
        <f>SUM(Schedule!AK$8:AK$107)</f>
        <v>0</v>
      </c>
      <c r="AS5" s="32">
        <f>SUM(Schedule!AL$8:AL$107)</f>
        <v>0</v>
      </c>
      <c r="AT5" s="34">
        <f>SUM(Schedule!AM$8:AM$107)</f>
        <v>0</v>
      </c>
      <c r="AU5" s="31">
        <f>SUM(Schedule!AN$8:AN$107)</f>
        <v>0</v>
      </c>
      <c r="AV5" s="32">
        <f>SUM(Schedule!AO$8:AO$107)</f>
        <v>0</v>
      </c>
      <c r="AW5" s="32">
        <f>SUM(Schedule!AP$8:AP$107)</f>
        <v>0</v>
      </c>
      <c r="AX5" s="32">
        <f>SUM(Schedule!AQ$8:AQ$107)</f>
        <v>0</v>
      </c>
      <c r="AY5" s="32">
        <f>SUM(Schedule!AR$8:AR$107)</f>
        <v>0</v>
      </c>
      <c r="AZ5" s="32">
        <f>SUM(Schedule!AS$8:AS$107)</f>
        <v>0</v>
      </c>
      <c r="BA5" s="34">
        <f>SUM(Schedule!AT$8:AT$107)</f>
        <v>0</v>
      </c>
    </row>
    <row r="6" spans="1:53" s="2" customFormat="1" ht="14.45" customHeight="1" x14ac:dyDescent="0.25">
      <c r="E6"/>
      <c r="F6"/>
      <c r="G6"/>
      <c r="H6"/>
      <c r="I6"/>
      <c r="J6" s="127" t="s">
        <v>42</v>
      </c>
      <c r="K6" s="128"/>
      <c r="L6" s="38">
        <f>SUM(Schedule!E$116:E$215)</f>
        <v>0</v>
      </c>
      <c r="M6" s="32">
        <f>SUM(Schedule!F$116:F$215)</f>
        <v>0</v>
      </c>
      <c r="N6" s="32">
        <f>SUM(Schedule!G$116:G$215)</f>
        <v>0</v>
      </c>
      <c r="O6" s="32">
        <f>SUM(Schedule!H$116:H$215)</f>
        <v>0</v>
      </c>
      <c r="P6" s="32">
        <f>SUM(Schedule!I$116:I$215)</f>
        <v>0</v>
      </c>
      <c r="Q6" s="32">
        <f>SUM(Schedule!J$116:J$215)</f>
        <v>0</v>
      </c>
      <c r="R6" s="33">
        <f>SUM(Schedule!K$116:K$215)</f>
        <v>0</v>
      </c>
      <c r="S6" s="31">
        <f>SUM(Schedule!L$116:L$215)</f>
        <v>0</v>
      </c>
      <c r="T6" s="32">
        <f>SUM(Schedule!M$116:M$215)</f>
        <v>0</v>
      </c>
      <c r="U6" s="32">
        <f>SUM(Schedule!N$116:N$215)</f>
        <v>0</v>
      </c>
      <c r="V6" s="32">
        <f>SUM(Schedule!O$116:O$215)</f>
        <v>0</v>
      </c>
      <c r="W6" s="32">
        <f>SUM(Schedule!P$116:P$215)</f>
        <v>0</v>
      </c>
      <c r="X6" s="32">
        <f>SUM(Schedule!Q$116:Q$215)</f>
        <v>0</v>
      </c>
      <c r="Y6" s="33">
        <f>SUM(Schedule!R$116:R$215)</f>
        <v>0</v>
      </c>
      <c r="Z6" s="31">
        <f>SUM(Schedule!S$116:S$215)</f>
        <v>0</v>
      </c>
      <c r="AA6" s="32">
        <f>SUM(Schedule!T$116:T$215)</f>
        <v>0</v>
      </c>
      <c r="AB6" s="32">
        <f>SUM(Schedule!U$116:U$215)</f>
        <v>0</v>
      </c>
      <c r="AC6" s="32">
        <f>SUM(Schedule!V$116:V$215)</f>
        <v>0</v>
      </c>
      <c r="AD6" s="32">
        <f>SUM(Schedule!W$116:W$215)</f>
        <v>0</v>
      </c>
      <c r="AE6" s="32">
        <f>SUM(Schedule!X$116:X$215)</f>
        <v>0</v>
      </c>
      <c r="AF6" s="33">
        <f>SUM(Schedule!Y$116:Y$215)</f>
        <v>0</v>
      </c>
      <c r="AG6" s="31">
        <f>SUM(Schedule!Z$116:Z$215)</f>
        <v>0</v>
      </c>
      <c r="AH6" s="32">
        <f>SUM(Schedule!AA$116:AA$215)</f>
        <v>0</v>
      </c>
      <c r="AI6" s="32">
        <f>SUM(Schedule!AB$116:AB$215)</f>
        <v>0</v>
      </c>
      <c r="AJ6" s="32">
        <f>SUM(Schedule!AC$116:AC$215)</f>
        <v>0</v>
      </c>
      <c r="AK6" s="32">
        <f>SUM(Schedule!AD$116:AD$215)</f>
        <v>0</v>
      </c>
      <c r="AL6" s="32">
        <f>SUM(Schedule!AE$116:AE$215)</f>
        <v>0</v>
      </c>
      <c r="AM6" s="34">
        <f>SUM(Schedule!AF$116:AF$215)</f>
        <v>0</v>
      </c>
      <c r="AN6" s="31">
        <f>SUM(Schedule!AG$116:AG$215)</f>
        <v>0</v>
      </c>
      <c r="AO6" s="32">
        <f>SUM(Schedule!AH$116:AH$215)</f>
        <v>0</v>
      </c>
      <c r="AP6" s="32">
        <f>SUM(Schedule!AI$116:AI$215)</f>
        <v>0</v>
      </c>
      <c r="AQ6" s="32">
        <f>SUM(Schedule!AJ$116:AJ$215)</f>
        <v>0</v>
      </c>
      <c r="AR6" s="32">
        <f>SUM(Schedule!AK$116:AK$215)</f>
        <v>0</v>
      </c>
      <c r="AS6" s="32">
        <f>SUM(Schedule!AL$116:AL$215)</f>
        <v>0</v>
      </c>
      <c r="AT6" s="34">
        <f>SUM(Schedule!AM$116:AM$215)</f>
        <v>0</v>
      </c>
      <c r="AU6" s="31">
        <f>SUM(Schedule!AN$116:AN$215)</f>
        <v>0</v>
      </c>
      <c r="AV6" s="32">
        <f>SUM(Schedule!AO$116:AO$215)</f>
        <v>0</v>
      </c>
      <c r="AW6" s="32">
        <f>SUM(Schedule!AP$116:AP$215)</f>
        <v>0</v>
      </c>
      <c r="AX6" s="32">
        <f>SUM(Schedule!AQ$116:AQ$215)</f>
        <v>0</v>
      </c>
      <c r="AY6" s="32">
        <f>SUM(Schedule!AR$116:AR$215)</f>
        <v>0</v>
      </c>
      <c r="AZ6" s="32">
        <f>SUM(Schedule!AS$116:AS$215)</f>
        <v>0</v>
      </c>
      <c r="BA6" s="34">
        <f>SUM(Schedule!AT$116:AT$215)</f>
        <v>0</v>
      </c>
    </row>
    <row r="7" spans="1:53" s="29" customFormat="1" ht="14.45" customHeight="1" x14ac:dyDescent="0.25">
      <c r="A7" s="131" t="s">
        <v>68</v>
      </c>
      <c r="B7" s="131"/>
      <c r="C7" s="131"/>
      <c r="D7" s="131"/>
      <c r="E7"/>
      <c r="F7"/>
      <c r="G7"/>
      <c r="H7"/>
      <c r="I7"/>
      <c r="J7" s="127" t="s">
        <v>47</v>
      </c>
      <c r="K7" s="128"/>
      <c r="L7" s="38">
        <f>SUM(Schedule!E$224:E$323)</f>
        <v>0</v>
      </c>
      <c r="M7" s="32">
        <f>SUM(Schedule!F$224:F$323)</f>
        <v>0</v>
      </c>
      <c r="N7" s="32">
        <f>SUM(Schedule!G$224:G$323)</f>
        <v>0</v>
      </c>
      <c r="O7" s="32">
        <f>SUM(Schedule!H$224:H$323)</f>
        <v>0</v>
      </c>
      <c r="P7" s="32">
        <f>SUM(Schedule!I$224:I$323)</f>
        <v>0</v>
      </c>
      <c r="Q7" s="32">
        <f>SUM(Schedule!J$224:J$323)</f>
        <v>0</v>
      </c>
      <c r="R7" s="33">
        <f>SUM(Schedule!K$224:K$323)</f>
        <v>0</v>
      </c>
      <c r="S7" s="31">
        <f>SUM(Schedule!L$224:L$323)</f>
        <v>0</v>
      </c>
      <c r="T7" s="32">
        <f>SUM(Schedule!M$224:M$323)</f>
        <v>0</v>
      </c>
      <c r="U7" s="32">
        <f>SUM(Schedule!N$224:N$323)</f>
        <v>0</v>
      </c>
      <c r="V7" s="32">
        <f>SUM(Schedule!O$224:O$323)</f>
        <v>0</v>
      </c>
      <c r="W7" s="32">
        <f>SUM(Schedule!P$224:P$323)</f>
        <v>0</v>
      </c>
      <c r="X7" s="32">
        <f>SUM(Schedule!Q$224:Q$323)</f>
        <v>0</v>
      </c>
      <c r="Y7" s="33">
        <f>SUM(Schedule!R$224:R$323)</f>
        <v>0</v>
      </c>
      <c r="Z7" s="31">
        <f>SUM(Schedule!S$224:S$323)</f>
        <v>0</v>
      </c>
      <c r="AA7" s="32">
        <f>SUM(Schedule!T$224:T$323)</f>
        <v>0</v>
      </c>
      <c r="AB7" s="32">
        <f>SUM(Schedule!U$224:U$323)</f>
        <v>0</v>
      </c>
      <c r="AC7" s="32">
        <f>SUM(Schedule!V$224:V$323)</f>
        <v>0</v>
      </c>
      <c r="AD7" s="32">
        <f>SUM(Schedule!W$224:W$323)</f>
        <v>0</v>
      </c>
      <c r="AE7" s="32">
        <f>SUM(Schedule!X$224:X$323)</f>
        <v>0</v>
      </c>
      <c r="AF7" s="33">
        <f>SUM(Schedule!Y$224:Y$323)</f>
        <v>0</v>
      </c>
      <c r="AG7" s="31">
        <f>SUM(Schedule!Z$224:Z$323)</f>
        <v>0</v>
      </c>
      <c r="AH7" s="32">
        <f>SUM(Schedule!AA$224:AA$323)</f>
        <v>0</v>
      </c>
      <c r="AI7" s="32">
        <f>SUM(Schedule!AB$224:AB$323)</f>
        <v>0</v>
      </c>
      <c r="AJ7" s="32">
        <f>SUM(Schedule!AC$224:AC$323)</f>
        <v>0</v>
      </c>
      <c r="AK7" s="32">
        <f>SUM(Schedule!AD$224:AD$323)</f>
        <v>0</v>
      </c>
      <c r="AL7" s="32">
        <f>SUM(Schedule!AE$224:AE$323)</f>
        <v>0</v>
      </c>
      <c r="AM7" s="34">
        <f>SUM(Schedule!AF$224:AF$323)</f>
        <v>0</v>
      </c>
      <c r="AN7" s="31">
        <f>SUM(Schedule!AG$224:AG$323)</f>
        <v>0</v>
      </c>
      <c r="AO7" s="32">
        <f>SUM(Schedule!AH$224:AH$323)</f>
        <v>0</v>
      </c>
      <c r="AP7" s="32">
        <f>SUM(Schedule!AI$224:AI$323)</f>
        <v>0</v>
      </c>
      <c r="AQ7" s="32">
        <f>SUM(Schedule!AJ$224:AJ$323)</f>
        <v>0</v>
      </c>
      <c r="AR7" s="32">
        <f>SUM(Schedule!AK$224:AK$323)</f>
        <v>0</v>
      </c>
      <c r="AS7" s="32">
        <f>SUM(Schedule!AL$224:AL$323)</f>
        <v>0</v>
      </c>
      <c r="AT7" s="34">
        <f>SUM(Schedule!AM$224:AM$323)</f>
        <v>0</v>
      </c>
      <c r="AU7" s="31">
        <f>SUM(Schedule!AN$224:AN$323)</f>
        <v>0</v>
      </c>
      <c r="AV7" s="32">
        <f>SUM(Schedule!AO$224:AO$323)</f>
        <v>0</v>
      </c>
      <c r="AW7" s="32">
        <f>SUM(Schedule!AP$224:AP$323)</f>
        <v>0</v>
      </c>
      <c r="AX7" s="32">
        <f>SUM(Schedule!AQ$224:AQ$323)</f>
        <v>0</v>
      </c>
      <c r="AY7" s="32">
        <f>SUM(Schedule!AR$224:AR$323)</f>
        <v>0</v>
      </c>
      <c r="AZ7" s="32">
        <f>SUM(Schedule!AS$224:AS$323)</f>
        <v>0</v>
      </c>
      <c r="BA7" s="34">
        <f>SUM(Schedule!AT$224:AT$323)</f>
        <v>0</v>
      </c>
    </row>
    <row r="8" spans="1:53" ht="14.1" customHeight="1" x14ac:dyDescent="0.25">
      <c r="A8" s="132" t="s">
        <v>48</v>
      </c>
      <c r="B8" s="132"/>
      <c r="C8" s="132"/>
      <c r="D8" s="132"/>
      <c r="E8"/>
      <c r="F8"/>
      <c r="G8"/>
      <c r="H8"/>
      <c r="I8"/>
      <c r="J8" s="28"/>
      <c r="K8" s="28"/>
      <c r="L8" s="28"/>
    </row>
    <row r="9" spans="1:53" ht="14.1" customHeight="1" x14ac:dyDescent="0.25">
      <c r="A9" s="132"/>
      <c r="B9" s="132"/>
      <c r="C9" s="132"/>
      <c r="D9" s="132"/>
      <c r="E9"/>
      <c r="F9"/>
      <c r="G9"/>
      <c r="H9"/>
      <c r="I9"/>
      <c r="J9" s="28"/>
      <c r="K9" s="28"/>
      <c r="L9" s="83" t="str">
        <f>Schedule!E$6</f>
        <v>24th</v>
      </c>
      <c r="M9" s="84" t="str">
        <f>Schedule!F$6</f>
        <v>25th</v>
      </c>
      <c r="N9" s="84" t="str">
        <f>Schedule!G$6</f>
        <v>26th</v>
      </c>
      <c r="O9" s="84" t="str">
        <f>Schedule!H$6</f>
        <v>27th</v>
      </c>
      <c r="P9" s="84" t="str">
        <f>Schedule!I$6</f>
        <v>28th</v>
      </c>
      <c r="Q9" s="84" t="str">
        <f>Schedule!J$6</f>
        <v>29th</v>
      </c>
      <c r="R9" s="84" t="str">
        <f>Schedule!K$6</f>
        <v>30th</v>
      </c>
      <c r="S9" s="84" t="str">
        <f>Schedule!L$6</f>
        <v>31st</v>
      </c>
      <c r="T9" s="84" t="str">
        <f>Schedule!M$6</f>
        <v>1st</v>
      </c>
      <c r="U9" s="84" t="str">
        <f>Schedule!N$6</f>
        <v>2nd</v>
      </c>
      <c r="V9" s="84" t="str">
        <f>Schedule!O$6</f>
        <v>3rd</v>
      </c>
      <c r="W9" s="84" t="str">
        <f>Schedule!P$6</f>
        <v>4th</v>
      </c>
      <c r="X9" s="84" t="str">
        <f>Schedule!Q$6</f>
        <v>5th</v>
      </c>
      <c r="Y9" s="84" t="str">
        <f>Schedule!R$6</f>
        <v>6th</v>
      </c>
      <c r="Z9" s="84" t="str">
        <f>Schedule!S$6</f>
        <v>7th</v>
      </c>
      <c r="AA9" s="84" t="str">
        <f>Schedule!T$6</f>
        <v>8th</v>
      </c>
      <c r="AB9" s="84" t="str">
        <f>Schedule!U$6</f>
        <v>9th</v>
      </c>
      <c r="AC9" s="84" t="str">
        <f>Schedule!V$6</f>
        <v>10th</v>
      </c>
      <c r="AD9" s="84" t="str">
        <f>Schedule!W$6</f>
        <v>11th</v>
      </c>
      <c r="AE9" s="84" t="str">
        <f>Schedule!X$6</f>
        <v>12th</v>
      </c>
      <c r="AF9" s="84" t="str">
        <f>Schedule!Y$6</f>
        <v>13th</v>
      </c>
      <c r="AG9" s="84" t="str">
        <f>Schedule!Z$6</f>
        <v>14th</v>
      </c>
      <c r="AH9" s="84" t="str">
        <f>Schedule!AA$6</f>
        <v>15th</v>
      </c>
      <c r="AI9" s="84" t="str">
        <f>Schedule!AB$6</f>
        <v>16th</v>
      </c>
      <c r="AJ9" s="84" t="str">
        <f>Schedule!AC$6</f>
        <v>17th</v>
      </c>
      <c r="AK9" s="84" t="str">
        <f>Schedule!AD$6</f>
        <v>18th</v>
      </c>
      <c r="AL9" s="84" t="str">
        <f>Schedule!AE$6</f>
        <v>19th</v>
      </c>
      <c r="AM9" s="84" t="str">
        <f>Schedule!AF$6</f>
        <v>20th</v>
      </c>
      <c r="AN9" s="84" t="str">
        <f>Schedule!AG$6</f>
        <v>21st</v>
      </c>
      <c r="AO9" s="84" t="str">
        <f>Schedule!AH$6</f>
        <v>22nd</v>
      </c>
      <c r="AP9" s="84" t="str">
        <f>Schedule!AI$6</f>
        <v>23rd</v>
      </c>
      <c r="AQ9" s="84" t="str">
        <f>Schedule!AJ$6</f>
        <v>24th</v>
      </c>
      <c r="AR9" s="84" t="str">
        <f>Schedule!AK$6</f>
        <v>25th</v>
      </c>
      <c r="AS9" s="84" t="str">
        <f>Schedule!AL$6</f>
        <v>26th</v>
      </c>
      <c r="AT9" s="84" t="str">
        <f>Schedule!AM$6</f>
        <v>27th</v>
      </c>
      <c r="AU9" s="84" t="str">
        <f>Schedule!AN$6</f>
        <v>28th</v>
      </c>
      <c r="AV9" s="84" t="str">
        <f>Schedule!AO$6</f>
        <v>29th</v>
      </c>
      <c r="AW9" s="84" t="str">
        <f>Schedule!AP$6</f>
        <v>30th</v>
      </c>
      <c r="AX9" s="84" t="str">
        <f>Schedule!AQ$6</f>
        <v>1st</v>
      </c>
      <c r="AY9" s="84" t="str">
        <f>Schedule!AR$6</f>
        <v>2nd</v>
      </c>
      <c r="AZ9" s="84" t="str">
        <f>Schedule!AS$6</f>
        <v>3rd</v>
      </c>
      <c r="BA9" s="88" t="str">
        <f>Schedule!AT$6</f>
        <v>4th</v>
      </c>
    </row>
    <row r="10" spans="1:53" ht="14.1" customHeight="1" x14ac:dyDescent="0.25">
      <c r="A10" s="28"/>
      <c r="B10" s="75"/>
      <c r="C10"/>
      <c r="D10"/>
      <c r="E10"/>
      <c r="F10"/>
      <c r="G10"/>
      <c r="H10"/>
      <c r="I10"/>
      <c r="J10" s="137" t="s">
        <v>78</v>
      </c>
      <c r="K10" s="137"/>
      <c r="L10" s="43" t="str">
        <f>INDEX(Lists!$F$5:$H$5,MATCH(Lists!$H$3,Lists!$F$4:$H$4,0))</f>
        <v>M</v>
      </c>
      <c r="M10" s="43" t="str">
        <f>INDEX(Lists!$F$6:$H$6,MATCH(Lists!$H$3,Lists!$F$4:$H$4,0))</f>
        <v>T</v>
      </c>
      <c r="N10" s="43" t="str">
        <f>INDEX(Lists!$F$7:$H$7,MATCH(Lists!$H$3,Lists!$F$4:$H$4,0))</f>
        <v>W</v>
      </c>
      <c r="O10" s="43" t="str">
        <f>INDEX(Lists!$F$8:$H$8,MATCH(Lists!$H$3,Lists!$F$4:$H$4,0))</f>
        <v>R</v>
      </c>
      <c r="P10" s="43" t="str">
        <f>INDEX(Lists!$F$9:$H$9,MATCH(Lists!$H$3,Lists!$F$4:$H$4,0))</f>
        <v>F</v>
      </c>
      <c r="Q10" s="43" t="str">
        <f>INDEX(Lists!$F$10:$H$10,MATCH(Lists!$H$3,Lists!$F$4:$H$4,0))</f>
        <v>S</v>
      </c>
      <c r="R10" s="43" t="str">
        <f>INDEX(Lists!$F$11:$H$11,MATCH(Lists!$H$3,Lists!$F$4:$H$4,0))</f>
        <v>U</v>
      </c>
      <c r="S10" s="43" t="str">
        <f>INDEX(Lists!$F$5:$H$5,MATCH(Lists!$H$3,Lists!$F$4:$H$4,0))</f>
        <v>M</v>
      </c>
      <c r="T10" s="43" t="str">
        <f>INDEX(Lists!$F$6:$H$6,MATCH(Lists!$H$3,Lists!$F$4:$H$4,0))</f>
        <v>T</v>
      </c>
      <c r="U10" s="43" t="str">
        <f>INDEX(Lists!$F$7:$H$7,MATCH(Lists!$H$3,Lists!$F$4:$H$4,0))</f>
        <v>W</v>
      </c>
      <c r="V10" s="43" t="str">
        <f>INDEX(Lists!$F$8:$H$8,MATCH(Lists!$H$3,Lists!$F$4:$H$4,0))</f>
        <v>R</v>
      </c>
      <c r="W10" s="43" t="str">
        <f>INDEX(Lists!$F$9:$H$9,MATCH(Lists!$H$3,Lists!$F$4:$H$4,0))</f>
        <v>F</v>
      </c>
      <c r="X10" s="43" t="str">
        <f>INDEX(Lists!$F$10:$H$10,MATCH(Lists!$H$3,Lists!$F$4:$H$4,0))</f>
        <v>S</v>
      </c>
      <c r="Y10" s="43" t="str">
        <f>INDEX(Lists!$F$11:$H$11,MATCH(Lists!$H$3,Lists!$F$4:$H$4,0))</f>
        <v>U</v>
      </c>
      <c r="Z10" s="43" t="str">
        <f>INDEX(Lists!$F$5:$H$5,MATCH(Lists!$H$3,Lists!$F$4:$H$4,0))</f>
        <v>M</v>
      </c>
      <c r="AA10" s="43" t="str">
        <f>INDEX(Lists!$F$6:$H$6,MATCH(Lists!$H$3,Lists!$F$4:$H$4,0))</f>
        <v>T</v>
      </c>
      <c r="AB10" s="43" t="str">
        <f>INDEX(Lists!$F$7:$H$7,MATCH(Lists!$H$3,Lists!$F$4:$H$4,0))</f>
        <v>W</v>
      </c>
      <c r="AC10" s="43" t="str">
        <f>INDEX(Lists!$F$8:$H$8,MATCH(Lists!$H$3,Lists!$F$4:$H$4,0))</f>
        <v>R</v>
      </c>
      <c r="AD10" s="43" t="str">
        <f>INDEX(Lists!$F$9:$H$9,MATCH(Lists!$H$3,Lists!$F$4:$H$4,0))</f>
        <v>F</v>
      </c>
      <c r="AE10" s="43" t="str">
        <f>INDEX(Lists!$F$10:$H$10,MATCH(Lists!$H$3,Lists!$F$4:$H$4,0))</f>
        <v>S</v>
      </c>
      <c r="AF10" s="43" t="str">
        <f>INDEX(Lists!$F$11:$H$11,MATCH(Lists!$H$3,Lists!$F$4:$H$4,0))</f>
        <v>U</v>
      </c>
      <c r="AG10" s="43" t="str">
        <f>INDEX(Lists!$F$5:$H$5,MATCH(Lists!$H$3,Lists!$F$4:$H$4,0))</f>
        <v>M</v>
      </c>
      <c r="AH10" s="43" t="str">
        <f>INDEX(Lists!$F$6:$H$6,MATCH(Lists!$H$3,Lists!$F$4:$H$4,0))</f>
        <v>T</v>
      </c>
      <c r="AI10" s="43" t="str">
        <f>INDEX(Lists!$F$7:$H$7,MATCH(Lists!$H$3,Lists!$F$4:$H$4,0))</f>
        <v>W</v>
      </c>
      <c r="AJ10" s="43" t="str">
        <f>INDEX(Lists!$F$8:$H$8,MATCH(Lists!$H$3,Lists!$F$4:$H$4,0))</f>
        <v>R</v>
      </c>
      <c r="AK10" s="43" t="str">
        <f>INDEX(Lists!$F$9:$H$9,MATCH(Lists!$H$3,Lists!$F$4:$H$4,0))</f>
        <v>F</v>
      </c>
      <c r="AL10" s="43" t="str">
        <f>INDEX(Lists!$F$10:$H$10,MATCH(Lists!$H$3,Lists!$F$4:$H$4,0))</f>
        <v>S</v>
      </c>
      <c r="AM10" s="43" t="str">
        <f>INDEX(Lists!$F$11:$H$11,MATCH(Lists!$H$3,Lists!$F$4:$H$4,0))</f>
        <v>U</v>
      </c>
      <c r="AN10" s="43" t="str">
        <f>INDEX(Lists!$F$5:$H$5,MATCH(Lists!$H$3,Lists!$F$4:$H$4,0))</f>
        <v>M</v>
      </c>
      <c r="AO10" s="43" t="str">
        <f>INDEX(Lists!$F$6:$H$6,MATCH(Lists!$H$3,Lists!$F$4:$H$4,0))</f>
        <v>T</v>
      </c>
      <c r="AP10" s="43" t="str">
        <f>INDEX(Lists!$F$7:$H$7,MATCH(Lists!$H$3,Lists!$F$4:$H$4,0))</f>
        <v>W</v>
      </c>
      <c r="AQ10" s="43" t="str">
        <f>INDEX(Lists!$F$8:$H$8,MATCH(Lists!$H$3,Lists!$F$4:$H$4,0))</f>
        <v>R</v>
      </c>
      <c r="AR10" s="43" t="str">
        <f>INDEX(Lists!$F$9:$H$9,MATCH(Lists!$H$3,Lists!$F$4:$H$4,0))</f>
        <v>F</v>
      </c>
      <c r="AS10" s="43" t="str">
        <f>INDEX(Lists!$F$10:$H$10,MATCH(Lists!$H$3,Lists!$F$4:$H$4,0))</f>
        <v>S</v>
      </c>
      <c r="AT10" s="43" t="str">
        <f>INDEX(Lists!$F$11:$H$11,MATCH(Lists!$H$3,Lists!$F$4:$H$4,0))</f>
        <v>U</v>
      </c>
      <c r="AU10" s="43" t="str">
        <f>INDEX(Lists!$F$5:$H$5,MATCH(Lists!$H$3,Lists!$F$4:$H$4,0))</f>
        <v>M</v>
      </c>
      <c r="AV10" s="43" t="str">
        <f>INDEX(Lists!$F$6:$H$6,MATCH(Lists!$H$3,Lists!$F$4:$H$4,0))</f>
        <v>T</v>
      </c>
      <c r="AW10" s="43" t="str">
        <f>INDEX(Lists!$F$7:$H$7,MATCH(Lists!$H$3,Lists!$F$4:$H$4,0))</f>
        <v>W</v>
      </c>
      <c r="AX10" s="43" t="str">
        <f>INDEX(Lists!$F$8:$H$8,MATCH(Lists!$H$3,Lists!$F$4:$H$4,0))</f>
        <v>R</v>
      </c>
      <c r="AY10" s="43" t="str">
        <f>INDEX(Lists!$F$9:$H$9,MATCH(Lists!$H$3,Lists!$F$4:$H$4,0))</f>
        <v>F</v>
      </c>
      <c r="AZ10" s="43" t="str">
        <f>INDEX(Lists!$F$10:$H$10,MATCH(Lists!$H$3,Lists!$F$4:$H$4,0))</f>
        <v>S</v>
      </c>
      <c r="BA10" s="43" t="str">
        <f>INDEX(Lists!$F$11:$H$11,MATCH(Lists!$H$3,Lists!$F$4:$H$4,0))</f>
        <v>U</v>
      </c>
    </row>
    <row r="11" spans="1:53" ht="14.1" customHeight="1" x14ac:dyDescent="0.25">
      <c r="A11" s="28"/>
      <c r="B11" s="75" t="s">
        <v>87</v>
      </c>
      <c r="C11"/>
      <c r="D11"/>
      <c r="E11"/>
      <c r="F11"/>
      <c r="G11"/>
      <c r="H11"/>
      <c r="I11"/>
      <c r="J11" s="133" t="s">
        <v>65</v>
      </c>
      <c r="K11" s="55" t="str">
        <f>IF(Lists!J5="","",Lists!J5)</f>
        <v>Supervisor</v>
      </c>
      <c r="L11" s="38">
        <f>IF(Dashboard!$K11="","",COUNTIFS(Schedule!$C$8:$C$107,"=" &amp; Dashboard!$K11,Schedule!E$8:E$107,"&lt;&gt;" ))</f>
        <v>0</v>
      </c>
      <c r="M11" s="32">
        <f>IF(Dashboard!$K11="","",COUNTIFS(Schedule!$C$8:$C$107,"=" &amp; Dashboard!$K11,Schedule!F$8:F$107,"&lt;&gt;" ))</f>
        <v>0</v>
      </c>
      <c r="N11" s="32">
        <f>IF(Dashboard!$K11="","",COUNTIFS(Schedule!$C$8:$C$107,"=" &amp; Dashboard!$K11,Schedule!G$8:G$107,"&lt;&gt;" ))</f>
        <v>0</v>
      </c>
      <c r="O11" s="32">
        <f>IF(Dashboard!$K11="","",COUNTIFS(Schedule!$C$8:$C$107,"=" &amp; Dashboard!$K11,Schedule!H$8:H$107,"&lt;&gt;" ))</f>
        <v>0</v>
      </c>
      <c r="P11" s="32">
        <f>IF(Dashboard!$K11="","",COUNTIFS(Schedule!$C$8:$C$107,"=" &amp; Dashboard!$K11,Schedule!I$8:I$107,"&lt;&gt;" ))</f>
        <v>0</v>
      </c>
      <c r="Q11" s="32">
        <f>IF(Dashboard!$K11="","",COUNTIFS(Schedule!$C$8:$C$107,"=" &amp; Dashboard!$K11,Schedule!J$8:J$107,"&lt;&gt;" ))</f>
        <v>0</v>
      </c>
      <c r="R11" s="57">
        <f>IF(Dashboard!$K11="","",COUNTIFS(Schedule!$C$8:$C$107,"=" &amp; Dashboard!$K11,Schedule!K$8:K$107,"&lt;&gt;" ))</f>
        <v>0</v>
      </c>
      <c r="S11" s="31">
        <f>IF(Dashboard!$K11="","",COUNTIFS(Schedule!$C$8:$C$107,"=" &amp; Dashboard!$K11,Schedule!L$8:L$107,"&lt;&gt;" ))</f>
        <v>0</v>
      </c>
      <c r="T11" s="32">
        <f>IF(Dashboard!$K11="","",COUNTIFS(Schedule!$C$8:$C$107,"=" &amp; Dashboard!$K11,Schedule!M$8:M$107,"&lt;&gt;" ))</f>
        <v>0</v>
      </c>
      <c r="U11" s="32">
        <f>IF(Dashboard!$K11="","",COUNTIFS(Schedule!$C$8:$C$107,"=" &amp; Dashboard!$K11,Schedule!N$8:N$107,"&lt;&gt;" ))</f>
        <v>0</v>
      </c>
      <c r="V11" s="32">
        <f>IF(Dashboard!$K11="","",COUNTIFS(Schedule!$C$8:$C$107,"=" &amp; Dashboard!$K11,Schedule!O$8:O$107,"&lt;&gt;" ))</f>
        <v>0</v>
      </c>
      <c r="W11" s="32">
        <f>IF(Dashboard!$K11="","",COUNTIFS(Schedule!$C$8:$C$107,"=" &amp; Dashboard!$K11,Schedule!P$8:P$107,"&lt;&gt;" ))</f>
        <v>0</v>
      </c>
      <c r="X11" s="32">
        <f>IF(Dashboard!$K11="","",COUNTIFS(Schedule!$C$8:$C$107,"=" &amp; Dashboard!$K11,Schedule!Q$8:Q$107,"&lt;&gt;" ))</f>
        <v>0</v>
      </c>
      <c r="Y11" s="33">
        <f>IF(Dashboard!$K11="","",COUNTIFS(Schedule!$C$8:$C$107,"=" &amp; Dashboard!$K11,Schedule!R$8:R$107,"&lt;&gt;" ))</f>
        <v>0</v>
      </c>
      <c r="Z11" s="31">
        <f>IF(Dashboard!$K11="","",COUNTIFS(Schedule!$C$8:$C$107,"=" &amp; Dashboard!$K11,Schedule!S$8:S$107,"&lt;&gt;" ))</f>
        <v>0</v>
      </c>
      <c r="AA11" s="32">
        <f>IF(Dashboard!$K11="","",COUNTIFS(Schedule!$C$8:$C$107,"=" &amp; Dashboard!$K11,Schedule!T$8:T$107,"&lt;&gt;" ))</f>
        <v>0</v>
      </c>
      <c r="AB11" s="32">
        <f>IF(Dashboard!$K11="","",COUNTIFS(Schedule!$C$8:$C$107,"=" &amp; Dashboard!$K11,Schedule!U$8:U$107,"&lt;&gt;" ))</f>
        <v>0</v>
      </c>
      <c r="AC11" s="32">
        <f>IF(Dashboard!$K11="","",COUNTIFS(Schedule!$C$8:$C$107,"=" &amp; Dashboard!$K11,Schedule!V$8:V$107,"&lt;&gt;" ))</f>
        <v>0</v>
      </c>
      <c r="AD11" s="32">
        <f>IF(Dashboard!$K11="","",COUNTIFS(Schedule!$C$8:$C$107,"=" &amp; Dashboard!$K11,Schedule!W$8:W$107,"&lt;&gt;" ))</f>
        <v>0</v>
      </c>
      <c r="AE11" s="32">
        <f>IF(Dashboard!$K11="","",COUNTIFS(Schedule!$C$8:$C$107,"=" &amp; Dashboard!$K11,Schedule!X$8:X$107,"&lt;&gt;" ))</f>
        <v>0</v>
      </c>
      <c r="AF11" s="33">
        <f>IF(Dashboard!$K11="","",COUNTIFS(Schedule!$C$8:$C$107,"=" &amp; Dashboard!$K11,Schedule!Y$8:Y$107,"&lt;&gt;" ))</f>
        <v>0</v>
      </c>
      <c r="AG11" s="31">
        <f>IF(Dashboard!$K11="","",COUNTIFS(Schedule!$C$8:$C$107,"=" &amp; Dashboard!$K11,Schedule!Z$8:Z$107,"&lt;&gt;" ))</f>
        <v>0</v>
      </c>
      <c r="AH11" s="32">
        <f>IF(Dashboard!$K11="","",COUNTIFS(Schedule!$C$8:$C$107,"=" &amp; Dashboard!$K11,Schedule!AA$8:AA$107,"&lt;&gt;" ))</f>
        <v>0</v>
      </c>
      <c r="AI11" s="32">
        <f>IF(Dashboard!$K11="","",COUNTIFS(Schedule!$C$8:$C$107,"=" &amp; Dashboard!$K11,Schedule!AB$8:AB$107,"&lt;&gt;" ))</f>
        <v>0</v>
      </c>
      <c r="AJ11" s="32">
        <f>IF(Dashboard!$K11="","",COUNTIFS(Schedule!$C$8:$C$107,"=" &amp; Dashboard!$K11,Schedule!AC$8:AC$107,"&lt;&gt;" ))</f>
        <v>0</v>
      </c>
      <c r="AK11" s="32">
        <f>IF(Dashboard!$K11="","",COUNTIFS(Schedule!$C$8:$C$107,"=" &amp; Dashboard!$K11,Schedule!AD$8:AD$107,"&lt;&gt;" ))</f>
        <v>0</v>
      </c>
      <c r="AL11" s="32">
        <f>IF(Dashboard!$K11="","",COUNTIFS(Schedule!$C$8:$C$107,"=" &amp; Dashboard!$K11,Schedule!AE$8:AE$107,"&lt;&gt;" ))</f>
        <v>0</v>
      </c>
      <c r="AM11" s="34">
        <f>IF(Dashboard!$K11="","",COUNTIFS(Schedule!$C$8:$C$107,"=" &amp; Dashboard!$K11,Schedule!AF$8:AF$107,"&lt;&gt;" ))</f>
        <v>0</v>
      </c>
      <c r="AN11" s="31">
        <f>IF(Dashboard!$K11="","",COUNTIFS(Schedule!$C$8:$C$107,"=" &amp; Dashboard!$K11,Schedule!AG$8:AG$107,"&lt;&gt;" ))</f>
        <v>0</v>
      </c>
      <c r="AO11" s="32">
        <f>IF(Dashboard!$K11="","",COUNTIFS(Schedule!$C$8:$C$107,"=" &amp; Dashboard!$K11,Schedule!AH$8:AH$107,"&lt;&gt;" ))</f>
        <v>0</v>
      </c>
      <c r="AP11" s="32">
        <f>IF(Dashboard!$K11="","",COUNTIFS(Schedule!$C$8:$C$107,"=" &amp; Dashboard!$K11,Schedule!AI$8:AI$107,"&lt;&gt;" ))</f>
        <v>0</v>
      </c>
      <c r="AQ11" s="32">
        <f>IF(Dashboard!$K11="","",COUNTIFS(Schedule!$C$8:$C$107,"=" &amp; Dashboard!$K11,Schedule!AJ$8:AJ$107,"&lt;&gt;" ))</f>
        <v>0</v>
      </c>
      <c r="AR11" s="32">
        <f>IF(Dashboard!$K11="","",COUNTIFS(Schedule!$C$8:$C$107,"=" &amp; Dashboard!$K11,Schedule!AK$8:AK$107,"&lt;&gt;" ))</f>
        <v>0</v>
      </c>
      <c r="AS11" s="32">
        <f>IF(Dashboard!$K11="","",COUNTIFS(Schedule!$C$8:$C$107,"=" &amp; Dashboard!$K11,Schedule!AL$8:AL$107,"&lt;&gt;" ))</f>
        <v>0</v>
      </c>
      <c r="AT11" s="34">
        <f>IF(Dashboard!$K11="","",COUNTIFS(Schedule!$C$8:$C$107,"=" &amp; Dashboard!$K11,Schedule!AM$8:AM$107,"&lt;&gt;" ))</f>
        <v>0</v>
      </c>
      <c r="AU11" s="31">
        <f>IF(Dashboard!$K11="","",COUNTIFS(Schedule!$C$8:$C$107,"=" &amp; Dashboard!$K11,Schedule!AN$8:AN$107,"&lt;&gt;" ))</f>
        <v>0</v>
      </c>
      <c r="AV11" s="32">
        <f>IF(Dashboard!$K11="","",COUNTIFS(Schedule!$C$8:$C$107,"=" &amp; Dashboard!$K11,Schedule!AO$8:AO$107,"&lt;&gt;" ))</f>
        <v>0</v>
      </c>
      <c r="AW11" s="32">
        <f>IF(Dashboard!$K11="","",COUNTIFS(Schedule!$C$8:$C$107,"=" &amp; Dashboard!$K11,Schedule!AP$8:AP$107,"&lt;&gt;" ))</f>
        <v>0</v>
      </c>
      <c r="AX11" s="32">
        <f>IF(Dashboard!$K11="","",COUNTIFS(Schedule!$C$8:$C$107,"=" &amp; Dashboard!$K11,Schedule!AQ$8:AQ$107,"&lt;&gt;" ))</f>
        <v>0</v>
      </c>
      <c r="AY11" s="32">
        <f>IF(Dashboard!$K11="","",COUNTIFS(Schedule!$C$8:$C$107,"=" &amp; Dashboard!$K11,Schedule!AR$8:AR$107,"&lt;&gt;" ))</f>
        <v>0</v>
      </c>
      <c r="AZ11" s="32">
        <f>IF(Dashboard!$K11="","",COUNTIFS(Schedule!$C$8:$C$107,"=" &amp; Dashboard!$K11,Schedule!AS$8:AS$107,"&lt;&gt;" ))</f>
        <v>0</v>
      </c>
      <c r="BA11" s="34">
        <f>IF(Dashboard!$K11="","",COUNTIFS(Schedule!$C$8:$C$107,"=" &amp; Dashboard!$K11,Schedule!AT$8:AT$107,"&lt;&gt;" ))</f>
        <v>0</v>
      </c>
    </row>
    <row r="12" spans="1:53" ht="14.1" customHeight="1" x14ac:dyDescent="0.25">
      <c r="A12" s="28"/>
      <c r="B12"/>
      <c r="C12"/>
      <c r="D12"/>
      <c r="E12"/>
      <c r="F12"/>
      <c r="G12"/>
      <c r="H12"/>
      <c r="I12"/>
      <c r="J12" s="133"/>
      <c r="K12" s="55" t="str">
        <f>IF(Lists!J6="","",Lists!J6)</f>
        <v>General Worker</v>
      </c>
      <c r="L12" s="38">
        <f>IF(Dashboard!$K12="","",COUNTIFS(Schedule!$C$8:$C$107,"=" &amp; Dashboard!$K12,Schedule!E$8:E$107,"&lt;&gt;" ))</f>
        <v>0</v>
      </c>
      <c r="M12" s="32">
        <f>IF(Dashboard!$K12="","",COUNTIFS(Schedule!$C$8:$C$107,"=" &amp; Dashboard!$K12,Schedule!F$8:F$107,"&lt;&gt;" ))</f>
        <v>0</v>
      </c>
      <c r="N12" s="32">
        <f>IF(Dashboard!$K12="","",COUNTIFS(Schedule!$C$8:$C$107,"=" &amp; Dashboard!$K12,Schedule!G$8:G$107,"&lt;&gt;" ))</f>
        <v>0</v>
      </c>
      <c r="O12" s="32">
        <f>IF(Dashboard!$K12="","",COUNTIFS(Schedule!$C$8:$C$107,"=" &amp; Dashboard!$K12,Schedule!H$8:H$107,"&lt;&gt;" ))</f>
        <v>0</v>
      </c>
      <c r="P12" s="32">
        <f>IF(Dashboard!$K12="","",COUNTIFS(Schedule!$C$8:$C$107,"=" &amp; Dashboard!$K12,Schedule!I$8:I$107,"&lt;&gt;" ))</f>
        <v>0</v>
      </c>
      <c r="Q12" s="32">
        <f>IF(Dashboard!$K12="","",COUNTIFS(Schedule!$C$8:$C$107,"=" &amp; Dashboard!$K12,Schedule!J$8:J$107,"&lt;&gt;" ))</f>
        <v>0</v>
      </c>
      <c r="R12" s="57">
        <f>IF(Dashboard!$K12="","",COUNTIFS(Schedule!$C$8:$C$107,"=" &amp; Dashboard!$K12,Schedule!K$8:K$107,"&lt;&gt;" ))</f>
        <v>0</v>
      </c>
      <c r="S12" s="31">
        <f>IF(Dashboard!$K12="","",COUNTIFS(Schedule!$C$8:$C$107,"=" &amp; Dashboard!$K12,Schedule!L$8:L$107,"&lt;&gt;" ))</f>
        <v>0</v>
      </c>
      <c r="T12" s="32">
        <f>IF(Dashboard!$K12="","",COUNTIFS(Schedule!$C$8:$C$107,"=" &amp; Dashboard!$K12,Schedule!M$8:M$107,"&lt;&gt;" ))</f>
        <v>0</v>
      </c>
      <c r="U12" s="32">
        <f>IF(Dashboard!$K12="","",COUNTIFS(Schedule!$C$8:$C$107,"=" &amp; Dashboard!$K12,Schedule!N$8:N$107,"&lt;&gt;" ))</f>
        <v>0</v>
      </c>
      <c r="V12" s="32">
        <f>IF(Dashboard!$K12="","",COUNTIFS(Schedule!$C$8:$C$107,"=" &amp; Dashboard!$K12,Schedule!O$8:O$107,"&lt;&gt;" ))</f>
        <v>0</v>
      </c>
      <c r="W12" s="32">
        <f>IF(Dashboard!$K12="","",COUNTIFS(Schedule!$C$8:$C$107,"=" &amp; Dashboard!$K12,Schedule!P$8:P$107,"&lt;&gt;" ))</f>
        <v>0</v>
      </c>
      <c r="X12" s="32">
        <f>IF(Dashboard!$K12="","",COUNTIFS(Schedule!$C$8:$C$107,"=" &amp; Dashboard!$K12,Schedule!Q$8:Q$107,"&lt;&gt;" ))</f>
        <v>0</v>
      </c>
      <c r="Y12" s="33">
        <f>IF(Dashboard!$K12="","",COUNTIFS(Schedule!$C$8:$C$107,"=" &amp; Dashboard!$K12,Schedule!R$8:R$107,"&lt;&gt;" ))</f>
        <v>0</v>
      </c>
      <c r="Z12" s="31">
        <f>IF(Dashboard!$K12="","",COUNTIFS(Schedule!$C$8:$C$107,"=" &amp; Dashboard!$K12,Schedule!S$8:S$107,"&lt;&gt;" ))</f>
        <v>0</v>
      </c>
      <c r="AA12" s="32">
        <f>IF(Dashboard!$K12="","",COUNTIFS(Schedule!$C$8:$C$107,"=" &amp; Dashboard!$K12,Schedule!T$8:T$107,"&lt;&gt;" ))</f>
        <v>0</v>
      </c>
      <c r="AB12" s="32">
        <f>IF(Dashboard!$K12="","",COUNTIFS(Schedule!$C$8:$C$107,"=" &amp; Dashboard!$K12,Schedule!U$8:U$107,"&lt;&gt;" ))</f>
        <v>0</v>
      </c>
      <c r="AC12" s="32">
        <f>IF(Dashboard!$K12="","",COUNTIFS(Schedule!$C$8:$C$107,"=" &amp; Dashboard!$K12,Schedule!V$8:V$107,"&lt;&gt;" ))</f>
        <v>0</v>
      </c>
      <c r="AD12" s="32">
        <f>IF(Dashboard!$K12="","",COUNTIFS(Schedule!$C$8:$C$107,"=" &amp; Dashboard!$K12,Schedule!W$8:W$107,"&lt;&gt;" ))</f>
        <v>0</v>
      </c>
      <c r="AE12" s="32">
        <f>IF(Dashboard!$K12="","",COUNTIFS(Schedule!$C$8:$C$107,"=" &amp; Dashboard!$K12,Schedule!X$8:X$107,"&lt;&gt;" ))</f>
        <v>0</v>
      </c>
      <c r="AF12" s="33">
        <f>IF(Dashboard!$K12="","",COUNTIFS(Schedule!$C$8:$C$107,"=" &amp; Dashboard!$K12,Schedule!Y$8:Y$107,"&lt;&gt;" ))</f>
        <v>0</v>
      </c>
      <c r="AG12" s="31">
        <f>IF(Dashboard!$K12="","",COUNTIFS(Schedule!$C$8:$C$107,"=" &amp; Dashboard!$K12,Schedule!Z$8:Z$107,"&lt;&gt;" ))</f>
        <v>0</v>
      </c>
      <c r="AH12" s="32">
        <f>IF(Dashboard!$K12="","",COUNTIFS(Schedule!$C$8:$C$107,"=" &amp; Dashboard!$K12,Schedule!AA$8:AA$107,"&lt;&gt;" ))</f>
        <v>0</v>
      </c>
      <c r="AI12" s="32">
        <f>IF(Dashboard!$K12="","",COUNTIFS(Schedule!$C$8:$C$107,"=" &amp; Dashboard!$K12,Schedule!AB$8:AB$107,"&lt;&gt;" ))</f>
        <v>0</v>
      </c>
      <c r="AJ12" s="32">
        <f>IF(Dashboard!$K12="","",COUNTIFS(Schedule!$C$8:$C$107,"=" &amp; Dashboard!$K12,Schedule!AC$8:AC$107,"&lt;&gt;" ))</f>
        <v>0</v>
      </c>
      <c r="AK12" s="32">
        <f>IF(Dashboard!$K12="","",COUNTIFS(Schedule!$C$8:$C$107,"=" &amp; Dashboard!$K12,Schedule!AD$8:AD$107,"&lt;&gt;" ))</f>
        <v>0</v>
      </c>
      <c r="AL12" s="32">
        <f>IF(Dashboard!$K12="","",COUNTIFS(Schedule!$C$8:$C$107,"=" &amp; Dashboard!$K12,Schedule!AE$8:AE$107,"&lt;&gt;" ))</f>
        <v>0</v>
      </c>
      <c r="AM12" s="34">
        <f>IF(Dashboard!$K12="","",COUNTIFS(Schedule!$C$8:$C$107,"=" &amp; Dashboard!$K12,Schedule!AF$8:AF$107,"&lt;&gt;" ))</f>
        <v>0</v>
      </c>
      <c r="AN12" s="31">
        <f>IF(Dashboard!$K12="","",COUNTIFS(Schedule!$C$8:$C$107,"=" &amp; Dashboard!$K12,Schedule!AG$8:AG$107,"&lt;&gt;" ))</f>
        <v>0</v>
      </c>
      <c r="AO12" s="32">
        <f>IF(Dashboard!$K12="","",COUNTIFS(Schedule!$C$8:$C$107,"=" &amp; Dashboard!$K12,Schedule!AH$8:AH$107,"&lt;&gt;" ))</f>
        <v>0</v>
      </c>
      <c r="AP12" s="32">
        <f>IF(Dashboard!$K12="","",COUNTIFS(Schedule!$C$8:$C$107,"=" &amp; Dashboard!$K12,Schedule!AI$8:AI$107,"&lt;&gt;" ))</f>
        <v>0</v>
      </c>
      <c r="AQ12" s="32">
        <f>IF(Dashboard!$K12="","",COUNTIFS(Schedule!$C$8:$C$107,"=" &amp; Dashboard!$K12,Schedule!AJ$8:AJ$107,"&lt;&gt;" ))</f>
        <v>0</v>
      </c>
      <c r="AR12" s="32">
        <f>IF(Dashboard!$K12="","",COUNTIFS(Schedule!$C$8:$C$107,"=" &amp; Dashboard!$K12,Schedule!AK$8:AK$107,"&lt;&gt;" ))</f>
        <v>0</v>
      </c>
      <c r="AS12" s="32">
        <f>IF(Dashboard!$K12="","",COUNTIFS(Schedule!$C$8:$C$107,"=" &amp; Dashboard!$K12,Schedule!AL$8:AL$107,"&lt;&gt;" ))</f>
        <v>0</v>
      </c>
      <c r="AT12" s="34">
        <f>IF(Dashboard!$K12="","",COUNTIFS(Schedule!$C$8:$C$107,"=" &amp; Dashboard!$K12,Schedule!AM$8:AM$107,"&lt;&gt;" ))</f>
        <v>0</v>
      </c>
      <c r="AU12" s="31">
        <f>IF(Dashboard!$K12="","",COUNTIFS(Schedule!$C$8:$C$107,"=" &amp; Dashboard!$K12,Schedule!AN$8:AN$107,"&lt;&gt;" ))</f>
        <v>0</v>
      </c>
      <c r="AV12" s="32">
        <f>IF(Dashboard!$K12="","",COUNTIFS(Schedule!$C$8:$C$107,"=" &amp; Dashboard!$K12,Schedule!AO$8:AO$107,"&lt;&gt;" ))</f>
        <v>0</v>
      </c>
      <c r="AW12" s="32">
        <f>IF(Dashboard!$K12="","",COUNTIFS(Schedule!$C$8:$C$107,"=" &amp; Dashboard!$K12,Schedule!AP$8:AP$107,"&lt;&gt;" ))</f>
        <v>0</v>
      </c>
      <c r="AX12" s="32">
        <f>IF(Dashboard!$K12="","",COUNTIFS(Schedule!$C$8:$C$107,"=" &amp; Dashboard!$K12,Schedule!AQ$8:AQ$107,"&lt;&gt;" ))</f>
        <v>0</v>
      </c>
      <c r="AY12" s="32">
        <f>IF(Dashboard!$K12="","",COUNTIFS(Schedule!$C$8:$C$107,"=" &amp; Dashboard!$K12,Schedule!AR$8:AR$107,"&lt;&gt;" ))</f>
        <v>0</v>
      </c>
      <c r="AZ12" s="32">
        <f>IF(Dashboard!$K12="","",COUNTIFS(Schedule!$C$8:$C$107,"=" &amp; Dashboard!$K12,Schedule!AS$8:AS$107,"&lt;&gt;" ))</f>
        <v>0</v>
      </c>
      <c r="BA12" s="34">
        <f>IF(Dashboard!$K12="","",COUNTIFS(Schedule!$C$8:$C$107,"=" &amp; Dashboard!$K12,Schedule!AT$8:AT$107,"&lt;&gt;" ))</f>
        <v>0</v>
      </c>
    </row>
    <row r="13" spans="1:53" ht="14.1" customHeight="1" x14ac:dyDescent="0.25">
      <c r="A13" s="28"/>
      <c r="B13"/>
      <c r="C13"/>
      <c r="D13"/>
      <c r="E13"/>
      <c r="F13"/>
      <c r="G13"/>
      <c r="H13"/>
      <c r="I13"/>
      <c r="J13" s="133"/>
      <c r="K13" s="55" t="str">
        <f>IF(Lists!J7="","",Lists!J7)</f>
        <v>Shift Manager</v>
      </c>
      <c r="L13" s="38">
        <f>IF(Dashboard!$K13="","",COUNTIFS(Schedule!$C$8:$C$107,"=" &amp; Dashboard!$K13,Schedule!E$8:E$107,"&lt;&gt;" ))</f>
        <v>0</v>
      </c>
      <c r="M13" s="32">
        <f>IF(Dashboard!$K13="","",COUNTIFS(Schedule!$C$8:$C$107,"=" &amp; Dashboard!$K13,Schedule!F$8:F$107,"&lt;&gt;" ))</f>
        <v>0</v>
      </c>
      <c r="N13" s="32">
        <f>IF(Dashboard!$K13="","",COUNTIFS(Schedule!$C$8:$C$107,"=" &amp; Dashboard!$K13,Schedule!G$8:G$107,"&lt;&gt;" ))</f>
        <v>0</v>
      </c>
      <c r="O13" s="32">
        <f>IF(Dashboard!$K13="","",COUNTIFS(Schedule!$C$8:$C$107,"=" &amp; Dashboard!$K13,Schedule!H$8:H$107,"&lt;&gt;" ))</f>
        <v>0</v>
      </c>
      <c r="P13" s="32">
        <f>IF(Dashboard!$K13="","",COUNTIFS(Schedule!$C$8:$C$107,"=" &amp; Dashboard!$K13,Schedule!I$8:I$107,"&lt;&gt;" ))</f>
        <v>0</v>
      </c>
      <c r="Q13" s="32">
        <f>IF(Dashboard!$K13="","",COUNTIFS(Schedule!$C$8:$C$107,"=" &amp; Dashboard!$K13,Schedule!J$8:J$107,"&lt;&gt;" ))</f>
        <v>0</v>
      </c>
      <c r="R13" s="57">
        <f>IF(Dashboard!$K13="","",COUNTIFS(Schedule!$C$8:$C$107,"=" &amp; Dashboard!$K13,Schedule!K$8:K$107,"&lt;&gt;" ))</f>
        <v>0</v>
      </c>
      <c r="S13" s="31">
        <f>IF(Dashboard!$K13="","",COUNTIFS(Schedule!$C$8:$C$107,"=" &amp; Dashboard!$K13,Schedule!L$8:L$107,"&lt;&gt;" ))</f>
        <v>0</v>
      </c>
      <c r="T13" s="32">
        <f>IF(Dashboard!$K13="","",COUNTIFS(Schedule!$C$8:$C$107,"=" &amp; Dashboard!$K13,Schedule!M$8:M$107,"&lt;&gt;" ))</f>
        <v>0</v>
      </c>
      <c r="U13" s="32">
        <f>IF(Dashboard!$K13="","",COUNTIFS(Schedule!$C$8:$C$107,"=" &amp; Dashboard!$K13,Schedule!N$8:N$107,"&lt;&gt;" ))</f>
        <v>0</v>
      </c>
      <c r="V13" s="32">
        <f>IF(Dashboard!$K13="","",COUNTIFS(Schedule!$C$8:$C$107,"=" &amp; Dashboard!$K13,Schedule!O$8:O$107,"&lt;&gt;" ))</f>
        <v>0</v>
      </c>
      <c r="W13" s="32">
        <f>IF(Dashboard!$K13="","",COUNTIFS(Schedule!$C$8:$C$107,"=" &amp; Dashboard!$K13,Schedule!P$8:P$107,"&lt;&gt;" ))</f>
        <v>0</v>
      </c>
      <c r="X13" s="32">
        <f>IF(Dashboard!$K13="","",COUNTIFS(Schedule!$C$8:$C$107,"=" &amp; Dashboard!$K13,Schedule!Q$8:Q$107,"&lt;&gt;" ))</f>
        <v>0</v>
      </c>
      <c r="Y13" s="33">
        <f>IF(Dashboard!$K13="","",COUNTIFS(Schedule!$C$8:$C$107,"=" &amp; Dashboard!$K13,Schedule!R$8:R$107,"&lt;&gt;" ))</f>
        <v>0</v>
      </c>
      <c r="Z13" s="31">
        <f>IF(Dashboard!$K13="","",COUNTIFS(Schedule!$C$8:$C$107,"=" &amp; Dashboard!$K13,Schedule!S$8:S$107,"&lt;&gt;" ))</f>
        <v>0</v>
      </c>
      <c r="AA13" s="32">
        <f>IF(Dashboard!$K13="","",COUNTIFS(Schedule!$C$8:$C$107,"=" &amp; Dashboard!$K13,Schedule!T$8:T$107,"&lt;&gt;" ))</f>
        <v>0</v>
      </c>
      <c r="AB13" s="32">
        <f>IF(Dashboard!$K13="","",COUNTIFS(Schedule!$C$8:$C$107,"=" &amp; Dashboard!$K13,Schedule!U$8:U$107,"&lt;&gt;" ))</f>
        <v>0</v>
      </c>
      <c r="AC13" s="32">
        <f>IF(Dashboard!$K13="","",COUNTIFS(Schedule!$C$8:$C$107,"=" &amp; Dashboard!$K13,Schedule!V$8:V$107,"&lt;&gt;" ))</f>
        <v>0</v>
      </c>
      <c r="AD13" s="32">
        <f>IF(Dashboard!$K13="","",COUNTIFS(Schedule!$C$8:$C$107,"=" &amp; Dashboard!$K13,Schedule!W$8:W$107,"&lt;&gt;" ))</f>
        <v>0</v>
      </c>
      <c r="AE13" s="32">
        <f>IF(Dashboard!$K13="","",COUNTIFS(Schedule!$C$8:$C$107,"=" &amp; Dashboard!$K13,Schedule!X$8:X$107,"&lt;&gt;" ))</f>
        <v>0</v>
      </c>
      <c r="AF13" s="33">
        <f>IF(Dashboard!$K13="","",COUNTIFS(Schedule!$C$8:$C$107,"=" &amp; Dashboard!$K13,Schedule!Y$8:Y$107,"&lt;&gt;" ))</f>
        <v>0</v>
      </c>
      <c r="AG13" s="31">
        <f>IF(Dashboard!$K13="","",COUNTIFS(Schedule!$C$8:$C$107,"=" &amp; Dashboard!$K13,Schedule!Z$8:Z$107,"&lt;&gt;" ))</f>
        <v>0</v>
      </c>
      <c r="AH13" s="32">
        <f>IF(Dashboard!$K13="","",COUNTIFS(Schedule!$C$8:$C$107,"=" &amp; Dashboard!$K13,Schedule!AA$8:AA$107,"&lt;&gt;" ))</f>
        <v>0</v>
      </c>
      <c r="AI13" s="32">
        <f>IF(Dashboard!$K13="","",COUNTIFS(Schedule!$C$8:$C$107,"=" &amp; Dashboard!$K13,Schedule!AB$8:AB$107,"&lt;&gt;" ))</f>
        <v>0</v>
      </c>
      <c r="AJ13" s="32">
        <f>IF(Dashboard!$K13="","",COUNTIFS(Schedule!$C$8:$C$107,"=" &amp; Dashboard!$K13,Schedule!AC$8:AC$107,"&lt;&gt;" ))</f>
        <v>0</v>
      </c>
      <c r="AK13" s="32">
        <f>IF(Dashboard!$K13="","",COUNTIFS(Schedule!$C$8:$C$107,"=" &amp; Dashboard!$K13,Schedule!AD$8:AD$107,"&lt;&gt;" ))</f>
        <v>0</v>
      </c>
      <c r="AL13" s="32">
        <f>IF(Dashboard!$K13="","",COUNTIFS(Schedule!$C$8:$C$107,"=" &amp; Dashboard!$K13,Schedule!AE$8:AE$107,"&lt;&gt;" ))</f>
        <v>0</v>
      </c>
      <c r="AM13" s="34">
        <f>IF(Dashboard!$K13="","",COUNTIFS(Schedule!$C$8:$C$107,"=" &amp; Dashboard!$K13,Schedule!AF$8:AF$107,"&lt;&gt;" ))</f>
        <v>0</v>
      </c>
      <c r="AN13" s="31">
        <f>IF(Dashboard!$K13="","",COUNTIFS(Schedule!$C$8:$C$107,"=" &amp; Dashboard!$K13,Schedule!AG$8:AG$107,"&lt;&gt;" ))</f>
        <v>0</v>
      </c>
      <c r="AO13" s="32">
        <f>IF(Dashboard!$K13="","",COUNTIFS(Schedule!$C$8:$C$107,"=" &amp; Dashboard!$K13,Schedule!AH$8:AH$107,"&lt;&gt;" ))</f>
        <v>0</v>
      </c>
      <c r="AP13" s="32">
        <f>IF(Dashboard!$K13="","",COUNTIFS(Schedule!$C$8:$C$107,"=" &amp; Dashboard!$K13,Schedule!AI$8:AI$107,"&lt;&gt;" ))</f>
        <v>0</v>
      </c>
      <c r="AQ13" s="32">
        <f>IF(Dashboard!$K13="","",COUNTIFS(Schedule!$C$8:$C$107,"=" &amp; Dashboard!$K13,Schedule!AJ$8:AJ$107,"&lt;&gt;" ))</f>
        <v>0</v>
      </c>
      <c r="AR13" s="32">
        <f>IF(Dashboard!$K13="","",COUNTIFS(Schedule!$C$8:$C$107,"=" &amp; Dashboard!$K13,Schedule!AK$8:AK$107,"&lt;&gt;" ))</f>
        <v>0</v>
      </c>
      <c r="AS13" s="32">
        <f>IF(Dashboard!$K13="","",COUNTIFS(Schedule!$C$8:$C$107,"=" &amp; Dashboard!$K13,Schedule!AL$8:AL$107,"&lt;&gt;" ))</f>
        <v>0</v>
      </c>
      <c r="AT13" s="34">
        <f>IF(Dashboard!$K13="","",COUNTIFS(Schedule!$C$8:$C$107,"=" &amp; Dashboard!$K13,Schedule!AM$8:AM$107,"&lt;&gt;" ))</f>
        <v>0</v>
      </c>
      <c r="AU13" s="31">
        <f>IF(Dashboard!$K13="","",COUNTIFS(Schedule!$C$8:$C$107,"=" &amp; Dashboard!$K13,Schedule!AN$8:AN$107,"&lt;&gt;" ))</f>
        <v>0</v>
      </c>
      <c r="AV13" s="32">
        <f>IF(Dashboard!$K13="","",COUNTIFS(Schedule!$C$8:$C$107,"=" &amp; Dashboard!$K13,Schedule!AO$8:AO$107,"&lt;&gt;" ))</f>
        <v>0</v>
      </c>
      <c r="AW13" s="32">
        <f>IF(Dashboard!$K13="","",COUNTIFS(Schedule!$C$8:$C$107,"=" &amp; Dashboard!$K13,Schedule!AP$8:AP$107,"&lt;&gt;" ))</f>
        <v>0</v>
      </c>
      <c r="AX13" s="32">
        <f>IF(Dashboard!$K13="","",COUNTIFS(Schedule!$C$8:$C$107,"=" &amp; Dashboard!$K13,Schedule!AQ$8:AQ$107,"&lt;&gt;" ))</f>
        <v>0</v>
      </c>
      <c r="AY13" s="32">
        <f>IF(Dashboard!$K13="","",COUNTIFS(Schedule!$C$8:$C$107,"=" &amp; Dashboard!$K13,Schedule!AR$8:AR$107,"&lt;&gt;" ))</f>
        <v>0</v>
      </c>
      <c r="AZ13" s="32">
        <f>IF(Dashboard!$K13="","",COUNTIFS(Schedule!$C$8:$C$107,"=" &amp; Dashboard!$K13,Schedule!AS$8:AS$107,"&lt;&gt;" ))</f>
        <v>0</v>
      </c>
      <c r="BA13" s="34">
        <f>IF(Dashboard!$K13="","",COUNTIFS(Schedule!$C$8:$C$107,"=" &amp; Dashboard!$K13,Schedule!AT$8:AT$107,"&lt;&gt;" ))</f>
        <v>0</v>
      </c>
    </row>
    <row r="14" spans="1:53" ht="14.1" customHeight="1" x14ac:dyDescent="0.25">
      <c r="A14" s="28"/>
      <c r="B14"/>
      <c r="C14"/>
      <c r="D14"/>
      <c r="E14"/>
      <c r="F14"/>
      <c r="G14"/>
      <c r="H14"/>
      <c r="I14" s="22"/>
      <c r="J14" s="133"/>
      <c r="K14" s="55" t="str">
        <f>IF(Lists!J8="","",Lists!J8)</f>
        <v/>
      </c>
      <c r="L14" s="38" t="str">
        <f>IF(Dashboard!$K14="","",COUNTIFS(Schedule!$C$8:$C$107,"=" &amp; Dashboard!$K14,Schedule!E$8:E$107,"&lt;&gt;" ))</f>
        <v/>
      </c>
      <c r="M14" s="32" t="str">
        <f>IF(Dashboard!$K14="","",COUNTIFS(Schedule!$C$8:$C$107,"=" &amp; Dashboard!$K14,Schedule!F$8:F$107,"&lt;&gt;" ))</f>
        <v/>
      </c>
      <c r="N14" s="32" t="str">
        <f>IF(Dashboard!$K14="","",COUNTIFS(Schedule!$C$8:$C$107,"=" &amp; Dashboard!$K14,Schedule!G$8:G$107,"&lt;&gt;" ))</f>
        <v/>
      </c>
      <c r="O14" s="32" t="str">
        <f>IF(Dashboard!$K14="","",COUNTIFS(Schedule!$C$8:$C$107,"=" &amp; Dashboard!$K14,Schedule!H$8:H$107,"&lt;&gt;" ))</f>
        <v/>
      </c>
      <c r="P14" s="32" t="str">
        <f>IF(Dashboard!$K14="","",COUNTIFS(Schedule!$C$8:$C$107,"=" &amp; Dashboard!$K14,Schedule!I$8:I$107,"&lt;&gt;" ))</f>
        <v/>
      </c>
      <c r="Q14" s="32" t="str">
        <f>IF(Dashboard!$K14="","",COUNTIFS(Schedule!$C$8:$C$107,"=" &amp; Dashboard!$K14,Schedule!J$8:J$107,"&lt;&gt;" ))</f>
        <v/>
      </c>
      <c r="R14" s="57" t="str">
        <f>IF(Dashboard!$K14="","",COUNTIFS(Schedule!$C$8:$C$107,"=" &amp; Dashboard!$K14,Schedule!K$8:K$107,"&lt;&gt;" ))</f>
        <v/>
      </c>
      <c r="S14" s="31" t="str">
        <f>IF(Dashboard!$K14="","",COUNTIFS(Schedule!$C$8:$C$107,"=" &amp; Dashboard!$K14,Schedule!L$8:L$107,"&lt;&gt;" ))</f>
        <v/>
      </c>
      <c r="T14" s="32" t="str">
        <f>IF(Dashboard!$K14="","",COUNTIFS(Schedule!$C$8:$C$107,"=" &amp; Dashboard!$K14,Schedule!M$8:M$107,"&lt;&gt;" ))</f>
        <v/>
      </c>
      <c r="U14" s="32" t="str">
        <f>IF(Dashboard!$K14="","",COUNTIFS(Schedule!$C$8:$C$107,"=" &amp; Dashboard!$K14,Schedule!N$8:N$107,"&lt;&gt;" ))</f>
        <v/>
      </c>
      <c r="V14" s="32" t="str">
        <f>IF(Dashboard!$K14="","",COUNTIFS(Schedule!$C$8:$C$107,"=" &amp; Dashboard!$K14,Schedule!O$8:O$107,"&lt;&gt;" ))</f>
        <v/>
      </c>
      <c r="W14" s="32" t="str">
        <f>IF(Dashboard!$K14="","",COUNTIFS(Schedule!$C$8:$C$107,"=" &amp; Dashboard!$K14,Schedule!P$8:P$107,"&lt;&gt;" ))</f>
        <v/>
      </c>
      <c r="X14" s="32" t="str">
        <f>IF(Dashboard!$K14="","",COUNTIFS(Schedule!$C$8:$C$107,"=" &amp; Dashboard!$K14,Schedule!Q$8:Q$107,"&lt;&gt;" ))</f>
        <v/>
      </c>
      <c r="Y14" s="33" t="str">
        <f>IF(Dashboard!$K14="","",COUNTIFS(Schedule!$C$8:$C$107,"=" &amp; Dashboard!$K14,Schedule!R$8:R$107,"&lt;&gt;" ))</f>
        <v/>
      </c>
      <c r="Z14" s="31" t="str">
        <f>IF(Dashboard!$K14="","",COUNTIFS(Schedule!$C$8:$C$107,"=" &amp; Dashboard!$K14,Schedule!S$8:S$107,"&lt;&gt;" ))</f>
        <v/>
      </c>
      <c r="AA14" s="32" t="str">
        <f>IF(Dashboard!$K14="","",COUNTIFS(Schedule!$C$8:$C$107,"=" &amp; Dashboard!$K14,Schedule!T$8:T$107,"&lt;&gt;" ))</f>
        <v/>
      </c>
      <c r="AB14" s="32" t="str">
        <f>IF(Dashboard!$K14="","",COUNTIFS(Schedule!$C$8:$C$107,"=" &amp; Dashboard!$K14,Schedule!U$8:U$107,"&lt;&gt;" ))</f>
        <v/>
      </c>
      <c r="AC14" s="32" t="str">
        <f>IF(Dashboard!$K14="","",COUNTIFS(Schedule!$C$8:$C$107,"=" &amp; Dashboard!$K14,Schedule!V$8:V$107,"&lt;&gt;" ))</f>
        <v/>
      </c>
      <c r="AD14" s="32" t="str">
        <f>IF(Dashboard!$K14="","",COUNTIFS(Schedule!$C$8:$C$107,"=" &amp; Dashboard!$K14,Schedule!W$8:W$107,"&lt;&gt;" ))</f>
        <v/>
      </c>
      <c r="AE14" s="32" t="str">
        <f>IF(Dashboard!$K14="","",COUNTIFS(Schedule!$C$8:$C$107,"=" &amp; Dashboard!$K14,Schedule!X$8:X$107,"&lt;&gt;" ))</f>
        <v/>
      </c>
      <c r="AF14" s="33" t="str">
        <f>IF(Dashboard!$K14="","",COUNTIFS(Schedule!$C$8:$C$107,"=" &amp; Dashboard!$K14,Schedule!Y$8:Y$107,"&lt;&gt;" ))</f>
        <v/>
      </c>
      <c r="AG14" s="31" t="str">
        <f>IF(Dashboard!$K14="","",COUNTIFS(Schedule!$C$8:$C$107,"=" &amp; Dashboard!$K14,Schedule!Z$8:Z$107,"&lt;&gt;" ))</f>
        <v/>
      </c>
      <c r="AH14" s="32" t="str">
        <f>IF(Dashboard!$K14="","",COUNTIFS(Schedule!$C$8:$C$107,"=" &amp; Dashboard!$K14,Schedule!AA$8:AA$107,"&lt;&gt;" ))</f>
        <v/>
      </c>
      <c r="AI14" s="32" t="str">
        <f>IF(Dashboard!$K14="","",COUNTIFS(Schedule!$C$8:$C$107,"=" &amp; Dashboard!$K14,Schedule!AB$8:AB$107,"&lt;&gt;" ))</f>
        <v/>
      </c>
      <c r="AJ14" s="32" t="str">
        <f>IF(Dashboard!$K14="","",COUNTIFS(Schedule!$C$8:$C$107,"=" &amp; Dashboard!$K14,Schedule!AC$8:AC$107,"&lt;&gt;" ))</f>
        <v/>
      </c>
      <c r="AK14" s="32" t="str">
        <f>IF(Dashboard!$K14="","",COUNTIFS(Schedule!$C$8:$C$107,"=" &amp; Dashboard!$K14,Schedule!AD$8:AD$107,"&lt;&gt;" ))</f>
        <v/>
      </c>
      <c r="AL14" s="32" t="str">
        <f>IF(Dashboard!$K14="","",COUNTIFS(Schedule!$C$8:$C$107,"=" &amp; Dashboard!$K14,Schedule!AE$8:AE$107,"&lt;&gt;" ))</f>
        <v/>
      </c>
      <c r="AM14" s="34" t="str">
        <f>IF(Dashboard!$K14="","",COUNTIFS(Schedule!$C$8:$C$107,"=" &amp; Dashboard!$K14,Schedule!AF$8:AF$107,"&lt;&gt;" ))</f>
        <v/>
      </c>
      <c r="AN14" s="31" t="str">
        <f>IF(Dashboard!$K14="","",COUNTIFS(Schedule!$C$8:$C$107,"=" &amp; Dashboard!$K14,Schedule!AG$8:AG$107,"&lt;&gt;" ))</f>
        <v/>
      </c>
      <c r="AO14" s="32" t="str">
        <f>IF(Dashboard!$K14="","",COUNTIFS(Schedule!$C$8:$C$107,"=" &amp; Dashboard!$K14,Schedule!AH$8:AH$107,"&lt;&gt;" ))</f>
        <v/>
      </c>
      <c r="AP14" s="32" t="str">
        <f>IF(Dashboard!$K14="","",COUNTIFS(Schedule!$C$8:$C$107,"=" &amp; Dashboard!$K14,Schedule!AI$8:AI$107,"&lt;&gt;" ))</f>
        <v/>
      </c>
      <c r="AQ14" s="32" t="str">
        <f>IF(Dashboard!$K14="","",COUNTIFS(Schedule!$C$8:$C$107,"=" &amp; Dashboard!$K14,Schedule!AJ$8:AJ$107,"&lt;&gt;" ))</f>
        <v/>
      </c>
      <c r="AR14" s="32" t="str">
        <f>IF(Dashboard!$K14="","",COUNTIFS(Schedule!$C$8:$C$107,"=" &amp; Dashboard!$K14,Schedule!AK$8:AK$107,"&lt;&gt;" ))</f>
        <v/>
      </c>
      <c r="AS14" s="32" t="str">
        <f>IF(Dashboard!$K14="","",COUNTIFS(Schedule!$C$8:$C$107,"=" &amp; Dashboard!$K14,Schedule!AL$8:AL$107,"&lt;&gt;" ))</f>
        <v/>
      </c>
      <c r="AT14" s="34" t="str">
        <f>IF(Dashboard!$K14="","",COUNTIFS(Schedule!$C$8:$C$107,"=" &amp; Dashboard!$K14,Schedule!AM$8:AM$107,"&lt;&gt;" ))</f>
        <v/>
      </c>
      <c r="AU14" s="31" t="str">
        <f>IF(Dashboard!$K14="","",COUNTIFS(Schedule!$C$8:$C$107,"=" &amp; Dashboard!$K14,Schedule!AN$8:AN$107,"&lt;&gt;" ))</f>
        <v/>
      </c>
      <c r="AV14" s="32" t="str">
        <f>IF(Dashboard!$K14="","",COUNTIFS(Schedule!$C$8:$C$107,"=" &amp; Dashboard!$K14,Schedule!AO$8:AO$107,"&lt;&gt;" ))</f>
        <v/>
      </c>
      <c r="AW14" s="32" t="str">
        <f>IF(Dashboard!$K14="","",COUNTIFS(Schedule!$C$8:$C$107,"=" &amp; Dashboard!$K14,Schedule!AP$8:AP$107,"&lt;&gt;" ))</f>
        <v/>
      </c>
      <c r="AX14" s="32" t="str">
        <f>IF(Dashboard!$K14="","",COUNTIFS(Schedule!$C$8:$C$107,"=" &amp; Dashboard!$K14,Schedule!AQ$8:AQ$107,"&lt;&gt;" ))</f>
        <v/>
      </c>
      <c r="AY14" s="32" t="str">
        <f>IF(Dashboard!$K14="","",COUNTIFS(Schedule!$C$8:$C$107,"=" &amp; Dashboard!$K14,Schedule!AR$8:AR$107,"&lt;&gt;" ))</f>
        <v/>
      </c>
      <c r="AZ14" s="32" t="str">
        <f>IF(Dashboard!$K14="","",COUNTIFS(Schedule!$C$8:$C$107,"=" &amp; Dashboard!$K14,Schedule!AS$8:AS$107,"&lt;&gt;" ))</f>
        <v/>
      </c>
      <c r="BA14" s="34" t="str">
        <f>IF(Dashboard!$K14="","",COUNTIFS(Schedule!$C$8:$C$107,"=" &amp; Dashboard!$K14,Schedule!AT$8:AT$107,"&lt;&gt;" ))</f>
        <v/>
      </c>
    </row>
    <row r="15" spans="1:53" ht="14.1" customHeight="1" x14ac:dyDescent="0.25">
      <c r="A15" s="28"/>
      <c r="B15"/>
      <c r="C15"/>
      <c r="D15"/>
      <c r="E15"/>
      <c r="F15"/>
      <c r="G15"/>
      <c r="H15"/>
      <c r="I15" s="22"/>
      <c r="J15" s="133"/>
      <c r="K15" s="55" t="str">
        <f>IF(Lists!J9="","",Lists!J9)</f>
        <v/>
      </c>
      <c r="L15" s="38" t="str">
        <f>IF(Dashboard!$K15="","",COUNTIFS(Schedule!$C$8:$C$107,"=" &amp; Dashboard!$K15,Schedule!E$8:E$107,"&lt;&gt;" ))</f>
        <v/>
      </c>
      <c r="M15" s="32" t="str">
        <f>IF(Dashboard!$K15="","",COUNTIFS(Schedule!$C$8:$C$107,"=" &amp; Dashboard!$K15,Schedule!F$8:F$107,"&lt;&gt;" ))</f>
        <v/>
      </c>
      <c r="N15" s="32" t="str">
        <f>IF(Dashboard!$K15="","",COUNTIFS(Schedule!$C$8:$C$107,"=" &amp; Dashboard!$K15,Schedule!G$8:G$107,"&lt;&gt;" ))</f>
        <v/>
      </c>
      <c r="O15" s="32" t="str">
        <f>IF(Dashboard!$K15="","",COUNTIFS(Schedule!$C$8:$C$107,"=" &amp; Dashboard!$K15,Schedule!H$8:H$107,"&lt;&gt;" ))</f>
        <v/>
      </c>
      <c r="P15" s="32" t="str">
        <f>IF(Dashboard!$K15="","",COUNTIFS(Schedule!$C$8:$C$107,"=" &amp; Dashboard!$K15,Schedule!I$8:I$107,"&lt;&gt;" ))</f>
        <v/>
      </c>
      <c r="Q15" s="32" t="str">
        <f>IF(Dashboard!$K15="","",COUNTIFS(Schedule!$C$8:$C$107,"=" &amp; Dashboard!$K15,Schedule!J$8:J$107,"&lt;&gt;" ))</f>
        <v/>
      </c>
      <c r="R15" s="57" t="str">
        <f>IF(Dashboard!$K15="","",COUNTIFS(Schedule!$C$8:$C$107,"=" &amp; Dashboard!$K15,Schedule!K$8:K$107,"&lt;&gt;" ))</f>
        <v/>
      </c>
      <c r="S15" s="31" t="str">
        <f>IF(Dashboard!$K15="","",COUNTIFS(Schedule!$C$8:$C$107,"=" &amp; Dashboard!$K15,Schedule!L$8:L$107,"&lt;&gt;" ))</f>
        <v/>
      </c>
      <c r="T15" s="32" t="str">
        <f>IF(Dashboard!$K15="","",COUNTIFS(Schedule!$C$8:$C$107,"=" &amp; Dashboard!$K15,Schedule!M$8:M$107,"&lt;&gt;" ))</f>
        <v/>
      </c>
      <c r="U15" s="32" t="str">
        <f>IF(Dashboard!$K15="","",COUNTIFS(Schedule!$C$8:$C$107,"=" &amp; Dashboard!$K15,Schedule!N$8:N$107,"&lt;&gt;" ))</f>
        <v/>
      </c>
      <c r="V15" s="32" t="str">
        <f>IF(Dashboard!$K15="","",COUNTIFS(Schedule!$C$8:$C$107,"=" &amp; Dashboard!$K15,Schedule!O$8:O$107,"&lt;&gt;" ))</f>
        <v/>
      </c>
      <c r="W15" s="32" t="str">
        <f>IF(Dashboard!$K15="","",COUNTIFS(Schedule!$C$8:$C$107,"=" &amp; Dashboard!$K15,Schedule!P$8:P$107,"&lt;&gt;" ))</f>
        <v/>
      </c>
      <c r="X15" s="32" t="str">
        <f>IF(Dashboard!$K15="","",COUNTIFS(Schedule!$C$8:$C$107,"=" &amp; Dashboard!$K15,Schedule!Q$8:Q$107,"&lt;&gt;" ))</f>
        <v/>
      </c>
      <c r="Y15" s="33" t="str">
        <f>IF(Dashboard!$K15="","",COUNTIFS(Schedule!$C$8:$C$107,"=" &amp; Dashboard!$K15,Schedule!R$8:R$107,"&lt;&gt;" ))</f>
        <v/>
      </c>
      <c r="Z15" s="31" t="str">
        <f>IF(Dashboard!$K15="","",COUNTIFS(Schedule!$C$8:$C$107,"=" &amp; Dashboard!$K15,Schedule!S$8:S$107,"&lt;&gt;" ))</f>
        <v/>
      </c>
      <c r="AA15" s="32" t="str">
        <f>IF(Dashboard!$K15="","",COUNTIFS(Schedule!$C$8:$C$107,"=" &amp; Dashboard!$K15,Schedule!T$8:T$107,"&lt;&gt;" ))</f>
        <v/>
      </c>
      <c r="AB15" s="32" t="str">
        <f>IF(Dashboard!$K15="","",COUNTIFS(Schedule!$C$8:$C$107,"=" &amp; Dashboard!$K15,Schedule!U$8:U$107,"&lt;&gt;" ))</f>
        <v/>
      </c>
      <c r="AC15" s="32" t="str">
        <f>IF(Dashboard!$K15="","",COUNTIFS(Schedule!$C$8:$C$107,"=" &amp; Dashboard!$K15,Schedule!V$8:V$107,"&lt;&gt;" ))</f>
        <v/>
      </c>
      <c r="AD15" s="32" t="str">
        <f>IF(Dashboard!$K15="","",COUNTIFS(Schedule!$C$8:$C$107,"=" &amp; Dashboard!$K15,Schedule!W$8:W$107,"&lt;&gt;" ))</f>
        <v/>
      </c>
      <c r="AE15" s="32" t="str">
        <f>IF(Dashboard!$K15="","",COUNTIFS(Schedule!$C$8:$C$107,"=" &amp; Dashboard!$K15,Schedule!X$8:X$107,"&lt;&gt;" ))</f>
        <v/>
      </c>
      <c r="AF15" s="33" t="str">
        <f>IF(Dashboard!$K15="","",COUNTIFS(Schedule!$C$8:$C$107,"=" &amp; Dashboard!$K15,Schedule!Y$8:Y$107,"&lt;&gt;" ))</f>
        <v/>
      </c>
      <c r="AG15" s="31" t="str">
        <f>IF(Dashboard!$K15="","",COUNTIFS(Schedule!$C$8:$C$107,"=" &amp; Dashboard!$K15,Schedule!Z$8:Z$107,"&lt;&gt;" ))</f>
        <v/>
      </c>
      <c r="AH15" s="32" t="str">
        <f>IF(Dashboard!$K15="","",COUNTIFS(Schedule!$C$8:$C$107,"=" &amp; Dashboard!$K15,Schedule!AA$8:AA$107,"&lt;&gt;" ))</f>
        <v/>
      </c>
      <c r="AI15" s="32" t="str">
        <f>IF(Dashboard!$K15="","",COUNTIFS(Schedule!$C$8:$C$107,"=" &amp; Dashboard!$K15,Schedule!AB$8:AB$107,"&lt;&gt;" ))</f>
        <v/>
      </c>
      <c r="AJ15" s="32" t="str">
        <f>IF(Dashboard!$K15="","",COUNTIFS(Schedule!$C$8:$C$107,"=" &amp; Dashboard!$K15,Schedule!AC$8:AC$107,"&lt;&gt;" ))</f>
        <v/>
      </c>
      <c r="AK15" s="32" t="str">
        <f>IF(Dashboard!$K15="","",COUNTIFS(Schedule!$C$8:$C$107,"=" &amp; Dashboard!$K15,Schedule!AD$8:AD$107,"&lt;&gt;" ))</f>
        <v/>
      </c>
      <c r="AL15" s="32" t="str">
        <f>IF(Dashboard!$K15="","",COUNTIFS(Schedule!$C$8:$C$107,"=" &amp; Dashboard!$K15,Schedule!AE$8:AE$107,"&lt;&gt;" ))</f>
        <v/>
      </c>
      <c r="AM15" s="34" t="str">
        <f>IF(Dashboard!$K15="","",COUNTIFS(Schedule!$C$8:$C$107,"=" &amp; Dashboard!$K15,Schedule!AF$8:AF$107,"&lt;&gt;" ))</f>
        <v/>
      </c>
      <c r="AN15" s="31" t="str">
        <f>IF(Dashboard!$K15="","",COUNTIFS(Schedule!$C$8:$C$107,"=" &amp; Dashboard!$K15,Schedule!AG$8:AG$107,"&lt;&gt;" ))</f>
        <v/>
      </c>
      <c r="AO15" s="32" t="str">
        <f>IF(Dashboard!$K15="","",COUNTIFS(Schedule!$C$8:$C$107,"=" &amp; Dashboard!$K15,Schedule!AH$8:AH$107,"&lt;&gt;" ))</f>
        <v/>
      </c>
      <c r="AP15" s="32" t="str">
        <f>IF(Dashboard!$K15="","",COUNTIFS(Schedule!$C$8:$C$107,"=" &amp; Dashboard!$K15,Schedule!AI$8:AI$107,"&lt;&gt;" ))</f>
        <v/>
      </c>
      <c r="AQ15" s="32" t="str">
        <f>IF(Dashboard!$K15="","",COUNTIFS(Schedule!$C$8:$C$107,"=" &amp; Dashboard!$K15,Schedule!AJ$8:AJ$107,"&lt;&gt;" ))</f>
        <v/>
      </c>
      <c r="AR15" s="32" t="str">
        <f>IF(Dashboard!$K15="","",COUNTIFS(Schedule!$C$8:$C$107,"=" &amp; Dashboard!$K15,Schedule!AK$8:AK$107,"&lt;&gt;" ))</f>
        <v/>
      </c>
      <c r="AS15" s="32" t="str">
        <f>IF(Dashboard!$K15="","",COUNTIFS(Schedule!$C$8:$C$107,"=" &amp; Dashboard!$K15,Schedule!AL$8:AL$107,"&lt;&gt;" ))</f>
        <v/>
      </c>
      <c r="AT15" s="34" t="str">
        <f>IF(Dashboard!$K15="","",COUNTIFS(Schedule!$C$8:$C$107,"=" &amp; Dashboard!$K15,Schedule!AM$8:AM$107,"&lt;&gt;" ))</f>
        <v/>
      </c>
      <c r="AU15" s="31" t="str">
        <f>IF(Dashboard!$K15="","",COUNTIFS(Schedule!$C$8:$C$107,"=" &amp; Dashboard!$K15,Schedule!AN$8:AN$107,"&lt;&gt;" ))</f>
        <v/>
      </c>
      <c r="AV15" s="32" t="str">
        <f>IF(Dashboard!$K15="","",COUNTIFS(Schedule!$C$8:$C$107,"=" &amp; Dashboard!$K15,Schedule!AO$8:AO$107,"&lt;&gt;" ))</f>
        <v/>
      </c>
      <c r="AW15" s="32" t="str">
        <f>IF(Dashboard!$K15="","",COUNTIFS(Schedule!$C$8:$C$107,"=" &amp; Dashboard!$K15,Schedule!AP$8:AP$107,"&lt;&gt;" ))</f>
        <v/>
      </c>
      <c r="AX15" s="32" t="str">
        <f>IF(Dashboard!$K15="","",COUNTIFS(Schedule!$C$8:$C$107,"=" &amp; Dashboard!$K15,Schedule!AQ$8:AQ$107,"&lt;&gt;" ))</f>
        <v/>
      </c>
      <c r="AY15" s="32" t="str">
        <f>IF(Dashboard!$K15="","",COUNTIFS(Schedule!$C$8:$C$107,"=" &amp; Dashboard!$K15,Schedule!AR$8:AR$107,"&lt;&gt;" ))</f>
        <v/>
      </c>
      <c r="AZ15" s="32" t="str">
        <f>IF(Dashboard!$K15="","",COUNTIFS(Schedule!$C$8:$C$107,"=" &amp; Dashboard!$K15,Schedule!AS$8:AS$107,"&lt;&gt;" ))</f>
        <v/>
      </c>
      <c r="BA15" s="34" t="str">
        <f>IF(Dashboard!$K15="","",COUNTIFS(Schedule!$C$8:$C$107,"=" &amp; Dashboard!$K15,Schedule!AT$8:AT$107,"&lt;&gt;" ))</f>
        <v/>
      </c>
    </row>
    <row r="16" spans="1:53" ht="14.1" customHeight="1" thickBot="1" x14ac:dyDescent="0.3">
      <c r="A16" s="28"/>
      <c r="B16"/>
      <c r="C16"/>
      <c r="D16"/>
      <c r="E16"/>
      <c r="F16"/>
      <c r="G16"/>
      <c r="H16"/>
      <c r="I16" s="7"/>
      <c r="J16" s="134"/>
      <c r="K16" s="58" t="str">
        <f>IF(Lists!J10="","",Lists!J10)</f>
        <v/>
      </c>
      <c r="L16" s="50" t="str">
        <f>IF(Dashboard!$K16="","",COUNTIFS(Schedule!$C$8:$C$107,"=" &amp; Dashboard!$K16,Schedule!E$8:E$107,"&lt;&gt;" ))</f>
        <v/>
      </c>
      <c r="M16" s="51" t="str">
        <f>IF(Dashboard!$K16="","",COUNTIFS(Schedule!$C$8:$C$107,"=" &amp; Dashboard!$K16,Schedule!F$8:F$107,"&lt;&gt;" ))</f>
        <v/>
      </c>
      <c r="N16" s="51" t="str">
        <f>IF(Dashboard!$K16="","",COUNTIFS(Schedule!$C$8:$C$107,"=" &amp; Dashboard!$K16,Schedule!G$8:G$107,"&lt;&gt;" ))</f>
        <v/>
      </c>
      <c r="O16" s="51" t="str">
        <f>IF(Dashboard!$K16="","",COUNTIFS(Schedule!$C$8:$C$107,"=" &amp; Dashboard!$K16,Schedule!H$8:H$107,"&lt;&gt;" ))</f>
        <v/>
      </c>
      <c r="P16" s="51" t="str">
        <f>IF(Dashboard!$K16="","",COUNTIFS(Schedule!$C$8:$C$107,"=" &amp; Dashboard!$K16,Schedule!I$8:I$107,"&lt;&gt;" ))</f>
        <v/>
      </c>
      <c r="Q16" s="51" t="str">
        <f>IF(Dashboard!$K16="","",COUNTIFS(Schedule!$C$8:$C$107,"=" &amp; Dashboard!$K16,Schedule!J$8:J$107,"&lt;&gt;" ))</f>
        <v/>
      </c>
      <c r="R16" s="59" t="str">
        <f>IF(Dashboard!$K16="","",COUNTIFS(Schedule!$C$8:$C$107,"=" &amp; Dashboard!$K16,Schedule!K$8:K$107,"&lt;&gt;" ))</f>
        <v/>
      </c>
      <c r="S16" s="53" t="str">
        <f>IF(Dashboard!$K16="","",COUNTIFS(Schedule!$C$8:$C$107,"=" &amp; Dashboard!$K16,Schedule!L$8:L$107,"&lt;&gt;" ))</f>
        <v/>
      </c>
      <c r="T16" s="51" t="str">
        <f>IF(Dashboard!$K16="","",COUNTIFS(Schedule!$C$8:$C$107,"=" &amp; Dashboard!$K16,Schedule!M$8:M$107,"&lt;&gt;" ))</f>
        <v/>
      </c>
      <c r="U16" s="51" t="str">
        <f>IF(Dashboard!$K16="","",COUNTIFS(Schedule!$C$8:$C$107,"=" &amp; Dashboard!$K16,Schedule!N$8:N$107,"&lt;&gt;" ))</f>
        <v/>
      </c>
      <c r="V16" s="51" t="str">
        <f>IF(Dashboard!$K16="","",COUNTIFS(Schedule!$C$8:$C$107,"=" &amp; Dashboard!$K16,Schedule!O$8:O$107,"&lt;&gt;" ))</f>
        <v/>
      </c>
      <c r="W16" s="51" t="str">
        <f>IF(Dashboard!$K16="","",COUNTIFS(Schedule!$C$8:$C$107,"=" &amp; Dashboard!$K16,Schedule!P$8:P$107,"&lt;&gt;" ))</f>
        <v/>
      </c>
      <c r="X16" s="51" t="str">
        <f>IF(Dashboard!$K16="","",COUNTIFS(Schedule!$C$8:$C$107,"=" &amp; Dashboard!$K16,Schedule!Q$8:Q$107,"&lt;&gt;" ))</f>
        <v/>
      </c>
      <c r="Y16" s="52" t="str">
        <f>IF(Dashboard!$K16="","",COUNTIFS(Schedule!$C$8:$C$107,"=" &amp; Dashboard!$K16,Schedule!R$8:R$107,"&lt;&gt;" ))</f>
        <v/>
      </c>
      <c r="Z16" s="53" t="str">
        <f>IF(Dashboard!$K16="","",COUNTIFS(Schedule!$C$8:$C$107,"=" &amp; Dashboard!$K16,Schedule!S$8:S$107,"&lt;&gt;" ))</f>
        <v/>
      </c>
      <c r="AA16" s="51" t="str">
        <f>IF(Dashboard!$K16="","",COUNTIFS(Schedule!$C$8:$C$107,"=" &amp; Dashboard!$K16,Schedule!T$8:T$107,"&lt;&gt;" ))</f>
        <v/>
      </c>
      <c r="AB16" s="51" t="str">
        <f>IF(Dashboard!$K16="","",COUNTIFS(Schedule!$C$8:$C$107,"=" &amp; Dashboard!$K16,Schedule!U$8:U$107,"&lt;&gt;" ))</f>
        <v/>
      </c>
      <c r="AC16" s="51" t="str">
        <f>IF(Dashboard!$K16="","",COUNTIFS(Schedule!$C$8:$C$107,"=" &amp; Dashboard!$K16,Schedule!V$8:V$107,"&lt;&gt;" ))</f>
        <v/>
      </c>
      <c r="AD16" s="51" t="str">
        <f>IF(Dashboard!$K16="","",COUNTIFS(Schedule!$C$8:$C$107,"=" &amp; Dashboard!$K16,Schedule!W$8:W$107,"&lt;&gt;" ))</f>
        <v/>
      </c>
      <c r="AE16" s="51" t="str">
        <f>IF(Dashboard!$K16="","",COUNTIFS(Schedule!$C$8:$C$107,"=" &amp; Dashboard!$K16,Schedule!X$8:X$107,"&lt;&gt;" ))</f>
        <v/>
      </c>
      <c r="AF16" s="52" t="str">
        <f>IF(Dashboard!$K16="","",COUNTIFS(Schedule!$C$8:$C$107,"=" &amp; Dashboard!$K16,Schedule!Y$8:Y$107,"&lt;&gt;" ))</f>
        <v/>
      </c>
      <c r="AG16" s="53" t="str">
        <f>IF(Dashboard!$K16="","",COUNTIFS(Schedule!$C$8:$C$107,"=" &amp; Dashboard!$K16,Schedule!Z$8:Z$107,"&lt;&gt;" ))</f>
        <v/>
      </c>
      <c r="AH16" s="51" t="str">
        <f>IF(Dashboard!$K16="","",COUNTIFS(Schedule!$C$8:$C$107,"=" &amp; Dashboard!$K16,Schedule!AA$8:AA$107,"&lt;&gt;" ))</f>
        <v/>
      </c>
      <c r="AI16" s="51" t="str">
        <f>IF(Dashboard!$K16="","",COUNTIFS(Schedule!$C$8:$C$107,"=" &amp; Dashboard!$K16,Schedule!AB$8:AB$107,"&lt;&gt;" ))</f>
        <v/>
      </c>
      <c r="AJ16" s="51" t="str">
        <f>IF(Dashboard!$K16="","",COUNTIFS(Schedule!$C$8:$C$107,"=" &amp; Dashboard!$K16,Schedule!AC$8:AC$107,"&lt;&gt;" ))</f>
        <v/>
      </c>
      <c r="AK16" s="51" t="str">
        <f>IF(Dashboard!$K16="","",COUNTIFS(Schedule!$C$8:$C$107,"=" &amp; Dashboard!$K16,Schedule!AD$8:AD$107,"&lt;&gt;" ))</f>
        <v/>
      </c>
      <c r="AL16" s="51" t="str">
        <f>IF(Dashboard!$K16="","",COUNTIFS(Schedule!$C$8:$C$107,"=" &amp; Dashboard!$K16,Schedule!AE$8:AE$107,"&lt;&gt;" ))</f>
        <v/>
      </c>
      <c r="AM16" s="54" t="str">
        <f>IF(Dashboard!$K16="","",COUNTIFS(Schedule!$C$8:$C$107,"=" &amp; Dashboard!$K16,Schedule!AF$8:AF$107,"&lt;&gt;" ))</f>
        <v/>
      </c>
      <c r="AN16" s="53" t="str">
        <f>IF(Dashboard!$K16="","",COUNTIFS(Schedule!$C$8:$C$107,"=" &amp; Dashboard!$K16,Schedule!AG$8:AG$107,"&lt;&gt;" ))</f>
        <v/>
      </c>
      <c r="AO16" s="51" t="str">
        <f>IF(Dashboard!$K16="","",COUNTIFS(Schedule!$C$8:$C$107,"=" &amp; Dashboard!$K16,Schedule!AH$8:AH$107,"&lt;&gt;" ))</f>
        <v/>
      </c>
      <c r="AP16" s="51" t="str">
        <f>IF(Dashboard!$K16="","",COUNTIFS(Schedule!$C$8:$C$107,"=" &amp; Dashboard!$K16,Schedule!AI$8:AI$107,"&lt;&gt;" ))</f>
        <v/>
      </c>
      <c r="AQ16" s="51" t="str">
        <f>IF(Dashboard!$K16="","",COUNTIFS(Schedule!$C$8:$C$107,"=" &amp; Dashboard!$K16,Schedule!AJ$8:AJ$107,"&lt;&gt;" ))</f>
        <v/>
      </c>
      <c r="AR16" s="51" t="str">
        <f>IF(Dashboard!$K16="","",COUNTIFS(Schedule!$C$8:$C$107,"=" &amp; Dashboard!$K16,Schedule!AK$8:AK$107,"&lt;&gt;" ))</f>
        <v/>
      </c>
      <c r="AS16" s="51" t="str">
        <f>IF(Dashboard!$K16="","",COUNTIFS(Schedule!$C$8:$C$107,"=" &amp; Dashboard!$K16,Schedule!AL$8:AL$107,"&lt;&gt;" ))</f>
        <v/>
      </c>
      <c r="AT16" s="54" t="str">
        <f>IF(Dashboard!$K16="","",COUNTIFS(Schedule!$C$8:$C$107,"=" &amp; Dashboard!$K16,Schedule!AM$8:AM$107,"&lt;&gt;" ))</f>
        <v/>
      </c>
      <c r="AU16" s="53" t="str">
        <f>IF(Dashboard!$K16="","",COUNTIFS(Schedule!$C$8:$C$107,"=" &amp; Dashboard!$K16,Schedule!AN$8:AN$107,"&lt;&gt;" ))</f>
        <v/>
      </c>
      <c r="AV16" s="51" t="str">
        <f>IF(Dashboard!$K16="","",COUNTIFS(Schedule!$C$8:$C$107,"=" &amp; Dashboard!$K16,Schedule!AO$8:AO$107,"&lt;&gt;" ))</f>
        <v/>
      </c>
      <c r="AW16" s="51" t="str">
        <f>IF(Dashboard!$K16="","",COUNTIFS(Schedule!$C$8:$C$107,"=" &amp; Dashboard!$K16,Schedule!AP$8:AP$107,"&lt;&gt;" ))</f>
        <v/>
      </c>
      <c r="AX16" s="51" t="str">
        <f>IF(Dashboard!$K16="","",COUNTIFS(Schedule!$C$8:$C$107,"=" &amp; Dashboard!$K16,Schedule!AQ$8:AQ$107,"&lt;&gt;" ))</f>
        <v/>
      </c>
      <c r="AY16" s="51" t="str">
        <f>IF(Dashboard!$K16="","",COUNTIFS(Schedule!$C$8:$C$107,"=" &amp; Dashboard!$K16,Schedule!AR$8:AR$107,"&lt;&gt;" ))</f>
        <v/>
      </c>
      <c r="AZ16" s="51" t="str">
        <f>IF(Dashboard!$K16="","",COUNTIFS(Schedule!$C$8:$C$107,"=" &amp; Dashboard!$K16,Schedule!AS$8:AS$107,"&lt;&gt;" ))</f>
        <v/>
      </c>
      <c r="BA16" s="54" t="str">
        <f>IF(Dashboard!$K16="","",COUNTIFS(Schedule!$C$8:$C$107,"=" &amp; Dashboard!$K16,Schedule!AT$8:AT$107,"&lt;&gt;" ))</f>
        <v/>
      </c>
    </row>
    <row r="17" spans="1:53" ht="14.1" customHeight="1" x14ac:dyDescent="0.25">
      <c r="A17" s="28"/>
      <c r="B17"/>
      <c r="C17"/>
      <c r="D17"/>
      <c r="E17"/>
      <c r="F17"/>
      <c r="G17"/>
      <c r="H17"/>
      <c r="I17" s="7"/>
      <c r="J17" s="135" t="s">
        <v>42</v>
      </c>
      <c r="K17" s="60" t="str">
        <f>IF(Lists!J5="","",Lists!J5)</f>
        <v>Supervisor</v>
      </c>
      <c r="L17" s="61">
        <f>IF(Dashboard!$K17="","",COUNTIFS(Schedule!$C$116:$C$215,"=" &amp; Dashboard!$K17,Schedule!E$116:E$215,"&lt;&gt;" ))</f>
        <v>0</v>
      </c>
      <c r="M17" s="62">
        <f>IF(Dashboard!$K17="","",COUNTIFS(Schedule!$C$116:$C$215,"=" &amp; Dashboard!$K17,Schedule!F$116:F$215,"&lt;&gt;" ))</f>
        <v>0</v>
      </c>
      <c r="N17" s="62">
        <f>IF(Dashboard!$K17="","",COUNTIFS(Schedule!$C$116:$C$215,"=" &amp; Dashboard!$K17,Schedule!G$116:G$215,"&lt;&gt;" ))</f>
        <v>0</v>
      </c>
      <c r="O17" s="62">
        <f>IF(Dashboard!$K17="","",COUNTIFS(Schedule!$C$116:$C$215,"=" &amp; Dashboard!$K17,Schedule!H$116:H$215,"&lt;&gt;" ))</f>
        <v>0</v>
      </c>
      <c r="P17" s="62">
        <f>IF(Dashboard!$K17="","",COUNTIFS(Schedule!$C$116:$C$215,"=" &amp; Dashboard!$K17,Schedule!I$116:I$215,"&lt;&gt;" ))</f>
        <v>0</v>
      </c>
      <c r="Q17" s="62">
        <f>IF(Dashboard!$K17="","",COUNTIFS(Schedule!$C$116:$C$215,"=" &amp; Dashboard!$K17,Schedule!J$116:J$215,"&lt;&gt;" ))</f>
        <v>0</v>
      </c>
      <c r="R17" s="63">
        <f>IF(Dashboard!$K17="","",COUNTIFS(Schedule!$C$116:$C$215,"=" &amp; Dashboard!$K17,Schedule!K$116:K$215,"&lt;&gt;" ))</f>
        <v>0</v>
      </c>
      <c r="S17" s="48">
        <f>IF(Dashboard!$K17="","",COUNTIFS(Schedule!$C$116:$C$215,"=" &amp; Dashboard!$K17,Schedule!L$116:L$215,"&lt;&gt;" ))</f>
        <v>0</v>
      </c>
      <c r="T17" s="39">
        <f>IF(Dashboard!$K17="","",COUNTIFS(Schedule!$C$116:$C$215,"=" &amp; Dashboard!$K17,Schedule!M$116:M$215,"&lt;&gt;" ))</f>
        <v>0</v>
      </c>
      <c r="U17" s="39">
        <f>IF(Dashboard!$K17="","",COUNTIFS(Schedule!$C$116:$C$215,"=" &amp; Dashboard!$K17,Schedule!N$116:N$215,"&lt;&gt;" ))</f>
        <v>0</v>
      </c>
      <c r="V17" s="39">
        <f>IF(Dashboard!$K17="","",COUNTIFS(Schedule!$C$116:$C$215,"=" &amp; Dashboard!$K17,Schedule!O$116:O$215,"&lt;&gt;" ))</f>
        <v>0</v>
      </c>
      <c r="W17" s="39">
        <f>IF(Dashboard!$K17="","",COUNTIFS(Schedule!$C$116:$C$215,"=" &amp; Dashboard!$K17,Schedule!P$116:P$215,"&lt;&gt;" ))</f>
        <v>0</v>
      </c>
      <c r="X17" s="39">
        <f>IF(Dashboard!$K17="","",COUNTIFS(Schedule!$C$116:$C$215,"=" &amp; Dashboard!$K17,Schedule!Q$116:Q$215,"&lt;&gt;" ))</f>
        <v>0</v>
      </c>
      <c r="Y17" s="47">
        <f>IF(Dashboard!$K17="","",COUNTIFS(Schedule!$C$116:$C$215,"=" &amp; Dashboard!$K17,Schedule!R$116:R$215,"&lt;&gt;" ))</f>
        <v>0</v>
      </c>
      <c r="Z17" s="48">
        <f>IF(Dashboard!$K17="","",COUNTIFS(Schedule!$C$116:$C$215,"=" &amp; Dashboard!$K17,Schedule!S$116:S$215,"&lt;&gt;" ))</f>
        <v>0</v>
      </c>
      <c r="AA17" s="39">
        <f>IF(Dashboard!$K17="","",COUNTIFS(Schedule!$C$116:$C$215,"=" &amp; Dashboard!$K17,Schedule!T$116:T$215,"&lt;&gt;" ))</f>
        <v>0</v>
      </c>
      <c r="AB17" s="39">
        <f>IF(Dashboard!$K17="","",COUNTIFS(Schedule!$C$116:$C$215,"=" &amp; Dashboard!$K17,Schedule!U$116:U$215,"&lt;&gt;" ))</f>
        <v>0</v>
      </c>
      <c r="AC17" s="39">
        <f>IF(Dashboard!$K17="","",COUNTIFS(Schedule!$C$116:$C$215,"=" &amp; Dashboard!$K17,Schedule!V$116:V$215,"&lt;&gt;" ))</f>
        <v>0</v>
      </c>
      <c r="AD17" s="39">
        <f>IF(Dashboard!$K17="","",COUNTIFS(Schedule!$C$116:$C$215,"=" &amp; Dashboard!$K17,Schedule!W$116:W$215,"&lt;&gt;" ))</f>
        <v>0</v>
      </c>
      <c r="AE17" s="39">
        <f>IF(Dashboard!$K17="","",COUNTIFS(Schedule!$C$116:$C$215,"=" &amp; Dashboard!$K17,Schedule!X$116:X$215,"&lt;&gt;" ))</f>
        <v>0</v>
      </c>
      <c r="AF17" s="47">
        <f>IF(Dashboard!$K17="","",COUNTIFS(Schedule!$C$116:$C$215,"=" &amp; Dashboard!$K17,Schedule!Y$116:Y$215,"&lt;&gt;" ))</f>
        <v>0</v>
      </c>
      <c r="AG17" s="48">
        <f>IF(Dashboard!$K17="","",COUNTIFS(Schedule!$C$116:$C$215,"=" &amp; Dashboard!$K17,Schedule!Z$116:Z$215,"&lt;&gt;" ))</f>
        <v>0</v>
      </c>
      <c r="AH17" s="39">
        <f>IF(Dashboard!$K17="","",COUNTIFS(Schedule!$C$116:$C$215,"=" &amp; Dashboard!$K17,Schedule!AA$116:AA$215,"&lt;&gt;" ))</f>
        <v>0</v>
      </c>
      <c r="AI17" s="39">
        <f>IF(Dashboard!$K17="","",COUNTIFS(Schedule!$C$116:$C$215,"=" &amp; Dashboard!$K17,Schedule!AB$116:AB$215,"&lt;&gt;" ))</f>
        <v>0</v>
      </c>
      <c r="AJ17" s="39">
        <f>IF(Dashboard!$K17="","",COUNTIFS(Schedule!$C$116:$C$215,"=" &amp; Dashboard!$K17,Schedule!AC$116:AC$215,"&lt;&gt;" ))</f>
        <v>0</v>
      </c>
      <c r="AK17" s="39">
        <f>IF(Dashboard!$K17="","",COUNTIFS(Schedule!$C$116:$C$215,"=" &amp; Dashboard!$K17,Schedule!AD$116:AD$215,"&lt;&gt;" ))</f>
        <v>0</v>
      </c>
      <c r="AL17" s="39">
        <f>IF(Dashboard!$K17="","",COUNTIFS(Schedule!$C$116:$C$215,"=" &amp; Dashboard!$K17,Schedule!AE$116:AE$215,"&lt;&gt;" ))</f>
        <v>0</v>
      </c>
      <c r="AM17" s="49">
        <f>IF(Dashboard!$K17="","",COUNTIFS(Schedule!$C$116:$C$215,"=" &amp; Dashboard!$K17,Schedule!AF$116:AF$215,"&lt;&gt;" ))</f>
        <v>0</v>
      </c>
      <c r="AN17" s="48">
        <f>IF(Dashboard!$K17="","",COUNTIFS(Schedule!$C$116:$C$215,"=" &amp; Dashboard!$K17,Schedule!AG$116:AG$215,"&lt;&gt;" ))</f>
        <v>0</v>
      </c>
      <c r="AO17" s="39">
        <f>IF(Dashboard!$K17="","",COUNTIFS(Schedule!$C$116:$C$215,"=" &amp; Dashboard!$K17,Schedule!AH$116:AH$215,"&lt;&gt;" ))</f>
        <v>0</v>
      </c>
      <c r="AP17" s="39">
        <f>IF(Dashboard!$K17="","",COUNTIFS(Schedule!$C$116:$C$215,"=" &amp; Dashboard!$K17,Schedule!AI$116:AI$215,"&lt;&gt;" ))</f>
        <v>0</v>
      </c>
      <c r="AQ17" s="39">
        <f>IF(Dashboard!$K17="","",COUNTIFS(Schedule!$C$116:$C$215,"=" &amp; Dashboard!$K17,Schedule!AJ$116:AJ$215,"&lt;&gt;" ))</f>
        <v>0</v>
      </c>
      <c r="AR17" s="39">
        <f>IF(Dashboard!$K17="","",COUNTIFS(Schedule!$C$116:$C$215,"=" &amp; Dashboard!$K17,Schedule!AK$116:AK$215,"&lt;&gt;" ))</f>
        <v>0</v>
      </c>
      <c r="AS17" s="39">
        <f>IF(Dashboard!$K17="","",COUNTIFS(Schedule!$C$116:$C$215,"=" &amp; Dashboard!$K17,Schedule!AL$116:AL$215,"&lt;&gt;" ))</f>
        <v>0</v>
      </c>
      <c r="AT17" s="49">
        <f>IF(Dashboard!$K17="","",COUNTIFS(Schedule!$C$116:$C$215,"=" &amp; Dashboard!$K17,Schedule!AM$116:AM$215,"&lt;&gt;" ))</f>
        <v>0</v>
      </c>
      <c r="AU17" s="48">
        <f>IF(Dashboard!$K17="","",COUNTIFS(Schedule!$C$116:$C$215,"=" &amp; Dashboard!$K17,Schedule!AN$116:AN$215,"&lt;&gt;" ))</f>
        <v>0</v>
      </c>
      <c r="AV17" s="39">
        <f>IF(Dashboard!$K17="","",COUNTIFS(Schedule!$C$116:$C$215,"=" &amp; Dashboard!$K17,Schedule!AO$116:AO$215,"&lt;&gt;" ))</f>
        <v>0</v>
      </c>
      <c r="AW17" s="39">
        <f>IF(Dashboard!$K17="","",COUNTIFS(Schedule!$C$116:$C$215,"=" &amp; Dashboard!$K17,Schedule!AP$116:AP$215,"&lt;&gt;" ))</f>
        <v>0</v>
      </c>
      <c r="AX17" s="39">
        <f>IF(Dashboard!$K17="","",COUNTIFS(Schedule!$C$116:$C$215,"=" &amp; Dashboard!$K17,Schedule!AQ$116:AQ$215,"&lt;&gt;" ))</f>
        <v>0</v>
      </c>
      <c r="AY17" s="39">
        <f>IF(Dashboard!$K17="","",COUNTIFS(Schedule!$C$116:$C$215,"=" &amp; Dashboard!$K17,Schedule!AR$116:AR$215,"&lt;&gt;" ))</f>
        <v>0</v>
      </c>
      <c r="AZ17" s="39">
        <f>IF(Dashboard!$K17="","",COUNTIFS(Schedule!$C$116:$C$215,"=" &amp; Dashboard!$K17,Schedule!AS$116:AS$215,"&lt;&gt;" ))</f>
        <v>0</v>
      </c>
      <c r="BA17" s="49">
        <f>IF(Dashboard!$K17="","",COUNTIFS(Schedule!$C$116:$C$215,"=" &amp; Dashboard!$K17,Schedule!AT$116:AT$215,"&lt;&gt;" ))</f>
        <v>0</v>
      </c>
    </row>
    <row r="18" spans="1:53" ht="14.1" customHeight="1" x14ac:dyDescent="0.25">
      <c r="A18" s="28"/>
      <c r="B18"/>
      <c r="C18"/>
      <c r="D18"/>
      <c r="E18"/>
      <c r="F18"/>
      <c r="G18"/>
      <c r="H18"/>
      <c r="I18" s="7"/>
      <c r="J18" s="133"/>
      <c r="K18" s="55" t="str">
        <f>IF(Lists!J6="","",Lists!J6)</f>
        <v>General Worker</v>
      </c>
      <c r="L18" s="38">
        <f>IF(Dashboard!$K18="","",COUNTIFS(Schedule!$C$116:$C$215,"=" &amp; Dashboard!$K18,Schedule!E$116:E$215,"&lt;&gt;" ))</f>
        <v>0</v>
      </c>
      <c r="M18" s="32">
        <f>IF(Dashboard!$K18="","",COUNTIFS(Schedule!$C$116:$C$215,"=" &amp; Dashboard!$K18,Schedule!F$116:F$215,"&lt;&gt;" ))</f>
        <v>0</v>
      </c>
      <c r="N18" s="32">
        <f>IF(Dashboard!$K18="","",COUNTIFS(Schedule!$C$116:$C$215,"=" &amp; Dashboard!$K18,Schedule!G$116:G$215,"&lt;&gt;" ))</f>
        <v>0</v>
      </c>
      <c r="O18" s="32">
        <f>IF(Dashboard!$K18="","",COUNTIFS(Schedule!$C$116:$C$215,"=" &amp; Dashboard!$K18,Schedule!H$116:H$215,"&lt;&gt;" ))</f>
        <v>0</v>
      </c>
      <c r="P18" s="32">
        <f>IF(Dashboard!$K18="","",COUNTIFS(Schedule!$C$116:$C$215,"=" &amp; Dashboard!$K18,Schedule!I$116:I$215,"&lt;&gt;" ))</f>
        <v>0</v>
      </c>
      <c r="Q18" s="32">
        <f>IF(Dashboard!$K18="","",COUNTIFS(Schedule!$C$116:$C$215,"=" &amp; Dashboard!$K18,Schedule!J$116:J$215,"&lt;&gt;" ))</f>
        <v>0</v>
      </c>
      <c r="R18" s="57">
        <f>IF(Dashboard!$K18="","",COUNTIFS(Schedule!$C$116:$C$215,"=" &amp; Dashboard!$K18,Schedule!K$116:K$215,"&lt;&gt;" ))</f>
        <v>0</v>
      </c>
      <c r="S18" s="31">
        <f>IF(Dashboard!$K18="","",COUNTIFS(Schedule!$C$116:$C$215,"=" &amp; Dashboard!$K18,Schedule!L$116:L$215,"&lt;&gt;" ))</f>
        <v>0</v>
      </c>
      <c r="T18" s="32">
        <f>IF(Dashboard!$K18="","",COUNTIFS(Schedule!$C$116:$C$215,"=" &amp; Dashboard!$K18,Schedule!M$116:M$215,"&lt;&gt;" ))</f>
        <v>0</v>
      </c>
      <c r="U18" s="32">
        <f>IF(Dashboard!$K18="","",COUNTIFS(Schedule!$C$116:$C$215,"=" &amp; Dashboard!$K18,Schedule!N$116:N$215,"&lt;&gt;" ))</f>
        <v>0</v>
      </c>
      <c r="V18" s="32">
        <f>IF(Dashboard!$K18="","",COUNTIFS(Schedule!$C$116:$C$215,"=" &amp; Dashboard!$K18,Schedule!O$116:O$215,"&lt;&gt;" ))</f>
        <v>0</v>
      </c>
      <c r="W18" s="32">
        <f>IF(Dashboard!$K18="","",COUNTIFS(Schedule!$C$116:$C$215,"=" &amp; Dashboard!$K18,Schedule!P$116:P$215,"&lt;&gt;" ))</f>
        <v>0</v>
      </c>
      <c r="X18" s="32">
        <f>IF(Dashboard!$K18="","",COUNTIFS(Schedule!$C$116:$C$215,"=" &amp; Dashboard!$K18,Schedule!Q$116:Q$215,"&lt;&gt;" ))</f>
        <v>0</v>
      </c>
      <c r="Y18" s="33">
        <f>IF(Dashboard!$K18="","",COUNTIFS(Schedule!$C$116:$C$215,"=" &amp; Dashboard!$K18,Schedule!R$116:R$215,"&lt;&gt;" ))</f>
        <v>0</v>
      </c>
      <c r="Z18" s="31">
        <f>IF(Dashboard!$K18="","",COUNTIFS(Schedule!$C$116:$C$215,"=" &amp; Dashboard!$K18,Schedule!S$116:S$215,"&lt;&gt;" ))</f>
        <v>0</v>
      </c>
      <c r="AA18" s="32">
        <f>IF(Dashboard!$K18="","",COUNTIFS(Schedule!$C$116:$C$215,"=" &amp; Dashboard!$K18,Schedule!T$116:T$215,"&lt;&gt;" ))</f>
        <v>0</v>
      </c>
      <c r="AB18" s="32">
        <f>IF(Dashboard!$K18="","",COUNTIFS(Schedule!$C$116:$C$215,"=" &amp; Dashboard!$K18,Schedule!U$116:U$215,"&lt;&gt;" ))</f>
        <v>0</v>
      </c>
      <c r="AC18" s="32">
        <f>IF(Dashboard!$K18="","",COUNTIFS(Schedule!$C$116:$C$215,"=" &amp; Dashboard!$K18,Schedule!V$116:V$215,"&lt;&gt;" ))</f>
        <v>0</v>
      </c>
      <c r="AD18" s="32">
        <f>IF(Dashboard!$K18="","",COUNTIFS(Schedule!$C$116:$C$215,"=" &amp; Dashboard!$K18,Schedule!W$116:W$215,"&lt;&gt;" ))</f>
        <v>0</v>
      </c>
      <c r="AE18" s="32">
        <f>IF(Dashboard!$K18="","",COUNTIFS(Schedule!$C$116:$C$215,"=" &amp; Dashboard!$K18,Schedule!X$116:X$215,"&lt;&gt;" ))</f>
        <v>0</v>
      </c>
      <c r="AF18" s="33">
        <f>IF(Dashboard!$K18="","",COUNTIFS(Schedule!$C$116:$C$215,"=" &amp; Dashboard!$K18,Schedule!Y$116:Y$215,"&lt;&gt;" ))</f>
        <v>0</v>
      </c>
      <c r="AG18" s="31">
        <f>IF(Dashboard!$K18="","",COUNTIFS(Schedule!$C$116:$C$215,"=" &amp; Dashboard!$K18,Schedule!Z$116:Z$215,"&lt;&gt;" ))</f>
        <v>0</v>
      </c>
      <c r="AH18" s="32">
        <f>IF(Dashboard!$K18="","",COUNTIFS(Schedule!$C$116:$C$215,"=" &amp; Dashboard!$K18,Schedule!AA$116:AA$215,"&lt;&gt;" ))</f>
        <v>0</v>
      </c>
      <c r="AI18" s="32">
        <f>IF(Dashboard!$K18="","",COUNTIFS(Schedule!$C$116:$C$215,"=" &amp; Dashboard!$K18,Schedule!AB$116:AB$215,"&lt;&gt;" ))</f>
        <v>0</v>
      </c>
      <c r="AJ18" s="32">
        <f>IF(Dashboard!$K18="","",COUNTIFS(Schedule!$C$116:$C$215,"=" &amp; Dashboard!$K18,Schedule!AC$116:AC$215,"&lt;&gt;" ))</f>
        <v>0</v>
      </c>
      <c r="AK18" s="32">
        <f>IF(Dashboard!$K18="","",COUNTIFS(Schedule!$C$116:$C$215,"=" &amp; Dashboard!$K18,Schedule!AD$116:AD$215,"&lt;&gt;" ))</f>
        <v>0</v>
      </c>
      <c r="AL18" s="32">
        <f>IF(Dashboard!$K18="","",COUNTIFS(Schedule!$C$116:$C$215,"=" &amp; Dashboard!$K18,Schedule!AE$116:AE$215,"&lt;&gt;" ))</f>
        <v>0</v>
      </c>
      <c r="AM18" s="34">
        <f>IF(Dashboard!$K18="","",COUNTIFS(Schedule!$C$116:$C$215,"=" &amp; Dashboard!$K18,Schedule!AF$116:AF$215,"&lt;&gt;" ))</f>
        <v>0</v>
      </c>
      <c r="AN18" s="31">
        <f>IF(Dashboard!$K18="","",COUNTIFS(Schedule!$C$116:$C$215,"=" &amp; Dashboard!$K18,Schedule!AG$116:AG$215,"&lt;&gt;" ))</f>
        <v>0</v>
      </c>
      <c r="AO18" s="32">
        <f>IF(Dashboard!$K18="","",COUNTIFS(Schedule!$C$116:$C$215,"=" &amp; Dashboard!$K18,Schedule!AH$116:AH$215,"&lt;&gt;" ))</f>
        <v>0</v>
      </c>
      <c r="AP18" s="32">
        <f>IF(Dashboard!$K18="","",COUNTIFS(Schedule!$C$116:$C$215,"=" &amp; Dashboard!$K18,Schedule!AI$116:AI$215,"&lt;&gt;" ))</f>
        <v>0</v>
      </c>
      <c r="AQ18" s="32">
        <f>IF(Dashboard!$K18="","",COUNTIFS(Schedule!$C$116:$C$215,"=" &amp; Dashboard!$K18,Schedule!AJ$116:AJ$215,"&lt;&gt;" ))</f>
        <v>0</v>
      </c>
      <c r="AR18" s="32">
        <f>IF(Dashboard!$K18="","",COUNTIFS(Schedule!$C$116:$C$215,"=" &amp; Dashboard!$K18,Schedule!AK$116:AK$215,"&lt;&gt;" ))</f>
        <v>0</v>
      </c>
      <c r="AS18" s="32">
        <f>IF(Dashboard!$K18="","",COUNTIFS(Schedule!$C$116:$C$215,"=" &amp; Dashboard!$K18,Schedule!AL$116:AL$215,"&lt;&gt;" ))</f>
        <v>0</v>
      </c>
      <c r="AT18" s="34">
        <f>IF(Dashboard!$K18="","",COUNTIFS(Schedule!$C$116:$C$215,"=" &amp; Dashboard!$K18,Schedule!AM$116:AM$215,"&lt;&gt;" ))</f>
        <v>0</v>
      </c>
      <c r="AU18" s="31">
        <f>IF(Dashboard!$K18="","",COUNTIFS(Schedule!$C$116:$C$215,"=" &amp; Dashboard!$K18,Schedule!AN$116:AN$215,"&lt;&gt;" ))</f>
        <v>0</v>
      </c>
      <c r="AV18" s="32">
        <f>IF(Dashboard!$K18="","",COUNTIFS(Schedule!$C$116:$C$215,"=" &amp; Dashboard!$K18,Schedule!AO$116:AO$215,"&lt;&gt;" ))</f>
        <v>0</v>
      </c>
      <c r="AW18" s="32">
        <f>IF(Dashboard!$K18="","",COUNTIFS(Schedule!$C$116:$C$215,"=" &amp; Dashboard!$K18,Schedule!AP$116:AP$215,"&lt;&gt;" ))</f>
        <v>0</v>
      </c>
      <c r="AX18" s="32">
        <f>IF(Dashboard!$K18="","",COUNTIFS(Schedule!$C$116:$C$215,"=" &amp; Dashboard!$K18,Schedule!AQ$116:AQ$215,"&lt;&gt;" ))</f>
        <v>0</v>
      </c>
      <c r="AY18" s="32">
        <f>IF(Dashboard!$K18="","",COUNTIFS(Schedule!$C$116:$C$215,"=" &amp; Dashboard!$K18,Schedule!AR$116:AR$215,"&lt;&gt;" ))</f>
        <v>0</v>
      </c>
      <c r="AZ18" s="32">
        <f>IF(Dashboard!$K18="","",COUNTIFS(Schedule!$C$116:$C$215,"=" &amp; Dashboard!$K18,Schedule!AS$116:AS$215,"&lt;&gt;" ))</f>
        <v>0</v>
      </c>
      <c r="BA18" s="34">
        <f>IF(Dashboard!$K18="","",COUNTIFS(Schedule!$C$116:$C$215,"=" &amp; Dashboard!$K18,Schedule!AT$116:AT$215,"&lt;&gt;" ))</f>
        <v>0</v>
      </c>
    </row>
    <row r="19" spans="1:53" ht="14.1" customHeight="1" x14ac:dyDescent="0.25">
      <c r="A19" s="28"/>
      <c r="B19"/>
      <c r="C19"/>
      <c r="D19"/>
      <c r="E19"/>
      <c r="F19"/>
      <c r="G19"/>
      <c r="H19"/>
      <c r="I19" s="7"/>
      <c r="J19" s="133"/>
      <c r="K19" s="55" t="str">
        <f>IF(Lists!J7="","",Lists!J7)</f>
        <v>Shift Manager</v>
      </c>
      <c r="L19" s="38">
        <f>IF(Dashboard!$K19="","",COUNTIFS(Schedule!$C$116:$C$215,"=" &amp; Dashboard!$K19,Schedule!E$116:E$215,"&lt;&gt;" ))</f>
        <v>0</v>
      </c>
      <c r="M19" s="32">
        <f>IF(Dashboard!$K19="","",COUNTIFS(Schedule!$C$116:$C$215,"=" &amp; Dashboard!$K19,Schedule!F$116:F$215,"&lt;&gt;" ))</f>
        <v>0</v>
      </c>
      <c r="N19" s="32">
        <f>IF(Dashboard!$K19="","",COUNTIFS(Schedule!$C$116:$C$215,"=" &amp; Dashboard!$K19,Schedule!G$116:G$215,"&lt;&gt;" ))</f>
        <v>0</v>
      </c>
      <c r="O19" s="32">
        <f>IF(Dashboard!$K19="","",COUNTIFS(Schedule!$C$116:$C$215,"=" &amp; Dashboard!$K19,Schedule!H$116:H$215,"&lt;&gt;" ))</f>
        <v>0</v>
      </c>
      <c r="P19" s="32">
        <f>IF(Dashboard!$K19="","",COUNTIFS(Schedule!$C$116:$C$215,"=" &amp; Dashboard!$K19,Schedule!I$116:I$215,"&lt;&gt;" ))</f>
        <v>0</v>
      </c>
      <c r="Q19" s="32">
        <f>IF(Dashboard!$K19="","",COUNTIFS(Schedule!$C$116:$C$215,"=" &amp; Dashboard!$K19,Schedule!J$116:J$215,"&lt;&gt;" ))</f>
        <v>0</v>
      </c>
      <c r="R19" s="57">
        <f>IF(Dashboard!$K19="","",COUNTIFS(Schedule!$C$116:$C$215,"=" &amp; Dashboard!$K19,Schedule!K$116:K$215,"&lt;&gt;" ))</f>
        <v>0</v>
      </c>
      <c r="S19" s="31">
        <f>IF(Dashboard!$K19="","",COUNTIFS(Schedule!$C$116:$C$215,"=" &amp; Dashboard!$K19,Schedule!L$116:L$215,"&lt;&gt;" ))</f>
        <v>0</v>
      </c>
      <c r="T19" s="32">
        <f>IF(Dashboard!$K19="","",COUNTIFS(Schedule!$C$116:$C$215,"=" &amp; Dashboard!$K19,Schedule!M$116:M$215,"&lt;&gt;" ))</f>
        <v>0</v>
      </c>
      <c r="U19" s="32">
        <f>IF(Dashboard!$K19="","",COUNTIFS(Schedule!$C$116:$C$215,"=" &amp; Dashboard!$K19,Schedule!N$116:N$215,"&lt;&gt;" ))</f>
        <v>0</v>
      </c>
      <c r="V19" s="32">
        <f>IF(Dashboard!$K19="","",COUNTIFS(Schedule!$C$116:$C$215,"=" &amp; Dashboard!$K19,Schedule!O$116:O$215,"&lt;&gt;" ))</f>
        <v>0</v>
      </c>
      <c r="W19" s="32">
        <f>IF(Dashboard!$K19="","",COUNTIFS(Schedule!$C$116:$C$215,"=" &amp; Dashboard!$K19,Schedule!P$116:P$215,"&lt;&gt;" ))</f>
        <v>0</v>
      </c>
      <c r="X19" s="32">
        <f>IF(Dashboard!$K19="","",COUNTIFS(Schedule!$C$116:$C$215,"=" &amp; Dashboard!$K19,Schedule!Q$116:Q$215,"&lt;&gt;" ))</f>
        <v>0</v>
      </c>
      <c r="Y19" s="33">
        <f>IF(Dashboard!$K19="","",COUNTIFS(Schedule!$C$116:$C$215,"=" &amp; Dashboard!$K19,Schedule!R$116:R$215,"&lt;&gt;" ))</f>
        <v>0</v>
      </c>
      <c r="Z19" s="31">
        <f>IF(Dashboard!$K19="","",COUNTIFS(Schedule!$C$116:$C$215,"=" &amp; Dashboard!$K19,Schedule!S$116:S$215,"&lt;&gt;" ))</f>
        <v>0</v>
      </c>
      <c r="AA19" s="32">
        <f>IF(Dashboard!$K19="","",COUNTIFS(Schedule!$C$116:$C$215,"=" &amp; Dashboard!$K19,Schedule!T$116:T$215,"&lt;&gt;" ))</f>
        <v>0</v>
      </c>
      <c r="AB19" s="32">
        <f>IF(Dashboard!$K19="","",COUNTIFS(Schedule!$C$116:$C$215,"=" &amp; Dashboard!$K19,Schedule!U$116:U$215,"&lt;&gt;" ))</f>
        <v>0</v>
      </c>
      <c r="AC19" s="32">
        <f>IF(Dashboard!$K19="","",COUNTIFS(Schedule!$C$116:$C$215,"=" &amp; Dashboard!$K19,Schedule!V$116:V$215,"&lt;&gt;" ))</f>
        <v>0</v>
      </c>
      <c r="AD19" s="32">
        <f>IF(Dashboard!$K19="","",COUNTIFS(Schedule!$C$116:$C$215,"=" &amp; Dashboard!$K19,Schedule!W$116:W$215,"&lt;&gt;" ))</f>
        <v>0</v>
      </c>
      <c r="AE19" s="32">
        <f>IF(Dashboard!$K19="","",COUNTIFS(Schedule!$C$116:$C$215,"=" &amp; Dashboard!$K19,Schedule!X$116:X$215,"&lt;&gt;" ))</f>
        <v>0</v>
      </c>
      <c r="AF19" s="33">
        <f>IF(Dashboard!$K19="","",COUNTIFS(Schedule!$C$116:$C$215,"=" &amp; Dashboard!$K19,Schedule!Y$116:Y$215,"&lt;&gt;" ))</f>
        <v>0</v>
      </c>
      <c r="AG19" s="31">
        <f>IF(Dashboard!$K19="","",COUNTIFS(Schedule!$C$116:$C$215,"=" &amp; Dashboard!$K19,Schedule!Z$116:Z$215,"&lt;&gt;" ))</f>
        <v>0</v>
      </c>
      <c r="AH19" s="32">
        <f>IF(Dashboard!$K19="","",COUNTIFS(Schedule!$C$116:$C$215,"=" &amp; Dashboard!$K19,Schedule!AA$116:AA$215,"&lt;&gt;" ))</f>
        <v>0</v>
      </c>
      <c r="AI19" s="32">
        <f>IF(Dashboard!$K19="","",COUNTIFS(Schedule!$C$116:$C$215,"=" &amp; Dashboard!$K19,Schedule!AB$116:AB$215,"&lt;&gt;" ))</f>
        <v>0</v>
      </c>
      <c r="AJ19" s="32">
        <f>IF(Dashboard!$K19="","",COUNTIFS(Schedule!$C$116:$C$215,"=" &amp; Dashboard!$K19,Schedule!AC$116:AC$215,"&lt;&gt;" ))</f>
        <v>0</v>
      </c>
      <c r="AK19" s="32">
        <f>IF(Dashboard!$K19="","",COUNTIFS(Schedule!$C$116:$C$215,"=" &amp; Dashboard!$K19,Schedule!AD$116:AD$215,"&lt;&gt;" ))</f>
        <v>0</v>
      </c>
      <c r="AL19" s="32">
        <f>IF(Dashboard!$K19="","",COUNTIFS(Schedule!$C$116:$C$215,"=" &amp; Dashboard!$K19,Schedule!AE$116:AE$215,"&lt;&gt;" ))</f>
        <v>0</v>
      </c>
      <c r="AM19" s="34">
        <f>IF(Dashboard!$K19="","",COUNTIFS(Schedule!$C$116:$C$215,"=" &amp; Dashboard!$K19,Schedule!AF$116:AF$215,"&lt;&gt;" ))</f>
        <v>0</v>
      </c>
      <c r="AN19" s="31">
        <f>IF(Dashboard!$K19="","",COUNTIFS(Schedule!$C$116:$C$215,"=" &amp; Dashboard!$K19,Schedule!AG$116:AG$215,"&lt;&gt;" ))</f>
        <v>0</v>
      </c>
      <c r="AO19" s="32">
        <f>IF(Dashboard!$K19="","",COUNTIFS(Schedule!$C$116:$C$215,"=" &amp; Dashboard!$K19,Schedule!AH$116:AH$215,"&lt;&gt;" ))</f>
        <v>0</v>
      </c>
      <c r="AP19" s="32">
        <f>IF(Dashboard!$K19="","",COUNTIFS(Schedule!$C$116:$C$215,"=" &amp; Dashboard!$K19,Schedule!AI$116:AI$215,"&lt;&gt;" ))</f>
        <v>0</v>
      </c>
      <c r="AQ19" s="32">
        <f>IF(Dashboard!$K19="","",COUNTIFS(Schedule!$C$116:$C$215,"=" &amp; Dashboard!$K19,Schedule!AJ$116:AJ$215,"&lt;&gt;" ))</f>
        <v>0</v>
      </c>
      <c r="AR19" s="32">
        <f>IF(Dashboard!$K19="","",COUNTIFS(Schedule!$C$116:$C$215,"=" &amp; Dashboard!$K19,Schedule!AK$116:AK$215,"&lt;&gt;" ))</f>
        <v>0</v>
      </c>
      <c r="AS19" s="32">
        <f>IF(Dashboard!$K19="","",COUNTIFS(Schedule!$C$116:$C$215,"=" &amp; Dashboard!$K19,Schedule!AL$116:AL$215,"&lt;&gt;" ))</f>
        <v>0</v>
      </c>
      <c r="AT19" s="34">
        <f>IF(Dashboard!$K19="","",COUNTIFS(Schedule!$C$116:$C$215,"=" &amp; Dashboard!$K19,Schedule!AM$116:AM$215,"&lt;&gt;" ))</f>
        <v>0</v>
      </c>
      <c r="AU19" s="31">
        <f>IF(Dashboard!$K19="","",COUNTIFS(Schedule!$C$116:$C$215,"=" &amp; Dashboard!$K19,Schedule!AN$116:AN$215,"&lt;&gt;" ))</f>
        <v>0</v>
      </c>
      <c r="AV19" s="32">
        <f>IF(Dashboard!$K19="","",COUNTIFS(Schedule!$C$116:$C$215,"=" &amp; Dashboard!$K19,Schedule!AO$116:AO$215,"&lt;&gt;" ))</f>
        <v>0</v>
      </c>
      <c r="AW19" s="32">
        <f>IF(Dashboard!$K19="","",COUNTIFS(Schedule!$C$116:$C$215,"=" &amp; Dashboard!$K19,Schedule!AP$116:AP$215,"&lt;&gt;" ))</f>
        <v>0</v>
      </c>
      <c r="AX19" s="32">
        <f>IF(Dashboard!$K19="","",COUNTIFS(Schedule!$C$116:$C$215,"=" &amp; Dashboard!$K19,Schedule!AQ$116:AQ$215,"&lt;&gt;" ))</f>
        <v>0</v>
      </c>
      <c r="AY19" s="32">
        <f>IF(Dashboard!$K19="","",COUNTIFS(Schedule!$C$116:$C$215,"=" &amp; Dashboard!$K19,Schedule!AR$116:AR$215,"&lt;&gt;" ))</f>
        <v>0</v>
      </c>
      <c r="AZ19" s="32">
        <f>IF(Dashboard!$K19="","",COUNTIFS(Schedule!$C$116:$C$215,"=" &amp; Dashboard!$K19,Schedule!AS$116:AS$215,"&lt;&gt;" ))</f>
        <v>0</v>
      </c>
      <c r="BA19" s="34">
        <f>IF(Dashboard!$K19="","",COUNTIFS(Schedule!$C$116:$C$215,"=" &amp; Dashboard!$K19,Schedule!AT$116:AT$215,"&lt;&gt;" ))</f>
        <v>0</v>
      </c>
    </row>
    <row r="20" spans="1:53" ht="14.1" customHeight="1" x14ac:dyDescent="0.25">
      <c r="A20" s="28"/>
      <c r="B20"/>
      <c r="C20"/>
      <c r="D20"/>
      <c r="E20"/>
      <c r="F20"/>
      <c r="G20"/>
      <c r="H20"/>
      <c r="I20" s="7"/>
      <c r="J20" s="133"/>
      <c r="K20" s="55" t="str">
        <f>IF(Lists!J8="","",Lists!J8)</f>
        <v/>
      </c>
      <c r="L20" s="38" t="str">
        <f>IF(Dashboard!$K20="","",COUNTIFS(Schedule!$C$116:$C$215,"=" &amp; Dashboard!$K20,Schedule!E$116:E$215,"&lt;&gt;" ))</f>
        <v/>
      </c>
      <c r="M20" s="32" t="str">
        <f>IF(Dashboard!$K20="","",COUNTIFS(Schedule!$C$116:$C$215,"=" &amp; Dashboard!$K20,Schedule!F$116:F$215,"&lt;&gt;" ))</f>
        <v/>
      </c>
      <c r="N20" s="32" t="str">
        <f>IF(Dashboard!$K20="","",COUNTIFS(Schedule!$C$116:$C$215,"=" &amp; Dashboard!$K20,Schedule!G$116:G$215,"&lt;&gt;" ))</f>
        <v/>
      </c>
      <c r="O20" s="32" t="str">
        <f>IF(Dashboard!$K20="","",COUNTIFS(Schedule!$C$116:$C$215,"=" &amp; Dashboard!$K20,Schedule!H$116:H$215,"&lt;&gt;" ))</f>
        <v/>
      </c>
      <c r="P20" s="32" t="str">
        <f>IF(Dashboard!$K20="","",COUNTIFS(Schedule!$C$116:$C$215,"=" &amp; Dashboard!$K20,Schedule!I$116:I$215,"&lt;&gt;" ))</f>
        <v/>
      </c>
      <c r="Q20" s="32" t="str">
        <f>IF(Dashboard!$K20="","",COUNTIFS(Schedule!$C$116:$C$215,"=" &amp; Dashboard!$K20,Schedule!J$116:J$215,"&lt;&gt;" ))</f>
        <v/>
      </c>
      <c r="R20" s="57" t="str">
        <f>IF(Dashboard!$K20="","",COUNTIFS(Schedule!$C$116:$C$215,"=" &amp; Dashboard!$K20,Schedule!K$116:K$215,"&lt;&gt;" ))</f>
        <v/>
      </c>
      <c r="S20" s="31" t="str">
        <f>IF(Dashboard!$K20="","",COUNTIFS(Schedule!$C$116:$C$215,"=" &amp; Dashboard!$K20,Schedule!L$116:L$215,"&lt;&gt;" ))</f>
        <v/>
      </c>
      <c r="T20" s="32" t="str">
        <f>IF(Dashboard!$K20="","",COUNTIFS(Schedule!$C$116:$C$215,"=" &amp; Dashboard!$K20,Schedule!M$116:M$215,"&lt;&gt;" ))</f>
        <v/>
      </c>
      <c r="U20" s="32" t="str">
        <f>IF(Dashboard!$K20="","",COUNTIFS(Schedule!$C$116:$C$215,"=" &amp; Dashboard!$K20,Schedule!N$116:N$215,"&lt;&gt;" ))</f>
        <v/>
      </c>
      <c r="V20" s="32" t="str">
        <f>IF(Dashboard!$K20="","",COUNTIFS(Schedule!$C$116:$C$215,"=" &amp; Dashboard!$K20,Schedule!O$116:O$215,"&lt;&gt;" ))</f>
        <v/>
      </c>
      <c r="W20" s="32" t="str">
        <f>IF(Dashboard!$K20="","",COUNTIFS(Schedule!$C$116:$C$215,"=" &amp; Dashboard!$K20,Schedule!P$116:P$215,"&lt;&gt;" ))</f>
        <v/>
      </c>
      <c r="X20" s="32" t="str">
        <f>IF(Dashboard!$K20="","",COUNTIFS(Schedule!$C$116:$C$215,"=" &amp; Dashboard!$K20,Schedule!Q$116:Q$215,"&lt;&gt;" ))</f>
        <v/>
      </c>
      <c r="Y20" s="33" t="str">
        <f>IF(Dashboard!$K20="","",COUNTIFS(Schedule!$C$116:$C$215,"=" &amp; Dashboard!$K20,Schedule!R$116:R$215,"&lt;&gt;" ))</f>
        <v/>
      </c>
      <c r="Z20" s="31" t="str">
        <f>IF(Dashboard!$K20="","",COUNTIFS(Schedule!$C$116:$C$215,"=" &amp; Dashboard!$K20,Schedule!S$116:S$215,"&lt;&gt;" ))</f>
        <v/>
      </c>
      <c r="AA20" s="32" t="str">
        <f>IF(Dashboard!$K20="","",COUNTIFS(Schedule!$C$116:$C$215,"=" &amp; Dashboard!$K20,Schedule!T$116:T$215,"&lt;&gt;" ))</f>
        <v/>
      </c>
      <c r="AB20" s="32" t="str">
        <f>IF(Dashboard!$K20="","",COUNTIFS(Schedule!$C$116:$C$215,"=" &amp; Dashboard!$K20,Schedule!U$116:U$215,"&lt;&gt;" ))</f>
        <v/>
      </c>
      <c r="AC20" s="32" t="str">
        <f>IF(Dashboard!$K20="","",COUNTIFS(Schedule!$C$116:$C$215,"=" &amp; Dashboard!$K20,Schedule!V$116:V$215,"&lt;&gt;" ))</f>
        <v/>
      </c>
      <c r="AD20" s="32" t="str">
        <f>IF(Dashboard!$K20="","",COUNTIFS(Schedule!$C$116:$C$215,"=" &amp; Dashboard!$K20,Schedule!W$116:W$215,"&lt;&gt;" ))</f>
        <v/>
      </c>
      <c r="AE20" s="32" t="str">
        <f>IF(Dashboard!$K20="","",COUNTIFS(Schedule!$C$116:$C$215,"=" &amp; Dashboard!$K20,Schedule!X$116:X$215,"&lt;&gt;" ))</f>
        <v/>
      </c>
      <c r="AF20" s="33" t="str">
        <f>IF(Dashboard!$K20="","",COUNTIFS(Schedule!$C$116:$C$215,"=" &amp; Dashboard!$K20,Schedule!Y$116:Y$215,"&lt;&gt;" ))</f>
        <v/>
      </c>
      <c r="AG20" s="31" t="str">
        <f>IF(Dashboard!$K20="","",COUNTIFS(Schedule!$C$116:$C$215,"=" &amp; Dashboard!$K20,Schedule!Z$116:Z$215,"&lt;&gt;" ))</f>
        <v/>
      </c>
      <c r="AH20" s="32" t="str">
        <f>IF(Dashboard!$K20="","",COUNTIFS(Schedule!$C$116:$C$215,"=" &amp; Dashboard!$K20,Schedule!AA$116:AA$215,"&lt;&gt;" ))</f>
        <v/>
      </c>
      <c r="AI20" s="32" t="str">
        <f>IF(Dashboard!$K20="","",COUNTIFS(Schedule!$C$116:$C$215,"=" &amp; Dashboard!$K20,Schedule!AB$116:AB$215,"&lt;&gt;" ))</f>
        <v/>
      </c>
      <c r="AJ20" s="32" t="str">
        <f>IF(Dashboard!$K20="","",COUNTIFS(Schedule!$C$116:$C$215,"=" &amp; Dashboard!$K20,Schedule!AC$116:AC$215,"&lt;&gt;" ))</f>
        <v/>
      </c>
      <c r="AK20" s="32" t="str">
        <f>IF(Dashboard!$K20="","",COUNTIFS(Schedule!$C$116:$C$215,"=" &amp; Dashboard!$K20,Schedule!AD$116:AD$215,"&lt;&gt;" ))</f>
        <v/>
      </c>
      <c r="AL20" s="32" t="str">
        <f>IF(Dashboard!$K20="","",COUNTIFS(Schedule!$C$116:$C$215,"=" &amp; Dashboard!$K20,Schedule!AE$116:AE$215,"&lt;&gt;" ))</f>
        <v/>
      </c>
      <c r="AM20" s="34" t="str">
        <f>IF(Dashboard!$K20="","",COUNTIFS(Schedule!$C$116:$C$215,"=" &amp; Dashboard!$K20,Schedule!AF$116:AF$215,"&lt;&gt;" ))</f>
        <v/>
      </c>
      <c r="AN20" s="31" t="str">
        <f>IF(Dashboard!$K20="","",COUNTIFS(Schedule!$C$116:$C$215,"=" &amp; Dashboard!$K20,Schedule!AG$116:AG$215,"&lt;&gt;" ))</f>
        <v/>
      </c>
      <c r="AO20" s="32" t="str">
        <f>IF(Dashboard!$K20="","",COUNTIFS(Schedule!$C$116:$C$215,"=" &amp; Dashboard!$K20,Schedule!AH$116:AH$215,"&lt;&gt;" ))</f>
        <v/>
      </c>
      <c r="AP20" s="32" t="str">
        <f>IF(Dashboard!$K20="","",COUNTIFS(Schedule!$C$116:$C$215,"=" &amp; Dashboard!$K20,Schedule!AI$116:AI$215,"&lt;&gt;" ))</f>
        <v/>
      </c>
      <c r="AQ20" s="32" t="str">
        <f>IF(Dashboard!$K20="","",COUNTIFS(Schedule!$C$116:$C$215,"=" &amp; Dashboard!$K20,Schedule!AJ$116:AJ$215,"&lt;&gt;" ))</f>
        <v/>
      </c>
      <c r="AR20" s="32" t="str">
        <f>IF(Dashboard!$K20="","",COUNTIFS(Schedule!$C$116:$C$215,"=" &amp; Dashboard!$K20,Schedule!AK$116:AK$215,"&lt;&gt;" ))</f>
        <v/>
      </c>
      <c r="AS20" s="32" t="str">
        <f>IF(Dashboard!$K20="","",COUNTIFS(Schedule!$C$116:$C$215,"=" &amp; Dashboard!$K20,Schedule!AL$116:AL$215,"&lt;&gt;" ))</f>
        <v/>
      </c>
      <c r="AT20" s="34" t="str">
        <f>IF(Dashboard!$K20="","",COUNTIFS(Schedule!$C$116:$C$215,"=" &amp; Dashboard!$K20,Schedule!AM$116:AM$215,"&lt;&gt;" ))</f>
        <v/>
      </c>
      <c r="AU20" s="31" t="str">
        <f>IF(Dashboard!$K20="","",COUNTIFS(Schedule!$C$116:$C$215,"=" &amp; Dashboard!$K20,Schedule!AN$116:AN$215,"&lt;&gt;" ))</f>
        <v/>
      </c>
      <c r="AV20" s="32" t="str">
        <f>IF(Dashboard!$K20="","",COUNTIFS(Schedule!$C$116:$C$215,"=" &amp; Dashboard!$K20,Schedule!AO$116:AO$215,"&lt;&gt;" ))</f>
        <v/>
      </c>
      <c r="AW20" s="32" t="str">
        <f>IF(Dashboard!$K20="","",COUNTIFS(Schedule!$C$116:$C$215,"=" &amp; Dashboard!$K20,Schedule!AP$116:AP$215,"&lt;&gt;" ))</f>
        <v/>
      </c>
      <c r="AX20" s="32" t="str">
        <f>IF(Dashboard!$K20="","",COUNTIFS(Schedule!$C$116:$C$215,"=" &amp; Dashboard!$K20,Schedule!AQ$116:AQ$215,"&lt;&gt;" ))</f>
        <v/>
      </c>
      <c r="AY20" s="32" t="str">
        <f>IF(Dashboard!$K20="","",COUNTIFS(Schedule!$C$116:$C$215,"=" &amp; Dashboard!$K20,Schedule!AR$116:AR$215,"&lt;&gt;" ))</f>
        <v/>
      </c>
      <c r="AZ20" s="32" t="str">
        <f>IF(Dashboard!$K20="","",COUNTIFS(Schedule!$C$116:$C$215,"=" &amp; Dashboard!$K20,Schedule!AS$116:AS$215,"&lt;&gt;" ))</f>
        <v/>
      </c>
      <c r="BA20" s="34" t="str">
        <f>IF(Dashboard!$K20="","",COUNTIFS(Schedule!$C$116:$C$215,"=" &amp; Dashboard!$K20,Schedule!AT$116:AT$215,"&lt;&gt;" ))</f>
        <v/>
      </c>
    </row>
    <row r="21" spans="1:53" ht="14.1" customHeight="1" x14ac:dyDescent="0.25">
      <c r="A21" s="28"/>
      <c r="B21"/>
      <c r="C21"/>
      <c r="D21"/>
      <c r="E21"/>
      <c r="F21"/>
      <c r="G21"/>
      <c r="H21"/>
      <c r="I21" s="7"/>
      <c r="J21" s="133"/>
      <c r="K21" s="55" t="str">
        <f>IF(Lists!J9="","",Lists!J9)</f>
        <v/>
      </c>
      <c r="L21" s="38" t="str">
        <f>IF(Dashboard!$K21="","",COUNTIFS(Schedule!$C$116:$C$215,"=" &amp; Dashboard!$K21,Schedule!E$116:E$215,"&lt;&gt;" ))</f>
        <v/>
      </c>
      <c r="M21" s="32" t="str">
        <f>IF(Dashboard!$K21="","",COUNTIFS(Schedule!$C$116:$C$215,"=" &amp; Dashboard!$K21,Schedule!F$116:F$215,"&lt;&gt;" ))</f>
        <v/>
      </c>
      <c r="N21" s="32" t="str">
        <f>IF(Dashboard!$K21="","",COUNTIFS(Schedule!$C$116:$C$215,"=" &amp; Dashboard!$K21,Schedule!G$116:G$215,"&lt;&gt;" ))</f>
        <v/>
      </c>
      <c r="O21" s="32" t="str">
        <f>IF(Dashboard!$K21="","",COUNTIFS(Schedule!$C$116:$C$215,"=" &amp; Dashboard!$K21,Schedule!H$116:H$215,"&lt;&gt;" ))</f>
        <v/>
      </c>
      <c r="P21" s="32" t="str">
        <f>IF(Dashboard!$K21="","",COUNTIFS(Schedule!$C$116:$C$215,"=" &amp; Dashboard!$K21,Schedule!I$116:I$215,"&lt;&gt;" ))</f>
        <v/>
      </c>
      <c r="Q21" s="32" t="str">
        <f>IF(Dashboard!$K21="","",COUNTIFS(Schedule!$C$116:$C$215,"=" &amp; Dashboard!$K21,Schedule!J$116:J$215,"&lt;&gt;" ))</f>
        <v/>
      </c>
      <c r="R21" s="57" t="str">
        <f>IF(Dashboard!$K21="","",COUNTIFS(Schedule!$C$116:$C$215,"=" &amp; Dashboard!$K21,Schedule!K$116:K$215,"&lt;&gt;" ))</f>
        <v/>
      </c>
      <c r="S21" s="31" t="str">
        <f>IF(Dashboard!$K21="","",COUNTIFS(Schedule!$C$116:$C$215,"=" &amp; Dashboard!$K21,Schedule!L$116:L$215,"&lt;&gt;" ))</f>
        <v/>
      </c>
      <c r="T21" s="32" t="str">
        <f>IF(Dashboard!$K21="","",COUNTIFS(Schedule!$C$116:$C$215,"=" &amp; Dashboard!$K21,Schedule!M$116:M$215,"&lt;&gt;" ))</f>
        <v/>
      </c>
      <c r="U21" s="32" t="str">
        <f>IF(Dashboard!$K21="","",COUNTIFS(Schedule!$C$116:$C$215,"=" &amp; Dashboard!$K21,Schedule!N$116:N$215,"&lt;&gt;" ))</f>
        <v/>
      </c>
      <c r="V21" s="32" t="str">
        <f>IF(Dashboard!$K21="","",COUNTIFS(Schedule!$C$116:$C$215,"=" &amp; Dashboard!$K21,Schedule!O$116:O$215,"&lt;&gt;" ))</f>
        <v/>
      </c>
      <c r="W21" s="32" t="str">
        <f>IF(Dashboard!$K21="","",COUNTIFS(Schedule!$C$116:$C$215,"=" &amp; Dashboard!$K21,Schedule!P$116:P$215,"&lt;&gt;" ))</f>
        <v/>
      </c>
      <c r="X21" s="32" t="str">
        <f>IF(Dashboard!$K21="","",COUNTIFS(Schedule!$C$116:$C$215,"=" &amp; Dashboard!$K21,Schedule!Q$116:Q$215,"&lt;&gt;" ))</f>
        <v/>
      </c>
      <c r="Y21" s="33" t="str">
        <f>IF(Dashboard!$K21="","",COUNTIFS(Schedule!$C$116:$C$215,"=" &amp; Dashboard!$K21,Schedule!R$116:R$215,"&lt;&gt;" ))</f>
        <v/>
      </c>
      <c r="Z21" s="31" t="str">
        <f>IF(Dashboard!$K21="","",COUNTIFS(Schedule!$C$116:$C$215,"=" &amp; Dashboard!$K21,Schedule!S$116:S$215,"&lt;&gt;" ))</f>
        <v/>
      </c>
      <c r="AA21" s="32" t="str">
        <f>IF(Dashboard!$K21="","",COUNTIFS(Schedule!$C$116:$C$215,"=" &amp; Dashboard!$K21,Schedule!T$116:T$215,"&lt;&gt;" ))</f>
        <v/>
      </c>
      <c r="AB21" s="32" t="str">
        <f>IF(Dashboard!$K21="","",COUNTIFS(Schedule!$C$116:$C$215,"=" &amp; Dashboard!$K21,Schedule!U$116:U$215,"&lt;&gt;" ))</f>
        <v/>
      </c>
      <c r="AC21" s="32" t="str">
        <f>IF(Dashboard!$K21="","",COUNTIFS(Schedule!$C$116:$C$215,"=" &amp; Dashboard!$K21,Schedule!V$116:V$215,"&lt;&gt;" ))</f>
        <v/>
      </c>
      <c r="AD21" s="32" t="str">
        <f>IF(Dashboard!$K21="","",COUNTIFS(Schedule!$C$116:$C$215,"=" &amp; Dashboard!$K21,Schedule!W$116:W$215,"&lt;&gt;" ))</f>
        <v/>
      </c>
      <c r="AE21" s="32" t="str">
        <f>IF(Dashboard!$K21="","",COUNTIFS(Schedule!$C$116:$C$215,"=" &amp; Dashboard!$K21,Schedule!X$116:X$215,"&lt;&gt;" ))</f>
        <v/>
      </c>
      <c r="AF21" s="33" t="str">
        <f>IF(Dashboard!$K21="","",COUNTIFS(Schedule!$C$116:$C$215,"=" &amp; Dashboard!$K21,Schedule!Y$116:Y$215,"&lt;&gt;" ))</f>
        <v/>
      </c>
      <c r="AG21" s="31" t="str">
        <f>IF(Dashboard!$K21="","",COUNTIFS(Schedule!$C$116:$C$215,"=" &amp; Dashboard!$K21,Schedule!Z$116:Z$215,"&lt;&gt;" ))</f>
        <v/>
      </c>
      <c r="AH21" s="32" t="str">
        <f>IF(Dashboard!$K21="","",COUNTIFS(Schedule!$C$116:$C$215,"=" &amp; Dashboard!$K21,Schedule!AA$116:AA$215,"&lt;&gt;" ))</f>
        <v/>
      </c>
      <c r="AI21" s="32" t="str">
        <f>IF(Dashboard!$K21="","",COUNTIFS(Schedule!$C$116:$C$215,"=" &amp; Dashboard!$K21,Schedule!AB$116:AB$215,"&lt;&gt;" ))</f>
        <v/>
      </c>
      <c r="AJ21" s="32" t="str">
        <f>IF(Dashboard!$K21="","",COUNTIFS(Schedule!$C$116:$C$215,"=" &amp; Dashboard!$K21,Schedule!AC$116:AC$215,"&lt;&gt;" ))</f>
        <v/>
      </c>
      <c r="AK21" s="32" t="str">
        <f>IF(Dashboard!$K21="","",COUNTIFS(Schedule!$C$116:$C$215,"=" &amp; Dashboard!$K21,Schedule!AD$116:AD$215,"&lt;&gt;" ))</f>
        <v/>
      </c>
      <c r="AL21" s="32" t="str">
        <f>IF(Dashboard!$K21="","",COUNTIFS(Schedule!$C$116:$C$215,"=" &amp; Dashboard!$K21,Schedule!AE$116:AE$215,"&lt;&gt;" ))</f>
        <v/>
      </c>
      <c r="AM21" s="34" t="str">
        <f>IF(Dashboard!$K21="","",COUNTIFS(Schedule!$C$116:$C$215,"=" &amp; Dashboard!$K21,Schedule!AF$116:AF$215,"&lt;&gt;" ))</f>
        <v/>
      </c>
      <c r="AN21" s="31" t="str">
        <f>IF(Dashboard!$K21="","",COUNTIFS(Schedule!$C$116:$C$215,"=" &amp; Dashboard!$K21,Schedule!AG$116:AG$215,"&lt;&gt;" ))</f>
        <v/>
      </c>
      <c r="AO21" s="32" t="str">
        <f>IF(Dashboard!$K21="","",COUNTIFS(Schedule!$C$116:$C$215,"=" &amp; Dashboard!$K21,Schedule!AH$116:AH$215,"&lt;&gt;" ))</f>
        <v/>
      </c>
      <c r="AP21" s="32" t="str">
        <f>IF(Dashboard!$K21="","",COUNTIFS(Schedule!$C$116:$C$215,"=" &amp; Dashboard!$K21,Schedule!AI$116:AI$215,"&lt;&gt;" ))</f>
        <v/>
      </c>
      <c r="AQ21" s="32" t="str">
        <f>IF(Dashboard!$K21="","",COUNTIFS(Schedule!$C$116:$C$215,"=" &amp; Dashboard!$K21,Schedule!AJ$116:AJ$215,"&lt;&gt;" ))</f>
        <v/>
      </c>
      <c r="AR21" s="32" t="str">
        <f>IF(Dashboard!$K21="","",COUNTIFS(Schedule!$C$116:$C$215,"=" &amp; Dashboard!$K21,Schedule!AK$116:AK$215,"&lt;&gt;" ))</f>
        <v/>
      </c>
      <c r="AS21" s="32" t="str">
        <f>IF(Dashboard!$K21="","",COUNTIFS(Schedule!$C$116:$C$215,"=" &amp; Dashboard!$K21,Schedule!AL$116:AL$215,"&lt;&gt;" ))</f>
        <v/>
      </c>
      <c r="AT21" s="34" t="str">
        <f>IF(Dashboard!$K21="","",COUNTIFS(Schedule!$C$116:$C$215,"=" &amp; Dashboard!$K21,Schedule!AM$116:AM$215,"&lt;&gt;" ))</f>
        <v/>
      </c>
      <c r="AU21" s="31" t="str">
        <f>IF(Dashboard!$K21="","",COUNTIFS(Schedule!$C$116:$C$215,"=" &amp; Dashboard!$K21,Schedule!AN$116:AN$215,"&lt;&gt;" ))</f>
        <v/>
      </c>
      <c r="AV21" s="32" t="str">
        <f>IF(Dashboard!$K21="","",COUNTIFS(Schedule!$C$116:$C$215,"=" &amp; Dashboard!$K21,Schedule!AO$116:AO$215,"&lt;&gt;" ))</f>
        <v/>
      </c>
      <c r="AW21" s="32" t="str">
        <f>IF(Dashboard!$K21="","",COUNTIFS(Schedule!$C$116:$C$215,"=" &amp; Dashboard!$K21,Schedule!AP$116:AP$215,"&lt;&gt;" ))</f>
        <v/>
      </c>
      <c r="AX21" s="32" t="str">
        <f>IF(Dashboard!$K21="","",COUNTIFS(Schedule!$C$116:$C$215,"=" &amp; Dashboard!$K21,Schedule!AQ$116:AQ$215,"&lt;&gt;" ))</f>
        <v/>
      </c>
      <c r="AY21" s="32" t="str">
        <f>IF(Dashboard!$K21="","",COUNTIFS(Schedule!$C$116:$C$215,"=" &amp; Dashboard!$K21,Schedule!AR$116:AR$215,"&lt;&gt;" ))</f>
        <v/>
      </c>
      <c r="AZ21" s="32" t="str">
        <f>IF(Dashboard!$K21="","",COUNTIFS(Schedule!$C$116:$C$215,"=" &amp; Dashboard!$K21,Schedule!AS$116:AS$215,"&lt;&gt;" ))</f>
        <v/>
      </c>
      <c r="BA21" s="34" t="str">
        <f>IF(Dashboard!$K21="","",COUNTIFS(Schedule!$C$116:$C$215,"=" &amp; Dashboard!$K21,Schedule!AT$116:AT$215,"&lt;&gt;" ))</f>
        <v/>
      </c>
    </row>
    <row r="22" spans="1:53" ht="14.1" customHeight="1" thickBot="1" x14ac:dyDescent="0.3">
      <c r="A22" s="28"/>
      <c r="B22"/>
      <c r="C22"/>
      <c r="D22"/>
      <c r="E22"/>
      <c r="F22"/>
      <c r="G22"/>
      <c r="H22"/>
      <c r="I22" s="7"/>
      <c r="J22" s="134"/>
      <c r="K22" s="58" t="str">
        <f>IF(Lists!J10="","",Lists!J10)</f>
        <v/>
      </c>
      <c r="L22" s="50" t="str">
        <f>IF(Dashboard!$K22="","",COUNTIFS(Schedule!$C$116:$C$215,"=" &amp; Dashboard!$K22,Schedule!E$116:E$215,"&lt;&gt;" ))</f>
        <v/>
      </c>
      <c r="M22" s="51" t="str">
        <f>IF(Dashboard!$K22="","",COUNTIFS(Schedule!$C$116:$C$215,"=" &amp; Dashboard!$K22,Schedule!F$116:F$215,"&lt;&gt;" ))</f>
        <v/>
      </c>
      <c r="N22" s="51" t="str">
        <f>IF(Dashboard!$K22="","",COUNTIFS(Schedule!$C$116:$C$215,"=" &amp; Dashboard!$K22,Schedule!G$116:G$215,"&lt;&gt;" ))</f>
        <v/>
      </c>
      <c r="O22" s="51" t="str">
        <f>IF(Dashboard!$K22="","",COUNTIFS(Schedule!$C$116:$C$215,"=" &amp; Dashboard!$K22,Schedule!H$116:H$215,"&lt;&gt;" ))</f>
        <v/>
      </c>
      <c r="P22" s="51" t="str">
        <f>IF(Dashboard!$K22="","",COUNTIFS(Schedule!$C$116:$C$215,"=" &amp; Dashboard!$K22,Schedule!I$116:I$215,"&lt;&gt;" ))</f>
        <v/>
      </c>
      <c r="Q22" s="51" t="str">
        <f>IF(Dashboard!$K22="","",COUNTIFS(Schedule!$C$116:$C$215,"=" &amp; Dashboard!$K22,Schedule!J$116:J$215,"&lt;&gt;" ))</f>
        <v/>
      </c>
      <c r="R22" s="59" t="str">
        <f>IF(Dashboard!$K22="","",COUNTIFS(Schedule!$C$116:$C$215,"=" &amp; Dashboard!$K22,Schedule!K$116:K$215,"&lt;&gt;" ))</f>
        <v/>
      </c>
      <c r="S22" s="53" t="str">
        <f>IF(Dashboard!$K22="","",COUNTIFS(Schedule!$C$116:$C$215,"=" &amp; Dashboard!$K22,Schedule!L$116:L$215,"&lt;&gt;" ))</f>
        <v/>
      </c>
      <c r="T22" s="51" t="str">
        <f>IF(Dashboard!$K22="","",COUNTIFS(Schedule!$C$116:$C$215,"=" &amp; Dashboard!$K22,Schedule!M$116:M$215,"&lt;&gt;" ))</f>
        <v/>
      </c>
      <c r="U22" s="51" t="str">
        <f>IF(Dashboard!$K22="","",COUNTIFS(Schedule!$C$116:$C$215,"=" &amp; Dashboard!$K22,Schedule!N$116:N$215,"&lt;&gt;" ))</f>
        <v/>
      </c>
      <c r="V22" s="51" t="str">
        <f>IF(Dashboard!$K22="","",COUNTIFS(Schedule!$C$116:$C$215,"=" &amp; Dashboard!$K22,Schedule!O$116:O$215,"&lt;&gt;" ))</f>
        <v/>
      </c>
      <c r="W22" s="51" t="str">
        <f>IF(Dashboard!$K22="","",COUNTIFS(Schedule!$C$116:$C$215,"=" &amp; Dashboard!$K22,Schedule!P$116:P$215,"&lt;&gt;" ))</f>
        <v/>
      </c>
      <c r="X22" s="51" t="str">
        <f>IF(Dashboard!$K22="","",COUNTIFS(Schedule!$C$116:$C$215,"=" &amp; Dashboard!$K22,Schedule!Q$116:Q$215,"&lt;&gt;" ))</f>
        <v/>
      </c>
      <c r="Y22" s="52" t="str">
        <f>IF(Dashboard!$K22="","",COUNTIFS(Schedule!$C$116:$C$215,"=" &amp; Dashboard!$K22,Schedule!R$116:R$215,"&lt;&gt;" ))</f>
        <v/>
      </c>
      <c r="Z22" s="53" t="str">
        <f>IF(Dashboard!$K22="","",COUNTIFS(Schedule!$C$116:$C$215,"=" &amp; Dashboard!$K22,Schedule!S$116:S$215,"&lt;&gt;" ))</f>
        <v/>
      </c>
      <c r="AA22" s="51" t="str">
        <f>IF(Dashboard!$K22="","",COUNTIFS(Schedule!$C$116:$C$215,"=" &amp; Dashboard!$K22,Schedule!T$116:T$215,"&lt;&gt;" ))</f>
        <v/>
      </c>
      <c r="AB22" s="51" t="str">
        <f>IF(Dashboard!$K22="","",COUNTIFS(Schedule!$C$116:$C$215,"=" &amp; Dashboard!$K22,Schedule!U$116:U$215,"&lt;&gt;" ))</f>
        <v/>
      </c>
      <c r="AC22" s="51" t="str">
        <f>IF(Dashboard!$K22="","",COUNTIFS(Schedule!$C$116:$C$215,"=" &amp; Dashboard!$K22,Schedule!V$116:V$215,"&lt;&gt;" ))</f>
        <v/>
      </c>
      <c r="AD22" s="51" t="str">
        <f>IF(Dashboard!$K22="","",COUNTIFS(Schedule!$C$116:$C$215,"=" &amp; Dashboard!$K22,Schedule!W$116:W$215,"&lt;&gt;" ))</f>
        <v/>
      </c>
      <c r="AE22" s="51" t="str">
        <f>IF(Dashboard!$K22="","",COUNTIFS(Schedule!$C$116:$C$215,"=" &amp; Dashboard!$K22,Schedule!X$116:X$215,"&lt;&gt;" ))</f>
        <v/>
      </c>
      <c r="AF22" s="52" t="str">
        <f>IF(Dashboard!$K22="","",COUNTIFS(Schedule!$C$116:$C$215,"=" &amp; Dashboard!$K22,Schedule!Y$116:Y$215,"&lt;&gt;" ))</f>
        <v/>
      </c>
      <c r="AG22" s="53" t="str">
        <f>IF(Dashboard!$K22="","",COUNTIFS(Schedule!$C$116:$C$215,"=" &amp; Dashboard!$K22,Schedule!Z$116:Z$215,"&lt;&gt;" ))</f>
        <v/>
      </c>
      <c r="AH22" s="51" t="str">
        <f>IF(Dashboard!$K22="","",COUNTIFS(Schedule!$C$116:$C$215,"=" &amp; Dashboard!$K22,Schedule!AA$116:AA$215,"&lt;&gt;" ))</f>
        <v/>
      </c>
      <c r="AI22" s="51" t="str">
        <f>IF(Dashboard!$K22="","",COUNTIFS(Schedule!$C$116:$C$215,"=" &amp; Dashboard!$K22,Schedule!AB$116:AB$215,"&lt;&gt;" ))</f>
        <v/>
      </c>
      <c r="AJ22" s="51" t="str">
        <f>IF(Dashboard!$K22="","",COUNTIFS(Schedule!$C$116:$C$215,"=" &amp; Dashboard!$K22,Schedule!AC$116:AC$215,"&lt;&gt;" ))</f>
        <v/>
      </c>
      <c r="AK22" s="51" t="str">
        <f>IF(Dashboard!$K22="","",COUNTIFS(Schedule!$C$116:$C$215,"=" &amp; Dashboard!$K22,Schedule!AD$116:AD$215,"&lt;&gt;" ))</f>
        <v/>
      </c>
      <c r="AL22" s="51" t="str">
        <f>IF(Dashboard!$K22="","",COUNTIFS(Schedule!$C$116:$C$215,"=" &amp; Dashboard!$K22,Schedule!AE$116:AE$215,"&lt;&gt;" ))</f>
        <v/>
      </c>
      <c r="AM22" s="54" t="str">
        <f>IF(Dashboard!$K22="","",COUNTIFS(Schedule!$C$116:$C$215,"=" &amp; Dashboard!$K22,Schedule!AF$116:AF$215,"&lt;&gt;" ))</f>
        <v/>
      </c>
      <c r="AN22" s="53" t="str">
        <f>IF(Dashboard!$K22="","",COUNTIFS(Schedule!$C$116:$C$215,"=" &amp; Dashboard!$K22,Schedule!AG$116:AG$215,"&lt;&gt;" ))</f>
        <v/>
      </c>
      <c r="AO22" s="51" t="str">
        <f>IF(Dashboard!$K22="","",COUNTIFS(Schedule!$C$116:$C$215,"=" &amp; Dashboard!$K22,Schedule!AH$116:AH$215,"&lt;&gt;" ))</f>
        <v/>
      </c>
      <c r="AP22" s="51" t="str">
        <f>IF(Dashboard!$K22="","",COUNTIFS(Schedule!$C$116:$C$215,"=" &amp; Dashboard!$K22,Schedule!AI$116:AI$215,"&lt;&gt;" ))</f>
        <v/>
      </c>
      <c r="AQ22" s="51" t="str">
        <f>IF(Dashboard!$K22="","",COUNTIFS(Schedule!$C$116:$C$215,"=" &amp; Dashboard!$K22,Schedule!AJ$116:AJ$215,"&lt;&gt;" ))</f>
        <v/>
      </c>
      <c r="AR22" s="51" t="str">
        <f>IF(Dashboard!$K22="","",COUNTIFS(Schedule!$C$116:$C$215,"=" &amp; Dashboard!$K22,Schedule!AK$116:AK$215,"&lt;&gt;" ))</f>
        <v/>
      </c>
      <c r="AS22" s="51" t="str">
        <f>IF(Dashboard!$K22="","",COUNTIFS(Schedule!$C$116:$C$215,"=" &amp; Dashboard!$K22,Schedule!AL$116:AL$215,"&lt;&gt;" ))</f>
        <v/>
      </c>
      <c r="AT22" s="54" t="str">
        <f>IF(Dashboard!$K22="","",COUNTIFS(Schedule!$C$116:$C$215,"=" &amp; Dashboard!$K22,Schedule!AM$116:AM$215,"&lt;&gt;" ))</f>
        <v/>
      </c>
      <c r="AU22" s="53" t="str">
        <f>IF(Dashboard!$K22="","",COUNTIFS(Schedule!$C$116:$C$215,"=" &amp; Dashboard!$K22,Schedule!AN$116:AN$215,"&lt;&gt;" ))</f>
        <v/>
      </c>
      <c r="AV22" s="51" t="str">
        <f>IF(Dashboard!$K22="","",COUNTIFS(Schedule!$C$116:$C$215,"=" &amp; Dashboard!$K22,Schedule!AO$116:AO$215,"&lt;&gt;" ))</f>
        <v/>
      </c>
      <c r="AW22" s="51" t="str">
        <f>IF(Dashboard!$K22="","",COUNTIFS(Schedule!$C$116:$C$215,"=" &amp; Dashboard!$K22,Schedule!AP$116:AP$215,"&lt;&gt;" ))</f>
        <v/>
      </c>
      <c r="AX22" s="51" t="str">
        <f>IF(Dashboard!$K22="","",COUNTIFS(Schedule!$C$116:$C$215,"=" &amp; Dashboard!$K22,Schedule!AQ$116:AQ$215,"&lt;&gt;" ))</f>
        <v/>
      </c>
      <c r="AY22" s="51" t="str">
        <f>IF(Dashboard!$K22="","",COUNTIFS(Schedule!$C$116:$C$215,"=" &amp; Dashboard!$K22,Schedule!AR$116:AR$215,"&lt;&gt;" ))</f>
        <v/>
      </c>
      <c r="AZ22" s="51" t="str">
        <f>IF(Dashboard!$K22="","",COUNTIFS(Schedule!$C$116:$C$215,"=" &amp; Dashboard!$K22,Schedule!AS$116:AS$215,"&lt;&gt;" ))</f>
        <v/>
      </c>
      <c r="BA22" s="54" t="str">
        <f>IF(Dashboard!$K22="","",COUNTIFS(Schedule!$C$116:$C$215,"=" &amp; Dashboard!$K22,Schedule!AT$116:AT$215,"&lt;&gt;" ))</f>
        <v/>
      </c>
    </row>
    <row r="23" spans="1:53" ht="14.1" customHeight="1" x14ac:dyDescent="0.25">
      <c r="A23" s="28"/>
      <c r="B23"/>
      <c r="C23"/>
      <c r="D23"/>
      <c r="E23"/>
      <c r="F23"/>
      <c r="G23"/>
      <c r="H23"/>
      <c r="I23" s="7"/>
      <c r="J23" s="136" t="s">
        <v>47</v>
      </c>
      <c r="K23" s="56" t="str">
        <f>IF(Lists!J5="","",Lists!J5)</f>
        <v>Supervisor</v>
      </c>
      <c r="L23" s="46">
        <f>IF(Dashboard!$K23="","",COUNTIFS(Schedule!$C$224:$C$323,"=" &amp; Dashboard!$K23,Schedule!E$224:E$323,"&lt;&gt;" ))</f>
        <v>0</v>
      </c>
      <c r="M23" s="39">
        <f>IF(Dashboard!$K23="","",COUNTIFS(Schedule!$C$224:$C$323,"=" &amp; Dashboard!$K23,Schedule!F$224:F$323,"&lt;&gt;" ))</f>
        <v>0</v>
      </c>
      <c r="N23" s="39">
        <f>IF(Dashboard!$K23="","",COUNTIFS(Schedule!$C$224:$C$323,"=" &amp; Dashboard!$K23,Schedule!G$224:G$323,"&lt;&gt;" ))</f>
        <v>0</v>
      </c>
      <c r="O23" s="39">
        <f>IF(Dashboard!$K23="","",COUNTIFS(Schedule!$C$224:$C$323,"=" &amp; Dashboard!$K23,Schedule!H$224:H$323,"&lt;&gt;" ))</f>
        <v>0</v>
      </c>
      <c r="P23" s="39">
        <f>IF(Dashboard!$K23="","",COUNTIFS(Schedule!$C$224:$C$323,"=" &amp; Dashboard!$K23,Schedule!I$224:I$323,"&lt;&gt;" ))</f>
        <v>0</v>
      </c>
      <c r="Q23" s="39">
        <f>IF(Dashboard!$K23="","",COUNTIFS(Schedule!$C$224:$C$323,"=" &amp; Dashboard!$K23,Schedule!J$224:J$323,"&lt;&gt;" ))</f>
        <v>0</v>
      </c>
      <c r="R23" s="47">
        <f>IF(Dashboard!$K23="","",COUNTIFS(Schedule!$C$224:$C$323,"=" &amp; Dashboard!$K23,Schedule!K$224:K$323,"&lt;&gt;" ))</f>
        <v>0</v>
      </c>
      <c r="S23" s="48">
        <f>IF(Dashboard!$K23="","",COUNTIFS(Schedule!$C$224:$C$323,"=" &amp; Dashboard!$K23,Schedule!L$224:L$323,"&lt;&gt;" ))</f>
        <v>0</v>
      </c>
      <c r="T23" s="39">
        <f>IF(Dashboard!$K23="","",COUNTIFS(Schedule!$C$224:$C$323,"=" &amp; Dashboard!$K23,Schedule!M$224:M$323,"&lt;&gt;" ))</f>
        <v>0</v>
      </c>
      <c r="U23" s="39">
        <f>IF(Dashboard!$K23="","",COUNTIFS(Schedule!$C$224:$C$323,"=" &amp; Dashboard!$K23,Schedule!N$224:N$323,"&lt;&gt;" ))</f>
        <v>0</v>
      </c>
      <c r="V23" s="39">
        <f>IF(Dashboard!$K23="","",COUNTIFS(Schedule!$C$224:$C$323,"=" &amp; Dashboard!$K23,Schedule!O$224:O$323,"&lt;&gt;" ))</f>
        <v>0</v>
      </c>
      <c r="W23" s="39">
        <f>IF(Dashboard!$K23="","",COUNTIFS(Schedule!$C$224:$C$323,"=" &amp; Dashboard!$K23,Schedule!P$224:P$323,"&lt;&gt;" ))</f>
        <v>0</v>
      </c>
      <c r="X23" s="39">
        <f>IF(Dashboard!$K23="","",COUNTIFS(Schedule!$C$224:$C$323,"=" &amp; Dashboard!$K23,Schedule!Q$224:Q$323,"&lt;&gt;" ))</f>
        <v>0</v>
      </c>
      <c r="Y23" s="47">
        <f>IF(Dashboard!$K23="","",COUNTIFS(Schedule!$C$224:$C$323,"=" &amp; Dashboard!$K23,Schedule!R$224:R$323,"&lt;&gt;" ))</f>
        <v>0</v>
      </c>
      <c r="Z23" s="48">
        <f>IF(Dashboard!$K23="","",COUNTIFS(Schedule!$C$224:$C$323,"=" &amp; Dashboard!$K23,Schedule!S$224:S$323,"&lt;&gt;" ))</f>
        <v>0</v>
      </c>
      <c r="AA23" s="39">
        <f>IF(Dashboard!$K23="","",COUNTIFS(Schedule!$C$224:$C$323,"=" &amp; Dashboard!$K23,Schedule!T$224:T$323,"&lt;&gt;" ))</f>
        <v>0</v>
      </c>
      <c r="AB23" s="39">
        <f>IF(Dashboard!$K23="","",COUNTIFS(Schedule!$C$224:$C$323,"=" &amp; Dashboard!$K23,Schedule!U$224:U$323,"&lt;&gt;" ))</f>
        <v>0</v>
      </c>
      <c r="AC23" s="39">
        <f>IF(Dashboard!$K23="","",COUNTIFS(Schedule!$C$224:$C$323,"=" &amp; Dashboard!$K23,Schedule!V$224:V$323,"&lt;&gt;" ))</f>
        <v>0</v>
      </c>
      <c r="AD23" s="39">
        <f>IF(Dashboard!$K23="","",COUNTIFS(Schedule!$C$224:$C$323,"=" &amp; Dashboard!$K23,Schedule!W$224:W$323,"&lt;&gt;" ))</f>
        <v>0</v>
      </c>
      <c r="AE23" s="39">
        <f>IF(Dashboard!$K23="","",COUNTIFS(Schedule!$C$224:$C$323,"=" &amp; Dashboard!$K23,Schedule!X$224:X$323,"&lt;&gt;" ))</f>
        <v>0</v>
      </c>
      <c r="AF23" s="47">
        <f>IF(Dashboard!$K23="","",COUNTIFS(Schedule!$C$224:$C$323,"=" &amp; Dashboard!$K23,Schedule!Y$224:Y$323,"&lt;&gt;" ))</f>
        <v>0</v>
      </c>
      <c r="AG23" s="48">
        <f>IF(Dashboard!$K23="","",COUNTIFS(Schedule!$C$224:$C$323,"=" &amp; Dashboard!$K23,Schedule!Z$224:Z$323,"&lt;&gt;" ))</f>
        <v>0</v>
      </c>
      <c r="AH23" s="39">
        <f>IF(Dashboard!$K23="","",COUNTIFS(Schedule!$C$224:$C$323,"=" &amp; Dashboard!$K23,Schedule!AA$224:AA$323,"&lt;&gt;" ))</f>
        <v>0</v>
      </c>
      <c r="AI23" s="39">
        <f>IF(Dashboard!$K23="","",COUNTIFS(Schedule!$C$224:$C$323,"=" &amp; Dashboard!$K23,Schedule!AB$224:AB$323,"&lt;&gt;" ))</f>
        <v>0</v>
      </c>
      <c r="AJ23" s="39">
        <f>IF(Dashboard!$K23="","",COUNTIFS(Schedule!$C$224:$C$323,"=" &amp; Dashboard!$K23,Schedule!AC$224:AC$323,"&lt;&gt;" ))</f>
        <v>0</v>
      </c>
      <c r="AK23" s="39">
        <f>IF(Dashboard!$K23="","",COUNTIFS(Schedule!$C$224:$C$323,"=" &amp; Dashboard!$K23,Schedule!AD$224:AD$323,"&lt;&gt;" ))</f>
        <v>0</v>
      </c>
      <c r="AL23" s="39">
        <f>IF(Dashboard!$K23="","",COUNTIFS(Schedule!$C$224:$C$323,"=" &amp; Dashboard!$K23,Schedule!AE$224:AE$323,"&lt;&gt;" ))</f>
        <v>0</v>
      </c>
      <c r="AM23" s="49">
        <f>IF(Dashboard!$K23="","",COUNTIFS(Schedule!$C$224:$C$323,"=" &amp; Dashboard!$K23,Schedule!AF$224:AF$323,"&lt;&gt;" ))</f>
        <v>0</v>
      </c>
      <c r="AN23" s="48">
        <f>IF(Dashboard!$K23="","",COUNTIFS(Schedule!$C$224:$C$323,"=" &amp; Dashboard!$K23,Schedule!AG$224:AG$323,"&lt;&gt;" ))</f>
        <v>0</v>
      </c>
      <c r="AO23" s="39">
        <f>IF(Dashboard!$K23="","",COUNTIFS(Schedule!$C$224:$C$323,"=" &amp; Dashboard!$K23,Schedule!AH$224:AH$323,"&lt;&gt;" ))</f>
        <v>0</v>
      </c>
      <c r="AP23" s="39">
        <f>IF(Dashboard!$K23="","",COUNTIFS(Schedule!$C$224:$C$323,"=" &amp; Dashboard!$K23,Schedule!AI$224:AI$323,"&lt;&gt;" ))</f>
        <v>0</v>
      </c>
      <c r="AQ23" s="39">
        <f>IF(Dashboard!$K23="","",COUNTIFS(Schedule!$C$224:$C$323,"=" &amp; Dashboard!$K23,Schedule!AJ$224:AJ$323,"&lt;&gt;" ))</f>
        <v>0</v>
      </c>
      <c r="AR23" s="39">
        <f>IF(Dashboard!$K23="","",COUNTIFS(Schedule!$C$224:$C$323,"=" &amp; Dashboard!$K23,Schedule!AK$224:AK$323,"&lt;&gt;" ))</f>
        <v>0</v>
      </c>
      <c r="AS23" s="39">
        <f>IF(Dashboard!$K23="","",COUNTIFS(Schedule!$C$224:$C$323,"=" &amp; Dashboard!$K23,Schedule!AL$224:AL$323,"&lt;&gt;" ))</f>
        <v>0</v>
      </c>
      <c r="AT23" s="49">
        <f>IF(Dashboard!$K23="","",COUNTIFS(Schedule!$C$224:$C$323,"=" &amp; Dashboard!$K23,Schedule!AM$224:AM$323,"&lt;&gt;" ))</f>
        <v>0</v>
      </c>
      <c r="AU23" s="48">
        <f>IF(Dashboard!$K23="","",COUNTIFS(Schedule!$C$224:$C$323,"=" &amp; Dashboard!$K23,Schedule!AN$224:AN$323,"&lt;&gt;" ))</f>
        <v>0</v>
      </c>
      <c r="AV23" s="39">
        <f>IF(Dashboard!$K23="","",COUNTIFS(Schedule!$C$224:$C$323,"=" &amp; Dashboard!$K23,Schedule!AO$224:AO$323,"&lt;&gt;" ))</f>
        <v>0</v>
      </c>
      <c r="AW23" s="39">
        <f>IF(Dashboard!$K23="","",COUNTIFS(Schedule!$C$224:$C$323,"=" &amp; Dashboard!$K23,Schedule!AP$224:AP$323,"&lt;&gt;" ))</f>
        <v>0</v>
      </c>
      <c r="AX23" s="39">
        <f>IF(Dashboard!$K23="","",COUNTIFS(Schedule!$C$224:$C$323,"=" &amp; Dashboard!$K23,Schedule!AQ$224:AQ$323,"&lt;&gt;" ))</f>
        <v>0</v>
      </c>
      <c r="AY23" s="39">
        <f>IF(Dashboard!$K23="","",COUNTIFS(Schedule!$C$224:$C$323,"=" &amp; Dashboard!$K23,Schedule!AR$224:AR$323,"&lt;&gt;" ))</f>
        <v>0</v>
      </c>
      <c r="AZ23" s="39">
        <f>IF(Dashboard!$K23="","",COUNTIFS(Schedule!$C$224:$C$323,"=" &amp; Dashboard!$K23,Schedule!AS$224:AS$323,"&lt;&gt;" ))</f>
        <v>0</v>
      </c>
      <c r="BA23" s="49">
        <f>IF(Dashboard!$K23="","",COUNTIFS(Schedule!$C$224:$C$323,"=" &amp; Dashboard!$K23,Schedule!AT$224:AT$323,"&lt;&gt;" ))</f>
        <v>0</v>
      </c>
    </row>
    <row r="24" spans="1:53" ht="14.1" customHeight="1" x14ac:dyDescent="0.25">
      <c r="A24" s="28"/>
      <c r="B24"/>
      <c r="C24"/>
      <c r="D24"/>
      <c r="E24"/>
      <c r="F24"/>
      <c r="G24"/>
      <c r="H24"/>
      <c r="I24" s="7"/>
      <c r="J24" s="133"/>
      <c r="K24" s="55" t="str">
        <f>IF(Lists!J6="","",Lists!J6)</f>
        <v>General Worker</v>
      </c>
      <c r="L24" s="38">
        <f>IF(Dashboard!$K24="","",COUNTIFS(Schedule!$C$224:$C$323,"=" &amp; Dashboard!$K24,Schedule!E$224:E$323,"&lt;&gt;" ))</f>
        <v>0</v>
      </c>
      <c r="M24" s="32">
        <f>IF(Dashboard!$K24="","",COUNTIFS(Schedule!$C$224:$C$323,"=" &amp; Dashboard!$K24,Schedule!F$224:F$323,"&lt;&gt;" ))</f>
        <v>0</v>
      </c>
      <c r="N24" s="32">
        <f>IF(Dashboard!$K24="","",COUNTIFS(Schedule!$C$224:$C$323,"=" &amp; Dashboard!$K24,Schedule!G$224:G$323,"&lt;&gt;" ))</f>
        <v>0</v>
      </c>
      <c r="O24" s="32">
        <f>IF(Dashboard!$K24="","",COUNTIFS(Schedule!$C$224:$C$323,"=" &amp; Dashboard!$K24,Schedule!H$224:H$323,"&lt;&gt;" ))</f>
        <v>0</v>
      </c>
      <c r="P24" s="32">
        <f>IF(Dashboard!$K24="","",COUNTIFS(Schedule!$C$224:$C$323,"=" &amp; Dashboard!$K24,Schedule!I$224:I$323,"&lt;&gt;" ))</f>
        <v>0</v>
      </c>
      <c r="Q24" s="32">
        <f>IF(Dashboard!$K24="","",COUNTIFS(Schedule!$C$224:$C$323,"=" &amp; Dashboard!$K24,Schedule!J$224:J$323,"&lt;&gt;" ))</f>
        <v>0</v>
      </c>
      <c r="R24" s="33">
        <f>IF(Dashboard!$K24="","",COUNTIFS(Schedule!$C$224:$C$323,"=" &amp; Dashboard!$K24,Schedule!K$224:K$323,"&lt;&gt;" ))</f>
        <v>0</v>
      </c>
      <c r="S24" s="31">
        <f>IF(Dashboard!$K24="","",COUNTIFS(Schedule!$C$224:$C$323,"=" &amp; Dashboard!$K24,Schedule!L$224:L$323,"&lt;&gt;" ))</f>
        <v>0</v>
      </c>
      <c r="T24" s="32">
        <f>IF(Dashboard!$K24="","",COUNTIFS(Schedule!$C$224:$C$323,"=" &amp; Dashboard!$K24,Schedule!M$224:M$323,"&lt;&gt;" ))</f>
        <v>0</v>
      </c>
      <c r="U24" s="32">
        <f>IF(Dashboard!$K24="","",COUNTIFS(Schedule!$C$224:$C$323,"=" &amp; Dashboard!$K24,Schedule!N$224:N$323,"&lt;&gt;" ))</f>
        <v>0</v>
      </c>
      <c r="V24" s="32">
        <f>IF(Dashboard!$K24="","",COUNTIFS(Schedule!$C$224:$C$323,"=" &amp; Dashboard!$K24,Schedule!O$224:O$323,"&lt;&gt;" ))</f>
        <v>0</v>
      </c>
      <c r="W24" s="32">
        <f>IF(Dashboard!$K24="","",COUNTIFS(Schedule!$C$224:$C$323,"=" &amp; Dashboard!$K24,Schedule!P$224:P$323,"&lt;&gt;" ))</f>
        <v>0</v>
      </c>
      <c r="X24" s="32">
        <f>IF(Dashboard!$K24="","",COUNTIFS(Schedule!$C$224:$C$323,"=" &amp; Dashboard!$K24,Schedule!Q$224:Q$323,"&lt;&gt;" ))</f>
        <v>0</v>
      </c>
      <c r="Y24" s="33">
        <f>IF(Dashboard!$K24="","",COUNTIFS(Schedule!$C$224:$C$323,"=" &amp; Dashboard!$K24,Schedule!R$224:R$323,"&lt;&gt;" ))</f>
        <v>0</v>
      </c>
      <c r="Z24" s="31">
        <f>IF(Dashboard!$K24="","",COUNTIFS(Schedule!$C$224:$C$323,"=" &amp; Dashboard!$K24,Schedule!S$224:S$323,"&lt;&gt;" ))</f>
        <v>0</v>
      </c>
      <c r="AA24" s="32">
        <f>IF(Dashboard!$K24="","",COUNTIFS(Schedule!$C$224:$C$323,"=" &amp; Dashboard!$K24,Schedule!T$224:T$323,"&lt;&gt;" ))</f>
        <v>0</v>
      </c>
      <c r="AB24" s="32">
        <f>IF(Dashboard!$K24="","",COUNTIFS(Schedule!$C$224:$C$323,"=" &amp; Dashboard!$K24,Schedule!U$224:U$323,"&lt;&gt;" ))</f>
        <v>0</v>
      </c>
      <c r="AC24" s="32">
        <f>IF(Dashboard!$K24="","",COUNTIFS(Schedule!$C$224:$C$323,"=" &amp; Dashboard!$K24,Schedule!V$224:V$323,"&lt;&gt;" ))</f>
        <v>0</v>
      </c>
      <c r="AD24" s="32">
        <f>IF(Dashboard!$K24="","",COUNTIFS(Schedule!$C$224:$C$323,"=" &amp; Dashboard!$K24,Schedule!W$224:W$323,"&lt;&gt;" ))</f>
        <v>0</v>
      </c>
      <c r="AE24" s="32">
        <f>IF(Dashboard!$K24="","",COUNTIFS(Schedule!$C$224:$C$323,"=" &amp; Dashboard!$K24,Schedule!X$224:X$323,"&lt;&gt;" ))</f>
        <v>0</v>
      </c>
      <c r="AF24" s="33">
        <f>IF(Dashboard!$K24="","",COUNTIFS(Schedule!$C$224:$C$323,"=" &amp; Dashboard!$K24,Schedule!Y$224:Y$323,"&lt;&gt;" ))</f>
        <v>0</v>
      </c>
      <c r="AG24" s="31">
        <f>IF(Dashboard!$K24="","",COUNTIFS(Schedule!$C$224:$C$323,"=" &amp; Dashboard!$K24,Schedule!Z$224:Z$323,"&lt;&gt;" ))</f>
        <v>0</v>
      </c>
      <c r="AH24" s="32">
        <f>IF(Dashboard!$K24="","",COUNTIFS(Schedule!$C$224:$C$323,"=" &amp; Dashboard!$K24,Schedule!AA$224:AA$323,"&lt;&gt;" ))</f>
        <v>0</v>
      </c>
      <c r="AI24" s="32">
        <f>IF(Dashboard!$K24="","",COUNTIFS(Schedule!$C$224:$C$323,"=" &amp; Dashboard!$K24,Schedule!AB$224:AB$323,"&lt;&gt;" ))</f>
        <v>0</v>
      </c>
      <c r="AJ24" s="32">
        <f>IF(Dashboard!$K24="","",COUNTIFS(Schedule!$C$224:$C$323,"=" &amp; Dashboard!$K24,Schedule!AC$224:AC$323,"&lt;&gt;" ))</f>
        <v>0</v>
      </c>
      <c r="AK24" s="32">
        <f>IF(Dashboard!$K24="","",COUNTIFS(Schedule!$C$224:$C$323,"=" &amp; Dashboard!$K24,Schedule!AD$224:AD$323,"&lt;&gt;" ))</f>
        <v>0</v>
      </c>
      <c r="AL24" s="32">
        <f>IF(Dashboard!$K24="","",COUNTIFS(Schedule!$C$224:$C$323,"=" &amp; Dashboard!$K24,Schedule!AE$224:AE$323,"&lt;&gt;" ))</f>
        <v>0</v>
      </c>
      <c r="AM24" s="34">
        <f>IF(Dashboard!$K24="","",COUNTIFS(Schedule!$C$224:$C$323,"=" &amp; Dashboard!$K24,Schedule!AF$224:AF$323,"&lt;&gt;" ))</f>
        <v>0</v>
      </c>
      <c r="AN24" s="31">
        <f>IF(Dashboard!$K24="","",COUNTIFS(Schedule!$C$224:$C$323,"=" &amp; Dashboard!$K24,Schedule!AG$224:AG$323,"&lt;&gt;" ))</f>
        <v>0</v>
      </c>
      <c r="AO24" s="32">
        <f>IF(Dashboard!$K24="","",COUNTIFS(Schedule!$C$224:$C$323,"=" &amp; Dashboard!$K24,Schedule!AH$224:AH$323,"&lt;&gt;" ))</f>
        <v>0</v>
      </c>
      <c r="AP24" s="32">
        <f>IF(Dashboard!$K24="","",COUNTIFS(Schedule!$C$224:$C$323,"=" &amp; Dashboard!$K24,Schedule!AI$224:AI$323,"&lt;&gt;" ))</f>
        <v>0</v>
      </c>
      <c r="AQ24" s="32">
        <f>IF(Dashboard!$K24="","",COUNTIFS(Schedule!$C$224:$C$323,"=" &amp; Dashboard!$K24,Schedule!AJ$224:AJ$323,"&lt;&gt;" ))</f>
        <v>0</v>
      </c>
      <c r="AR24" s="32">
        <f>IF(Dashboard!$K24="","",COUNTIFS(Schedule!$C$224:$C$323,"=" &amp; Dashboard!$K24,Schedule!AK$224:AK$323,"&lt;&gt;" ))</f>
        <v>0</v>
      </c>
      <c r="AS24" s="32">
        <f>IF(Dashboard!$K24="","",COUNTIFS(Schedule!$C$224:$C$323,"=" &amp; Dashboard!$K24,Schedule!AL$224:AL$323,"&lt;&gt;" ))</f>
        <v>0</v>
      </c>
      <c r="AT24" s="34">
        <f>IF(Dashboard!$K24="","",COUNTIFS(Schedule!$C$224:$C$323,"=" &amp; Dashboard!$K24,Schedule!AM$224:AM$323,"&lt;&gt;" ))</f>
        <v>0</v>
      </c>
      <c r="AU24" s="31">
        <f>IF(Dashboard!$K24="","",COUNTIFS(Schedule!$C$224:$C$323,"=" &amp; Dashboard!$K24,Schedule!AN$224:AN$323,"&lt;&gt;" ))</f>
        <v>0</v>
      </c>
      <c r="AV24" s="32">
        <f>IF(Dashboard!$K24="","",COUNTIFS(Schedule!$C$224:$C$323,"=" &amp; Dashboard!$K24,Schedule!AO$224:AO$323,"&lt;&gt;" ))</f>
        <v>0</v>
      </c>
      <c r="AW24" s="32">
        <f>IF(Dashboard!$K24="","",COUNTIFS(Schedule!$C$224:$C$323,"=" &amp; Dashboard!$K24,Schedule!AP$224:AP$323,"&lt;&gt;" ))</f>
        <v>0</v>
      </c>
      <c r="AX24" s="32">
        <f>IF(Dashboard!$K24="","",COUNTIFS(Schedule!$C$224:$C$323,"=" &amp; Dashboard!$K24,Schedule!AQ$224:AQ$323,"&lt;&gt;" ))</f>
        <v>0</v>
      </c>
      <c r="AY24" s="32">
        <f>IF(Dashboard!$K24="","",COUNTIFS(Schedule!$C$224:$C$323,"=" &amp; Dashboard!$K24,Schedule!AR$224:AR$323,"&lt;&gt;" ))</f>
        <v>0</v>
      </c>
      <c r="AZ24" s="32">
        <f>IF(Dashboard!$K24="","",COUNTIFS(Schedule!$C$224:$C$323,"=" &amp; Dashboard!$K24,Schedule!AS$224:AS$323,"&lt;&gt;" ))</f>
        <v>0</v>
      </c>
      <c r="BA24" s="34">
        <f>IF(Dashboard!$K24="","",COUNTIFS(Schedule!$C$224:$C$323,"=" &amp; Dashboard!$K24,Schedule!AT$224:AT$323,"&lt;&gt;" ))</f>
        <v>0</v>
      </c>
    </row>
    <row r="25" spans="1:53" ht="14.1" customHeight="1" x14ac:dyDescent="0.25">
      <c r="A25" s="28"/>
      <c r="B25"/>
      <c r="C25"/>
      <c r="D25"/>
      <c r="E25"/>
      <c r="F25"/>
      <c r="G25"/>
      <c r="H25"/>
      <c r="I25" s="7"/>
      <c r="J25" s="133"/>
      <c r="K25" s="55" t="str">
        <f>IF(Lists!J7="","",Lists!J7)</f>
        <v>Shift Manager</v>
      </c>
      <c r="L25" s="38">
        <f>IF(Dashboard!$K25="","",COUNTIFS(Schedule!$C$224:$C$323,"=" &amp; Dashboard!$K25,Schedule!E$224:E$323,"&lt;&gt;" ))</f>
        <v>0</v>
      </c>
      <c r="M25" s="32">
        <f>IF(Dashboard!$K25="","",COUNTIFS(Schedule!$C$224:$C$323,"=" &amp; Dashboard!$K25,Schedule!F$224:F$323,"&lt;&gt;" ))</f>
        <v>0</v>
      </c>
      <c r="N25" s="32">
        <f>IF(Dashboard!$K25="","",COUNTIFS(Schedule!$C$224:$C$323,"=" &amp; Dashboard!$K25,Schedule!G$224:G$323,"&lt;&gt;" ))</f>
        <v>0</v>
      </c>
      <c r="O25" s="32">
        <f>IF(Dashboard!$K25="","",COUNTIFS(Schedule!$C$224:$C$323,"=" &amp; Dashboard!$K25,Schedule!H$224:H$323,"&lt;&gt;" ))</f>
        <v>0</v>
      </c>
      <c r="P25" s="32">
        <f>IF(Dashboard!$K25="","",COUNTIFS(Schedule!$C$224:$C$323,"=" &amp; Dashboard!$K25,Schedule!I$224:I$323,"&lt;&gt;" ))</f>
        <v>0</v>
      </c>
      <c r="Q25" s="32">
        <f>IF(Dashboard!$K25="","",COUNTIFS(Schedule!$C$224:$C$323,"=" &amp; Dashboard!$K25,Schedule!J$224:J$323,"&lt;&gt;" ))</f>
        <v>0</v>
      </c>
      <c r="R25" s="33">
        <f>IF(Dashboard!$K25="","",COUNTIFS(Schedule!$C$224:$C$323,"=" &amp; Dashboard!$K25,Schedule!K$224:K$323,"&lt;&gt;" ))</f>
        <v>0</v>
      </c>
      <c r="S25" s="31">
        <f>IF(Dashboard!$K25="","",COUNTIFS(Schedule!$C$224:$C$323,"=" &amp; Dashboard!$K25,Schedule!L$224:L$323,"&lt;&gt;" ))</f>
        <v>0</v>
      </c>
      <c r="T25" s="32">
        <f>IF(Dashboard!$K25="","",COUNTIFS(Schedule!$C$224:$C$323,"=" &amp; Dashboard!$K25,Schedule!M$224:M$323,"&lt;&gt;" ))</f>
        <v>0</v>
      </c>
      <c r="U25" s="32">
        <f>IF(Dashboard!$K25="","",COUNTIFS(Schedule!$C$224:$C$323,"=" &amp; Dashboard!$K25,Schedule!N$224:N$323,"&lt;&gt;" ))</f>
        <v>0</v>
      </c>
      <c r="V25" s="32">
        <f>IF(Dashboard!$K25="","",COUNTIFS(Schedule!$C$224:$C$323,"=" &amp; Dashboard!$K25,Schedule!O$224:O$323,"&lt;&gt;" ))</f>
        <v>0</v>
      </c>
      <c r="W25" s="32">
        <f>IF(Dashboard!$K25="","",COUNTIFS(Schedule!$C$224:$C$323,"=" &amp; Dashboard!$K25,Schedule!P$224:P$323,"&lt;&gt;" ))</f>
        <v>0</v>
      </c>
      <c r="X25" s="32">
        <f>IF(Dashboard!$K25="","",COUNTIFS(Schedule!$C$224:$C$323,"=" &amp; Dashboard!$K25,Schedule!Q$224:Q$323,"&lt;&gt;" ))</f>
        <v>0</v>
      </c>
      <c r="Y25" s="33">
        <f>IF(Dashboard!$K25="","",COUNTIFS(Schedule!$C$224:$C$323,"=" &amp; Dashboard!$K25,Schedule!R$224:R$323,"&lt;&gt;" ))</f>
        <v>0</v>
      </c>
      <c r="Z25" s="31">
        <f>IF(Dashboard!$K25="","",COUNTIFS(Schedule!$C$224:$C$323,"=" &amp; Dashboard!$K25,Schedule!S$224:S$323,"&lt;&gt;" ))</f>
        <v>0</v>
      </c>
      <c r="AA25" s="32">
        <f>IF(Dashboard!$K25="","",COUNTIFS(Schedule!$C$224:$C$323,"=" &amp; Dashboard!$K25,Schedule!T$224:T$323,"&lt;&gt;" ))</f>
        <v>0</v>
      </c>
      <c r="AB25" s="32">
        <f>IF(Dashboard!$K25="","",COUNTIFS(Schedule!$C$224:$C$323,"=" &amp; Dashboard!$K25,Schedule!U$224:U$323,"&lt;&gt;" ))</f>
        <v>0</v>
      </c>
      <c r="AC25" s="32">
        <f>IF(Dashboard!$K25="","",COUNTIFS(Schedule!$C$224:$C$323,"=" &amp; Dashboard!$K25,Schedule!V$224:V$323,"&lt;&gt;" ))</f>
        <v>0</v>
      </c>
      <c r="AD25" s="32">
        <f>IF(Dashboard!$K25="","",COUNTIFS(Schedule!$C$224:$C$323,"=" &amp; Dashboard!$K25,Schedule!W$224:W$323,"&lt;&gt;" ))</f>
        <v>0</v>
      </c>
      <c r="AE25" s="32">
        <f>IF(Dashboard!$K25="","",COUNTIFS(Schedule!$C$224:$C$323,"=" &amp; Dashboard!$K25,Schedule!X$224:X$323,"&lt;&gt;" ))</f>
        <v>0</v>
      </c>
      <c r="AF25" s="33">
        <f>IF(Dashboard!$K25="","",COUNTIFS(Schedule!$C$224:$C$323,"=" &amp; Dashboard!$K25,Schedule!Y$224:Y$323,"&lt;&gt;" ))</f>
        <v>0</v>
      </c>
      <c r="AG25" s="31">
        <f>IF(Dashboard!$K25="","",COUNTIFS(Schedule!$C$224:$C$323,"=" &amp; Dashboard!$K25,Schedule!Z$224:Z$323,"&lt;&gt;" ))</f>
        <v>0</v>
      </c>
      <c r="AH25" s="32">
        <f>IF(Dashboard!$K25="","",COUNTIFS(Schedule!$C$224:$C$323,"=" &amp; Dashboard!$K25,Schedule!AA$224:AA$323,"&lt;&gt;" ))</f>
        <v>0</v>
      </c>
      <c r="AI25" s="32">
        <f>IF(Dashboard!$K25="","",COUNTIFS(Schedule!$C$224:$C$323,"=" &amp; Dashboard!$K25,Schedule!AB$224:AB$323,"&lt;&gt;" ))</f>
        <v>0</v>
      </c>
      <c r="AJ25" s="32">
        <f>IF(Dashboard!$K25="","",COUNTIFS(Schedule!$C$224:$C$323,"=" &amp; Dashboard!$K25,Schedule!AC$224:AC$323,"&lt;&gt;" ))</f>
        <v>0</v>
      </c>
      <c r="AK25" s="32">
        <f>IF(Dashboard!$K25="","",COUNTIFS(Schedule!$C$224:$C$323,"=" &amp; Dashboard!$K25,Schedule!AD$224:AD$323,"&lt;&gt;" ))</f>
        <v>0</v>
      </c>
      <c r="AL25" s="32">
        <f>IF(Dashboard!$K25="","",COUNTIFS(Schedule!$C$224:$C$323,"=" &amp; Dashboard!$K25,Schedule!AE$224:AE$323,"&lt;&gt;" ))</f>
        <v>0</v>
      </c>
      <c r="AM25" s="34">
        <f>IF(Dashboard!$K25="","",COUNTIFS(Schedule!$C$224:$C$323,"=" &amp; Dashboard!$K25,Schedule!AF$224:AF$323,"&lt;&gt;" ))</f>
        <v>0</v>
      </c>
      <c r="AN25" s="31">
        <f>IF(Dashboard!$K25="","",COUNTIFS(Schedule!$C$224:$C$323,"=" &amp; Dashboard!$K25,Schedule!AG$224:AG$323,"&lt;&gt;" ))</f>
        <v>0</v>
      </c>
      <c r="AO25" s="32">
        <f>IF(Dashboard!$K25="","",COUNTIFS(Schedule!$C$224:$C$323,"=" &amp; Dashboard!$K25,Schedule!AH$224:AH$323,"&lt;&gt;" ))</f>
        <v>0</v>
      </c>
      <c r="AP25" s="32">
        <f>IF(Dashboard!$K25="","",COUNTIFS(Schedule!$C$224:$C$323,"=" &amp; Dashboard!$K25,Schedule!AI$224:AI$323,"&lt;&gt;" ))</f>
        <v>0</v>
      </c>
      <c r="AQ25" s="32">
        <f>IF(Dashboard!$K25="","",COUNTIFS(Schedule!$C$224:$C$323,"=" &amp; Dashboard!$K25,Schedule!AJ$224:AJ$323,"&lt;&gt;" ))</f>
        <v>0</v>
      </c>
      <c r="AR25" s="32">
        <f>IF(Dashboard!$K25="","",COUNTIFS(Schedule!$C$224:$C$323,"=" &amp; Dashboard!$K25,Schedule!AK$224:AK$323,"&lt;&gt;" ))</f>
        <v>0</v>
      </c>
      <c r="AS25" s="32">
        <f>IF(Dashboard!$K25="","",COUNTIFS(Schedule!$C$224:$C$323,"=" &amp; Dashboard!$K25,Schedule!AL$224:AL$323,"&lt;&gt;" ))</f>
        <v>0</v>
      </c>
      <c r="AT25" s="34">
        <f>IF(Dashboard!$K25="","",COUNTIFS(Schedule!$C$224:$C$323,"=" &amp; Dashboard!$K25,Schedule!AM$224:AM$323,"&lt;&gt;" ))</f>
        <v>0</v>
      </c>
      <c r="AU25" s="31">
        <f>IF(Dashboard!$K25="","",COUNTIFS(Schedule!$C$224:$C$323,"=" &amp; Dashboard!$K25,Schedule!AN$224:AN$323,"&lt;&gt;" ))</f>
        <v>0</v>
      </c>
      <c r="AV25" s="32">
        <f>IF(Dashboard!$K25="","",COUNTIFS(Schedule!$C$224:$C$323,"=" &amp; Dashboard!$K25,Schedule!AO$224:AO$323,"&lt;&gt;" ))</f>
        <v>0</v>
      </c>
      <c r="AW25" s="32">
        <f>IF(Dashboard!$K25="","",COUNTIFS(Schedule!$C$224:$C$323,"=" &amp; Dashboard!$K25,Schedule!AP$224:AP$323,"&lt;&gt;" ))</f>
        <v>0</v>
      </c>
      <c r="AX25" s="32">
        <f>IF(Dashboard!$K25="","",COUNTIFS(Schedule!$C$224:$C$323,"=" &amp; Dashboard!$K25,Schedule!AQ$224:AQ$323,"&lt;&gt;" ))</f>
        <v>0</v>
      </c>
      <c r="AY25" s="32">
        <f>IF(Dashboard!$K25="","",COUNTIFS(Schedule!$C$224:$C$323,"=" &amp; Dashboard!$K25,Schedule!AR$224:AR$323,"&lt;&gt;" ))</f>
        <v>0</v>
      </c>
      <c r="AZ25" s="32">
        <f>IF(Dashboard!$K25="","",COUNTIFS(Schedule!$C$224:$C$323,"=" &amp; Dashboard!$K25,Schedule!AS$224:AS$323,"&lt;&gt;" ))</f>
        <v>0</v>
      </c>
      <c r="BA25" s="34">
        <f>IF(Dashboard!$K25="","",COUNTIFS(Schedule!$C$224:$C$323,"=" &amp; Dashboard!$K25,Schedule!AT$224:AT$323,"&lt;&gt;" ))</f>
        <v>0</v>
      </c>
    </row>
    <row r="26" spans="1:53" ht="14.1" customHeight="1" x14ac:dyDescent="0.25">
      <c r="A26" s="28"/>
      <c r="B26"/>
      <c r="C26"/>
      <c r="D26"/>
      <c r="E26"/>
      <c r="F26"/>
      <c r="G26"/>
      <c r="H26"/>
      <c r="I26" s="7"/>
      <c r="J26" s="133"/>
      <c r="K26" s="55" t="str">
        <f>IF(Lists!J8="","",Lists!J8)</f>
        <v/>
      </c>
      <c r="L26" s="38" t="str">
        <f>IF(Dashboard!$K26="","",COUNTIFS(Schedule!$C$224:$C$323,"=" &amp; Dashboard!$K26,Schedule!E$224:E$323,"&lt;&gt;" ))</f>
        <v/>
      </c>
      <c r="M26" s="32" t="str">
        <f>IF(Dashboard!$K26="","",COUNTIFS(Schedule!$C$224:$C$323,"=" &amp; Dashboard!$K26,Schedule!F$224:F$323,"&lt;&gt;" ))</f>
        <v/>
      </c>
      <c r="N26" s="32" t="str">
        <f>IF(Dashboard!$K26="","",COUNTIFS(Schedule!$C$224:$C$323,"=" &amp; Dashboard!$K26,Schedule!G$224:G$323,"&lt;&gt;" ))</f>
        <v/>
      </c>
      <c r="O26" s="32" t="str">
        <f>IF(Dashboard!$K26="","",COUNTIFS(Schedule!$C$224:$C$323,"=" &amp; Dashboard!$K26,Schedule!H$224:H$323,"&lt;&gt;" ))</f>
        <v/>
      </c>
      <c r="P26" s="32" t="str">
        <f>IF(Dashboard!$K26="","",COUNTIFS(Schedule!$C$224:$C$323,"=" &amp; Dashboard!$K26,Schedule!I$224:I$323,"&lt;&gt;" ))</f>
        <v/>
      </c>
      <c r="Q26" s="32" t="str">
        <f>IF(Dashboard!$K26="","",COUNTIFS(Schedule!$C$224:$C$323,"=" &amp; Dashboard!$K26,Schedule!J$224:J$323,"&lt;&gt;" ))</f>
        <v/>
      </c>
      <c r="R26" s="33" t="str">
        <f>IF(Dashboard!$K26="","",COUNTIFS(Schedule!$C$224:$C$323,"=" &amp; Dashboard!$K26,Schedule!K$224:K$323,"&lt;&gt;" ))</f>
        <v/>
      </c>
      <c r="S26" s="31" t="str">
        <f>IF(Dashboard!$K26="","",COUNTIFS(Schedule!$C$224:$C$323,"=" &amp; Dashboard!$K26,Schedule!L$224:L$323,"&lt;&gt;" ))</f>
        <v/>
      </c>
      <c r="T26" s="32" t="str">
        <f>IF(Dashboard!$K26="","",COUNTIFS(Schedule!$C$224:$C$323,"=" &amp; Dashboard!$K26,Schedule!M$224:M$323,"&lt;&gt;" ))</f>
        <v/>
      </c>
      <c r="U26" s="32" t="str">
        <f>IF(Dashboard!$K26="","",COUNTIFS(Schedule!$C$224:$C$323,"=" &amp; Dashboard!$K26,Schedule!N$224:N$323,"&lt;&gt;" ))</f>
        <v/>
      </c>
      <c r="V26" s="32" t="str">
        <f>IF(Dashboard!$K26="","",COUNTIFS(Schedule!$C$224:$C$323,"=" &amp; Dashboard!$K26,Schedule!O$224:O$323,"&lt;&gt;" ))</f>
        <v/>
      </c>
      <c r="W26" s="32" t="str">
        <f>IF(Dashboard!$K26="","",COUNTIFS(Schedule!$C$224:$C$323,"=" &amp; Dashboard!$K26,Schedule!P$224:P$323,"&lt;&gt;" ))</f>
        <v/>
      </c>
      <c r="X26" s="32" t="str">
        <f>IF(Dashboard!$K26="","",COUNTIFS(Schedule!$C$224:$C$323,"=" &amp; Dashboard!$K26,Schedule!Q$224:Q$323,"&lt;&gt;" ))</f>
        <v/>
      </c>
      <c r="Y26" s="33" t="str">
        <f>IF(Dashboard!$K26="","",COUNTIFS(Schedule!$C$224:$C$323,"=" &amp; Dashboard!$K26,Schedule!R$224:R$323,"&lt;&gt;" ))</f>
        <v/>
      </c>
      <c r="Z26" s="31" t="str">
        <f>IF(Dashboard!$K26="","",COUNTIFS(Schedule!$C$224:$C$323,"=" &amp; Dashboard!$K26,Schedule!S$224:S$323,"&lt;&gt;" ))</f>
        <v/>
      </c>
      <c r="AA26" s="32" t="str">
        <f>IF(Dashboard!$K26="","",COUNTIFS(Schedule!$C$224:$C$323,"=" &amp; Dashboard!$K26,Schedule!T$224:T$323,"&lt;&gt;" ))</f>
        <v/>
      </c>
      <c r="AB26" s="32" t="str">
        <f>IF(Dashboard!$K26="","",COUNTIFS(Schedule!$C$224:$C$323,"=" &amp; Dashboard!$K26,Schedule!U$224:U$323,"&lt;&gt;" ))</f>
        <v/>
      </c>
      <c r="AC26" s="32" t="str">
        <f>IF(Dashboard!$K26="","",COUNTIFS(Schedule!$C$224:$C$323,"=" &amp; Dashboard!$K26,Schedule!V$224:V$323,"&lt;&gt;" ))</f>
        <v/>
      </c>
      <c r="AD26" s="32" t="str">
        <f>IF(Dashboard!$K26="","",COUNTIFS(Schedule!$C$224:$C$323,"=" &amp; Dashboard!$K26,Schedule!W$224:W$323,"&lt;&gt;" ))</f>
        <v/>
      </c>
      <c r="AE26" s="32" t="str">
        <f>IF(Dashboard!$K26="","",COUNTIFS(Schedule!$C$224:$C$323,"=" &amp; Dashboard!$K26,Schedule!X$224:X$323,"&lt;&gt;" ))</f>
        <v/>
      </c>
      <c r="AF26" s="33" t="str">
        <f>IF(Dashboard!$K26="","",COUNTIFS(Schedule!$C$224:$C$323,"=" &amp; Dashboard!$K26,Schedule!Y$224:Y$323,"&lt;&gt;" ))</f>
        <v/>
      </c>
      <c r="AG26" s="31" t="str">
        <f>IF(Dashboard!$K26="","",COUNTIFS(Schedule!$C$224:$C$323,"=" &amp; Dashboard!$K26,Schedule!Z$224:Z$323,"&lt;&gt;" ))</f>
        <v/>
      </c>
      <c r="AH26" s="32" t="str">
        <f>IF(Dashboard!$K26="","",COUNTIFS(Schedule!$C$224:$C$323,"=" &amp; Dashboard!$K26,Schedule!AA$224:AA$323,"&lt;&gt;" ))</f>
        <v/>
      </c>
      <c r="AI26" s="32" t="str">
        <f>IF(Dashboard!$K26="","",COUNTIFS(Schedule!$C$224:$C$323,"=" &amp; Dashboard!$K26,Schedule!AB$224:AB$323,"&lt;&gt;" ))</f>
        <v/>
      </c>
      <c r="AJ26" s="32" t="str">
        <f>IF(Dashboard!$K26="","",COUNTIFS(Schedule!$C$224:$C$323,"=" &amp; Dashboard!$K26,Schedule!AC$224:AC$323,"&lt;&gt;" ))</f>
        <v/>
      </c>
      <c r="AK26" s="32" t="str">
        <f>IF(Dashboard!$K26="","",COUNTIFS(Schedule!$C$224:$C$323,"=" &amp; Dashboard!$K26,Schedule!AD$224:AD$323,"&lt;&gt;" ))</f>
        <v/>
      </c>
      <c r="AL26" s="32" t="str">
        <f>IF(Dashboard!$K26="","",COUNTIFS(Schedule!$C$224:$C$323,"=" &amp; Dashboard!$K26,Schedule!AE$224:AE$323,"&lt;&gt;" ))</f>
        <v/>
      </c>
      <c r="AM26" s="34" t="str">
        <f>IF(Dashboard!$K26="","",COUNTIFS(Schedule!$C$224:$C$323,"=" &amp; Dashboard!$K26,Schedule!AF$224:AF$323,"&lt;&gt;" ))</f>
        <v/>
      </c>
      <c r="AN26" s="31" t="str">
        <f>IF(Dashboard!$K26="","",COUNTIFS(Schedule!$C$224:$C$323,"=" &amp; Dashboard!$K26,Schedule!AG$224:AG$323,"&lt;&gt;" ))</f>
        <v/>
      </c>
      <c r="AO26" s="32" t="str">
        <f>IF(Dashboard!$K26="","",COUNTIFS(Schedule!$C$224:$C$323,"=" &amp; Dashboard!$K26,Schedule!AH$224:AH$323,"&lt;&gt;" ))</f>
        <v/>
      </c>
      <c r="AP26" s="32" t="str">
        <f>IF(Dashboard!$K26="","",COUNTIFS(Schedule!$C$224:$C$323,"=" &amp; Dashboard!$K26,Schedule!AI$224:AI$323,"&lt;&gt;" ))</f>
        <v/>
      </c>
      <c r="AQ26" s="32" t="str">
        <f>IF(Dashboard!$K26="","",COUNTIFS(Schedule!$C$224:$C$323,"=" &amp; Dashboard!$K26,Schedule!AJ$224:AJ$323,"&lt;&gt;" ))</f>
        <v/>
      </c>
      <c r="AR26" s="32" t="str">
        <f>IF(Dashboard!$K26="","",COUNTIFS(Schedule!$C$224:$C$323,"=" &amp; Dashboard!$K26,Schedule!AK$224:AK$323,"&lt;&gt;" ))</f>
        <v/>
      </c>
      <c r="AS26" s="32" t="str">
        <f>IF(Dashboard!$K26="","",COUNTIFS(Schedule!$C$224:$C$323,"=" &amp; Dashboard!$K26,Schedule!AL$224:AL$323,"&lt;&gt;" ))</f>
        <v/>
      </c>
      <c r="AT26" s="34" t="str">
        <f>IF(Dashboard!$K26="","",COUNTIFS(Schedule!$C$224:$C$323,"=" &amp; Dashboard!$K26,Schedule!AM$224:AM$323,"&lt;&gt;" ))</f>
        <v/>
      </c>
      <c r="AU26" s="31" t="str">
        <f>IF(Dashboard!$K26="","",COUNTIFS(Schedule!$C$224:$C$323,"=" &amp; Dashboard!$K26,Schedule!AN$224:AN$323,"&lt;&gt;" ))</f>
        <v/>
      </c>
      <c r="AV26" s="32" t="str">
        <f>IF(Dashboard!$K26="","",COUNTIFS(Schedule!$C$224:$C$323,"=" &amp; Dashboard!$K26,Schedule!AO$224:AO$323,"&lt;&gt;" ))</f>
        <v/>
      </c>
      <c r="AW26" s="32" t="str">
        <f>IF(Dashboard!$K26="","",COUNTIFS(Schedule!$C$224:$C$323,"=" &amp; Dashboard!$K26,Schedule!AP$224:AP$323,"&lt;&gt;" ))</f>
        <v/>
      </c>
      <c r="AX26" s="32" t="str">
        <f>IF(Dashboard!$K26="","",COUNTIFS(Schedule!$C$224:$C$323,"=" &amp; Dashboard!$K26,Schedule!AQ$224:AQ$323,"&lt;&gt;" ))</f>
        <v/>
      </c>
      <c r="AY26" s="32" t="str">
        <f>IF(Dashboard!$K26="","",COUNTIFS(Schedule!$C$224:$C$323,"=" &amp; Dashboard!$K26,Schedule!AR$224:AR$323,"&lt;&gt;" ))</f>
        <v/>
      </c>
      <c r="AZ26" s="32" t="str">
        <f>IF(Dashboard!$K26="","",COUNTIFS(Schedule!$C$224:$C$323,"=" &amp; Dashboard!$K26,Schedule!AS$224:AS$323,"&lt;&gt;" ))</f>
        <v/>
      </c>
      <c r="BA26" s="34" t="str">
        <f>IF(Dashboard!$K26="","",COUNTIFS(Schedule!$C$224:$C$323,"=" &amp; Dashboard!$K26,Schedule!AT$224:AT$323,"&lt;&gt;" ))</f>
        <v/>
      </c>
    </row>
    <row r="27" spans="1:53" ht="14.1" customHeight="1" x14ac:dyDescent="0.25">
      <c r="A27" s="28"/>
      <c r="B27"/>
      <c r="C27"/>
      <c r="D27"/>
      <c r="E27"/>
      <c r="F27"/>
      <c r="G27"/>
      <c r="H27"/>
      <c r="I27" s="7"/>
      <c r="J27" s="133"/>
      <c r="K27" s="55" t="str">
        <f>IF(Lists!J9="","",Lists!J9)</f>
        <v/>
      </c>
      <c r="L27" s="38" t="str">
        <f>IF(Dashboard!$K27="","",COUNTIFS(Schedule!$C$224:$C$323,"=" &amp; Dashboard!$K27,Schedule!E$224:E$323,"&lt;&gt;" ))</f>
        <v/>
      </c>
      <c r="M27" s="32" t="str">
        <f>IF(Dashboard!$K27="","",COUNTIFS(Schedule!$C$224:$C$323,"=" &amp; Dashboard!$K27,Schedule!F$224:F$323,"&lt;&gt;" ))</f>
        <v/>
      </c>
      <c r="N27" s="32" t="str">
        <f>IF(Dashboard!$K27="","",COUNTIFS(Schedule!$C$224:$C$323,"=" &amp; Dashboard!$K27,Schedule!G$224:G$323,"&lt;&gt;" ))</f>
        <v/>
      </c>
      <c r="O27" s="32" t="str">
        <f>IF(Dashboard!$K27="","",COUNTIFS(Schedule!$C$224:$C$323,"=" &amp; Dashboard!$K27,Schedule!H$224:H$323,"&lt;&gt;" ))</f>
        <v/>
      </c>
      <c r="P27" s="32" t="str">
        <f>IF(Dashboard!$K27="","",COUNTIFS(Schedule!$C$224:$C$323,"=" &amp; Dashboard!$K27,Schedule!I$224:I$323,"&lt;&gt;" ))</f>
        <v/>
      </c>
      <c r="Q27" s="32" t="str">
        <f>IF(Dashboard!$K27="","",COUNTIFS(Schedule!$C$224:$C$323,"=" &amp; Dashboard!$K27,Schedule!J$224:J$323,"&lt;&gt;" ))</f>
        <v/>
      </c>
      <c r="R27" s="33" t="str">
        <f>IF(Dashboard!$K27="","",COUNTIFS(Schedule!$C$224:$C$323,"=" &amp; Dashboard!$K27,Schedule!K$224:K$323,"&lt;&gt;" ))</f>
        <v/>
      </c>
      <c r="S27" s="31" t="str">
        <f>IF(Dashboard!$K27="","",COUNTIFS(Schedule!$C$224:$C$323,"=" &amp; Dashboard!$K27,Schedule!L$224:L$323,"&lt;&gt;" ))</f>
        <v/>
      </c>
      <c r="T27" s="32" t="str">
        <f>IF(Dashboard!$K27="","",COUNTIFS(Schedule!$C$224:$C$323,"=" &amp; Dashboard!$K27,Schedule!M$224:M$323,"&lt;&gt;" ))</f>
        <v/>
      </c>
      <c r="U27" s="32" t="str">
        <f>IF(Dashboard!$K27="","",COUNTIFS(Schedule!$C$224:$C$323,"=" &amp; Dashboard!$K27,Schedule!N$224:N$323,"&lt;&gt;" ))</f>
        <v/>
      </c>
      <c r="V27" s="32" t="str">
        <f>IF(Dashboard!$K27="","",COUNTIFS(Schedule!$C$224:$C$323,"=" &amp; Dashboard!$K27,Schedule!O$224:O$323,"&lt;&gt;" ))</f>
        <v/>
      </c>
      <c r="W27" s="32" t="str">
        <f>IF(Dashboard!$K27="","",COUNTIFS(Schedule!$C$224:$C$323,"=" &amp; Dashboard!$K27,Schedule!P$224:P$323,"&lt;&gt;" ))</f>
        <v/>
      </c>
      <c r="X27" s="32" t="str">
        <f>IF(Dashboard!$K27="","",COUNTIFS(Schedule!$C$224:$C$323,"=" &amp; Dashboard!$K27,Schedule!Q$224:Q$323,"&lt;&gt;" ))</f>
        <v/>
      </c>
      <c r="Y27" s="33" t="str">
        <f>IF(Dashboard!$K27="","",COUNTIFS(Schedule!$C$224:$C$323,"=" &amp; Dashboard!$K27,Schedule!R$224:R$323,"&lt;&gt;" ))</f>
        <v/>
      </c>
      <c r="Z27" s="31" t="str">
        <f>IF(Dashboard!$K27="","",COUNTIFS(Schedule!$C$224:$C$323,"=" &amp; Dashboard!$K27,Schedule!S$224:S$323,"&lt;&gt;" ))</f>
        <v/>
      </c>
      <c r="AA27" s="32" t="str">
        <f>IF(Dashboard!$K27="","",COUNTIFS(Schedule!$C$224:$C$323,"=" &amp; Dashboard!$K27,Schedule!T$224:T$323,"&lt;&gt;" ))</f>
        <v/>
      </c>
      <c r="AB27" s="32" t="str">
        <f>IF(Dashboard!$K27="","",COUNTIFS(Schedule!$C$224:$C$323,"=" &amp; Dashboard!$K27,Schedule!U$224:U$323,"&lt;&gt;" ))</f>
        <v/>
      </c>
      <c r="AC27" s="32" t="str">
        <f>IF(Dashboard!$K27="","",COUNTIFS(Schedule!$C$224:$C$323,"=" &amp; Dashboard!$K27,Schedule!V$224:V$323,"&lt;&gt;" ))</f>
        <v/>
      </c>
      <c r="AD27" s="32" t="str">
        <f>IF(Dashboard!$K27="","",COUNTIFS(Schedule!$C$224:$C$323,"=" &amp; Dashboard!$K27,Schedule!W$224:W$323,"&lt;&gt;" ))</f>
        <v/>
      </c>
      <c r="AE27" s="32" t="str">
        <f>IF(Dashboard!$K27="","",COUNTIFS(Schedule!$C$224:$C$323,"=" &amp; Dashboard!$K27,Schedule!X$224:X$323,"&lt;&gt;" ))</f>
        <v/>
      </c>
      <c r="AF27" s="33" t="str">
        <f>IF(Dashboard!$K27="","",COUNTIFS(Schedule!$C$224:$C$323,"=" &amp; Dashboard!$K27,Schedule!Y$224:Y$323,"&lt;&gt;" ))</f>
        <v/>
      </c>
      <c r="AG27" s="31" t="str">
        <f>IF(Dashboard!$K27="","",COUNTIFS(Schedule!$C$224:$C$323,"=" &amp; Dashboard!$K27,Schedule!Z$224:Z$323,"&lt;&gt;" ))</f>
        <v/>
      </c>
      <c r="AH27" s="32" t="str">
        <f>IF(Dashboard!$K27="","",COUNTIFS(Schedule!$C$224:$C$323,"=" &amp; Dashboard!$K27,Schedule!AA$224:AA$323,"&lt;&gt;" ))</f>
        <v/>
      </c>
      <c r="AI27" s="32" t="str">
        <f>IF(Dashboard!$K27="","",COUNTIFS(Schedule!$C$224:$C$323,"=" &amp; Dashboard!$K27,Schedule!AB$224:AB$323,"&lt;&gt;" ))</f>
        <v/>
      </c>
      <c r="AJ27" s="32" t="str">
        <f>IF(Dashboard!$K27="","",COUNTIFS(Schedule!$C$224:$C$323,"=" &amp; Dashboard!$K27,Schedule!AC$224:AC$323,"&lt;&gt;" ))</f>
        <v/>
      </c>
      <c r="AK27" s="32" t="str">
        <f>IF(Dashboard!$K27="","",COUNTIFS(Schedule!$C$224:$C$323,"=" &amp; Dashboard!$K27,Schedule!AD$224:AD$323,"&lt;&gt;" ))</f>
        <v/>
      </c>
      <c r="AL27" s="32" t="str">
        <f>IF(Dashboard!$K27="","",COUNTIFS(Schedule!$C$224:$C$323,"=" &amp; Dashboard!$K27,Schedule!AE$224:AE$323,"&lt;&gt;" ))</f>
        <v/>
      </c>
      <c r="AM27" s="34" t="str">
        <f>IF(Dashboard!$K27="","",COUNTIFS(Schedule!$C$224:$C$323,"=" &amp; Dashboard!$K27,Schedule!AF$224:AF$323,"&lt;&gt;" ))</f>
        <v/>
      </c>
      <c r="AN27" s="31" t="str">
        <f>IF(Dashboard!$K27="","",COUNTIFS(Schedule!$C$224:$C$323,"=" &amp; Dashboard!$K27,Schedule!AG$224:AG$323,"&lt;&gt;" ))</f>
        <v/>
      </c>
      <c r="AO27" s="32" t="str">
        <f>IF(Dashboard!$K27="","",COUNTIFS(Schedule!$C$224:$C$323,"=" &amp; Dashboard!$K27,Schedule!AH$224:AH$323,"&lt;&gt;" ))</f>
        <v/>
      </c>
      <c r="AP27" s="32" t="str">
        <f>IF(Dashboard!$K27="","",COUNTIFS(Schedule!$C$224:$C$323,"=" &amp; Dashboard!$K27,Schedule!AI$224:AI$323,"&lt;&gt;" ))</f>
        <v/>
      </c>
      <c r="AQ27" s="32" t="str">
        <f>IF(Dashboard!$K27="","",COUNTIFS(Schedule!$C$224:$C$323,"=" &amp; Dashboard!$K27,Schedule!AJ$224:AJ$323,"&lt;&gt;" ))</f>
        <v/>
      </c>
      <c r="AR27" s="32" t="str">
        <f>IF(Dashboard!$K27="","",COUNTIFS(Schedule!$C$224:$C$323,"=" &amp; Dashboard!$K27,Schedule!AK$224:AK$323,"&lt;&gt;" ))</f>
        <v/>
      </c>
      <c r="AS27" s="32" t="str">
        <f>IF(Dashboard!$K27="","",COUNTIFS(Schedule!$C$224:$C$323,"=" &amp; Dashboard!$K27,Schedule!AL$224:AL$323,"&lt;&gt;" ))</f>
        <v/>
      </c>
      <c r="AT27" s="34" t="str">
        <f>IF(Dashboard!$K27="","",COUNTIFS(Schedule!$C$224:$C$323,"=" &amp; Dashboard!$K27,Schedule!AM$224:AM$323,"&lt;&gt;" ))</f>
        <v/>
      </c>
      <c r="AU27" s="31" t="str">
        <f>IF(Dashboard!$K27="","",COUNTIFS(Schedule!$C$224:$C$323,"=" &amp; Dashboard!$K27,Schedule!AN$224:AN$323,"&lt;&gt;" ))</f>
        <v/>
      </c>
      <c r="AV27" s="32" t="str">
        <f>IF(Dashboard!$K27="","",COUNTIFS(Schedule!$C$224:$C$323,"=" &amp; Dashboard!$K27,Schedule!AO$224:AO$323,"&lt;&gt;" ))</f>
        <v/>
      </c>
      <c r="AW27" s="32" t="str">
        <f>IF(Dashboard!$K27="","",COUNTIFS(Schedule!$C$224:$C$323,"=" &amp; Dashboard!$K27,Schedule!AP$224:AP$323,"&lt;&gt;" ))</f>
        <v/>
      </c>
      <c r="AX27" s="32" t="str">
        <f>IF(Dashboard!$K27="","",COUNTIFS(Schedule!$C$224:$C$323,"=" &amp; Dashboard!$K27,Schedule!AQ$224:AQ$323,"&lt;&gt;" ))</f>
        <v/>
      </c>
      <c r="AY27" s="32" t="str">
        <f>IF(Dashboard!$K27="","",COUNTIFS(Schedule!$C$224:$C$323,"=" &amp; Dashboard!$K27,Schedule!AR$224:AR$323,"&lt;&gt;" ))</f>
        <v/>
      </c>
      <c r="AZ27" s="32" t="str">
        <f>IF(Dashboard!$K27="","",COUNTIFS(Schedule!$C$224:$C$323,"=" &amp; Dashboard!$K27,Schedule!AS$224:AS$323,"&lt;&gt;" ))</f>
        <v/>
      </c>
      <c r="BA27" s="34" t="str">
        <f>IF(Dashboard!$K27="","",COUNTIFS(Schedule!$C$224:$C$323,"=" &amp; Dashboard!$K27,Schedule!AT$224:AT$323,"&lt;&gt;" ))</f>
        <v/>
      </c>
    </row>
    <row r="28" spans="1:53" ht="14.1" customHeight="1" x14ac:dyDescent="0.25">
      <c r="A28" s="28"/>
      <c r="B28"/>
      <c r="C28"/>
      <c r="D28"/>
      <c r="E28"/>
      <c r="F28"/>
      <c r="G28"/>
      <c r="H28"/>
      <c r="I28" s="7"/>
      <c r="J28" s="133"/>
      <c r="K28" s="55" t="str">
        <f>IF(Lists!J10="","",Lists!J10)</f>
        <v/>
      </c>
      <c r="L28" s="38" t="str">
        <f>IF(Dashboard!$K28="","",COUNTIFS(Schedule!$C$224:$C$323,"=" &amp; Dashboard!$K28,Schedule!E$224:E$323,"&lt;&gt;" ))</f>
        <v/>
      </c>
      <c r="M28" s="32" t="str">
        <f>IF(Dashboard!$K28="","",COUNTIFS(Schedule!$C$224:$C$323,"=" &amp; Dashboard!$K28,Schedule!F$224:F$323,"&lt;&gt;" ))</f>
        <v/>
      </c>
      <c r="N28" s="32" t="str">
        <f>IF(Dashboard!$K28="","",COUNTIFS(Schedule!$C$224:$C$323,"=" &amp; Dashboard!$K28,Schedule!G$224:G$323,"&lt;&gt;" ))</f>
        <v/>
      </c>
      <c r="O28" s="32" t="str">
        <f>IF(Dashboard!$K28="","",COUNTIFS(Schedule!$C$224:$C$323,"=" &amp; Dashboard!$K28,Schedule!H$224:H$323,"&lt;&gt;" ))</f>
        <v/>
      </c>
      <c r="P28" s="32" t="str">
        <f>IF(Dashboard!$K28="","",COUNTIFS(Schedule!$C$224:$C$323,"=" &amp; Dashboard!$K28,Schedule!I$224:I$323,"&lt;&gt;" ))</f>
        <v/>
      </c>
      <c r="Q28" s="32" t="str">
        <f>IF(Dashboard!$K28="","",COUNTIFS(Schedule!$C$224:$C$323,"=" &amp; Dashboard!$K28,Schedule!J$224:J$323,"&lt;&gt;" ))</f>
        <v/>
      </c>
      <c r="R28" s="33" t="str">
        <f>IF(Dashboard!$K28="","",COUNTIFS(Schedule!$C$224:$C$323,"=" &amp; Dashboard!$K28,Schedule!K$224:K$323,"&lt;&gt;" ))</f>
        <v/>
      </c>
      <c r="S28" s="31" t="str">
        <f>IF(Dashboard!$K28="","",COUNTIFS(Schedule!$C$224:$C$323,"=" &amp; Dashboard!$K28,Schedule!L$224:L$323,"&lt;&gt;" ))</f>
        <v/>
      </c>
      <c r="T28" s="32" t="str">
        <f>IF(Dashboard!$K28="","",COUNTIFS(Schedule!$C$224:$C$323,"=" &amp; Dashboard!$K28,Schedule!M$224:M$323,"&lt;&gt;" ))</f>
        <v/>
      </c>
      <c r="U28" s="32" t="str">
        <f>IF(Dashboard!$K28="","",COUNTIFS(Schedule!$C$224:$C$323,"=" &amp; Dashboard!$K28,Schedule!N$224:N$323,"&lt;&gt;" ))</f>
        <v/>
      </c>
      <c r="V28" s="32" t="str">
        <f>IF(Dashboard!$K28="","",COUNTIFS(Schedule!$C$224:$C$323,"=" &amp; Dashboard!$K28,Schedule!O$224:O$323,"&lt;&gt;" ))</f>
        <v/>
      </c>
      <c r="W28" s="32" t="str">
        <f>IF(Dashboard!$K28="","",COUNTIFS(Schedule!$C$224:$C$323,"=" &amp; Dashboard!$K28,Schedule!P$224:P$323,"&lt;&gt;" ))</f>
        <v/>
      </c>
      <c r="X28" s="32" t="str">
        <f>IF(Dashboard!$K28="","",COUNTIFS(Schedule!$C$224:$C$323,"=" &amp; Dashboard!$K28,Schedule!Q$224:Q$323,"&lt;&gt;" ))</f>
        <v/>
      </c>
      <c r="Y28" s="33" t="str">
        <f>IF(Dashboard!$K28="","",COUNTIFS(Schedule!$C$224:$C$323,"=" &amp; Dashboard!$K28,Schedule!R$224:R$323,"&lt;&gt;" ))</f>
        <v/>
      </c>
      <c r="Z28" s="31" t="str">
        <f>IF(Dashboard!$K28="","",COUNTIFS(Schedule!$C$224:$C$323,"=" &amp; Dashboard!$K28,Schedule!S$224:S$323,"&lt;&gt;" ))</f>
        <v/>
      </c>
      <c r="AA28" s="32" t="str">
        <f>IF(Dashboard!$K28="","",COUNTIFS(Schedule!$C$224:$C$323,"=" &amp; Dashboard!$K28,Schedule!T$224:T$323,"&lt;&gt;" ))</f>
        <v/>
      </c>
      <c r="AB28" s="32" t="str">
        <f>IF(Dashboard!$K28="","",COUNTIFS(Schedule!$C$224:$C$323,"=" &amp; Dashboard!$K28,Schedule!U$224:U$323,"&lt;&gt;" ))</f>
        <v/>
      </c>
      <c r="AC28" s="32" t="str">
        <f>IF(Dashboard!$K28="","",COUNTIFS(Schedule!$C$224:$C$323,"=" &amp; Dashboard!$K28,Schedule!V$224:V$323,"&lt;&gt;" ))</f>
        <v/>
      </c>
      <c r="AD28" s="32" t="str">
        <f>IF(Dashboard!$K28="","",COUNTIFS(Schedule!$C$224:$C$323,"=" &amp; Dashboard!$K28,Schedule!W$224:W$323,"&lt;&gt;" ))</f>
        <v/>
      </c>
      <c r="AE28" s="32" t="str">
        <f>IF(Dashboard!$K28="","",COUNTIFS(Schedule!$C$224:$C$323,"=" &amp; Dashboard!$K28,Schedule!X$224:X$323,"&lt;&gt;" ))</f>
        <v/>
      </c>
      <c r="AF28" s="33" t="str">
        <f>IF(Dashboard!$K28="","",COUNTIFS(Schedule!$C$224:$C$323,"=" &amp; Dashboard!$K28,Schedule!Y$224:Y$323,"&lt;&gt;" ))</f>
        <v/>
      </c>
      <c r="AG28" s="31" t="str">
        <f>IF(Dashboard!$K28="","",COUNTIFS(Schedule!$C$224:$C$323,"=" &amp; Dashboard!$K28,Schedule!Z$224:Z$323,"&lt;&gt;" ))</f>
        <v/>
      </c>
      <c r="AH28" s="32" t="str">
        <f>IF(Dashboard!$K28="","",COUNTIFS(Schedule!$C$224:$C$323,"=" &amp; Dashboard!$K28,Schedule!AA$224:AA$323,"&lt;&gt;" ))</f>
        <v/>
      </c>
      <c r="AI28" s="32" t="str">
        <f>IF(Dashboard!$K28="","",COUNTIFS(Schedule!$C$224:$C$323,"=" &amp; Dashboard!$K28,Schedule!AB$224:AB$323,"&lt;&gt;" ))</f>
        <v/>
      </c>
      <c r="AJ28" s="32" t="str">
        <f>IF(Dashboard!$K28="","",COUNTIFS(Schedule!$C$224:$C$323,"=" &amp; Dashboard!$K28,Schedule!AC$224:AC$323,"&lt;&gt;" ))</f>
        <v/>
      </c>
      <c r="AK28" s="32" t="str">
        <f>IF(Dashboard!$K28="","",COUNTIFS(Schedule!$C$224:$C$323,"=" &amp; Dashboard!$K28,Schedule!AD$224:AD$323,"&lt;&gt;" ))</f>
        <v/>
      </c>
      <c r="AL28" s="32" t="str">
        <f>IF(Dashboard!$K28="","",COUNTIFS(Schedule!$C$224:$C$323,"=" &amp; Dashboard!$K28,Schedule!AE$224:AE$323,"&lt;&gt;" ))</f>
        <v/>
      </c>
      <c r="AM28" s="34" t="str">
        <f>IF(Dashboard!$K28="","",COUNTIFS(Schedule!$C$224:$C$323,"=" &amp; Dashboard!$K28,Schedule!AF$224:AF$323,"&lt;&gt;" ))</f>
        <v/>
      </c>
      <c r="AN28" s="31" t="str">
        <f>IF(Dashboard!$K28="","",COUNTIFS(Schedule!$C$224:$C$323,"=" &amp; Dashboard!$K28,Schedule!AG$224:AG$323,"&lt;&gt;" ))</f>
        <v/>
      </c>
      <c r="AO28" s="32" t="str">
        <f>IF(Dashboard!$K28="","",COUNTIFS(Schedule!$C$224:$C$323,"=" &amp; Dashboard!$K28,Schedule!AH$224:AH$323,"&lt;&gt;" ))</f>
        <v/>
      </c>
      <c r="AP28" s="32" t="str">
        <f>IF(Dashboard!$K28="","",COUNTIFS(Schedule!$C$224:$C$323,"=" &amp; Dashboard!$K28,Schedule!AI$224:AI$323,"&lt;&gt;" ))</f>
        <v/>
      </c>
      <c r="AQ28" s="32" t="str">
        <f>IF(Dashboard!$K28="","",COUNTIFS(Schedule!$C$224:$C$323,"=" &amp; Dashboard!$K28,Schedule!AJ$224:AJ$323,"&lt;&gt;" ))</f>
        <v/>
      </c>
      <c r="AR28" s="32" t="str">
        <f>IF(Dashboard!$K28="","",COUNTIFS(Schedule!$C$224:$C$323,"=" &amp; Dashboard!$K28,Schedule!AK$224:AK$323,"&lt;&gt;" ))</f>
        <v/>
      </c>
      <c r="AS28" s="32" t="str">
        <f>IF(Dashboard!$K28="","",COUNTIFS(Schedule!$C$224:$C$323,"=" &amp; Dashboard!$K28,Schedule!AL$224:AL$323,"&lt;&gt;" ))</f>
        <v/>
      </c>
      <c r="AT28" s="34" t="str">
        <f>IF(Dashboard!$K28="","",COUNTIFS(Schedule!$C$224:$C$323,"=" &amp; Dashboard!$K28,Schedule!AM$224:AM$323,"&lt;&gt;" ))</f>
        <v/>
      </c>
      <c r="AU28" s="31" t="str">
        <f>IF(Dashboard!$K28="","",COUNTIFS(Schedule!$C$224:$C$323,"=" &amp; Dashboard!$K28,Schedule!AN$224:AN$323,"&lt;&gt;" ))</f>
        <v/>
      </c>
      <c r="AV28" s="32" t="str">
        <f>IF(Dashboard!$K28="","",COUNTIFS(Schedule!$C$224:$C$323,"=" &amp; Dashboard!$K28,Schedule!AO$224:AO$323,"&lt;&gt;" ))</f>
        <v/>
      </c>
      <c r="AW28" s="32" t="str">
        <f>IF(Dashboard!$K28="","",COUNTIFS(Schedule!$C$224:$C$323,"=" &amp; Dashboard!$K28,Schedule!AP$224:AP$323,"&lt;&gt;" ))</f>
        <v/>
      </c>
      <c r="AX28" s="32" t="str">
        <f>IF(Dashboard!$K28="","",COUNTIFS(Schedule!$C$224:$C$323,"=" &amp; Dashboard!$K28,Schedule!AQ$224:AQ$323,"&lt;&gt;" ))</f>
        <v/>
      </c>
      <c r="AY28" s="32" t="str">
        <f>IF(Dashboard!$K28="","",COUNTIFS(Schedule!$C$224:$C$323,"=" &amp; Dashboard!$K28,Schedule!AR$224:AR$323,"&lt;&gt;" ))</f>
        <v/>
      </c>
      <c r="AZ28" s="32" t="str">
        <f>IF(Dashboard!$K28="","",COUNTIFS(Schedule!$C$224:$C$323,"=" &amp; Dashboard!$K28,Schedule!AS$224:AS$323,"&lt;&gt;" ))</f>
        <v/>
      </c>
      <c r="BA28" s="34" t="str">
        <f>IF(Dashboard!$K28="","",COUNTIFS(Schedule!$C$224:$C$323,"=" &amp; Dashboard!$K28,Schedule!AT$224:AT$323,"&lt;&gt;" ))</f>
        <v/>
      </c>
    </row>
    <row r="29" spans="1:53" ht="14.1" customHeight="1" x14ac:dyDescent="0.25">
      <c r="A29" s="28"/>
      <c r="B29"/>
      <c r="C29"/>
      <c r="D29"/>
      <c r="E29"/>
      <c r="F29"/>
      <c r="G29"/>
      <c r="H29"/>
      <c r="I29" s="7"/>
    </row>
    <row r="30" spans="1:53" ht="14.1" customHeight="1" x14ac:dyDescent="0.25">
      <c r="A30" s="28"/>
      <c r="B30"/>
      <c r="C30"/>
      <c r="D30"/>
      <c r="E30"/>
      <c r="F30"/>
      <c r="G30"/>
      <c r="H30"/>
      <c r="I30" s="7"/>
    </row>
    <row r="31" spans="1:53" ht="14.1" customHeight="1" x14ac:dyDescent="0.25">
      <c r="A31" s="28"/>
      <c r="B31" s="130" t="s">
        <v>80</v>
      </c>
      <c r="C31" s="130" t="s">
        <v>81</v>
      </c>
      <c r="D31" s="130"/>
      <c r="E31" s="130"/>
      <c r="F31" s="130"/>
      <c r="G31" s="130"/>
      <c r="H31" s="130"/>
      <c r="I31" s="7"/>
      <c r="J31"/>
      <c r="K31"/>
      <c r="L31"/>
      <c r="M31"/>
      <c r="N31"/>
      <c r="O31"/>
      <c r="P31"/>
      <c r="Q31"/>
      <c r="R31"/>
      <c r="S31"/>
      <c r="T31"/>
    </row>
    <row r="32" spans="1:53" ht="14.1" customHeight="1" x14ac:dyDescent="0.25">
      <c r="A32" s="28"/>
      <c r="B32" s="130"/>
      <c r="C32" s="71">
        <f>Schedule!E5</f>
        <v>44067</v>
      </c>
      <c r="D32" s="71">
        <f>Schedule!L5</f>
        <v>44074</v>
      </c>
      <c r="E32" s="71">
        <f>Schedule!S5</f>
        <v>44081</v>
      </c>
      <c r="F32" s="71">
        <f>Schedule!Z5</f>
        <v>44088</v>
      </c>
      <c r="G32" s="71">
        <f>Schedule!AG5</f>
        <v>44095</v>
      </c>
      <c r="H32" s="71">
        <f>Schedule!AN5</f>
        <v>44102</v>
      </c>
      <c r="I32" s="7"/>
      <c r="J32"/>
      <c r="K32"/>
      <c r="L32"/>
      <c r="M32"/>
      <c r="N32"/>
      <c r="O32"/>
      <c r="P32"/>
      <c r="Q32"/>
      <c r="R32"/>
      <c r="S32"/>
      <c r="T32"/>
    </row>
    <row r="33" spans="1:20" ht="15.4" customHeight="1" x14ac:dyDescent="0.25">
      <c r="A33" s="28"/>
      <c r="B33" s="40" t="str">
        <f>IF(Lists!B5=0,"",Lists!B5)</f>
        <v>Employee 1</v>
      </c>
      <c r="C33" s="42" t="str">
        <f>IFERROR(IF(COUNTIF(Schedule!$A$8:$A$107,Dashboard!$B33)&gt;0,INDEX(Schedule!$AU$8:$AZ$107,MATCH(Dashboard!$B33,Schedule!$A$8:$A$107,0),MATCH(Dashboard!C$32,Schedule!$AU$5:$AZ$5,0)),IF(COUNTIF(Schedule!$A$116:$A$215,Dashboard!$B33)&gt;0,INDEX(Schedule!$AU$116:$AZ$215,MATCH(Dashboard!$B33,Schedule!$A$116:$A$215,0),MATCH(Dashboard!C$32,Schedule!$AU$113:$AZ$113,0)),INDEX(Schedule!$AU$224:$AZ$323,MATCH(Dashboard!$B33,Schedule!$A$224:$A$323,0),MATCH(Dashboard!C$32,Schedule!$AU$221:$AZ$221,0)))),"")</f>
        <v/>
      </c>
      <c r="D33" s="42" t="str">
        <f>IFERROR(IF(COUNTIF(Schedule!$A$8:$A$107,Dashboard!$B33)&gt;0,INDEX(Schedule!$AU$8:$AZ$107,MATCH(Dashboard!$B33,Schedule!$A$8:$A$107,0),MATCH(Dashboard!D$32,Schedule!$AU$5:$AZ$5,0)),IF(COUNTIF(Schedule!$A$116:$A$215,Dashboard!$B33)&gt;0,INDEX(Schedule!$AU$116:$AZ$215,MATCH(Dashboard!$B33,Schedule!$A$116:$A$215,0),MATCH(Dashboard!D$32,Schedule!$AU$113:$AZ$113,0)),INDEX(Schedule!$AU$224:$AZ$323,MATCH(Dashboard!$B33,Schedule!$A$224:$A$323,0),MATCH(Dashboard!D$32,Schedule!$AU$221:$AZ$221,0)))),"")</f>
        <v/>
      </c>
      <c r="E33" s="42" t="str">
        <f>IFERROR(IF(COUNTIF(Schedule!$A$8:$A$107,Dashboard!$B33)&gt;0,INDEX(Schedule!$AU$8:$AZ$107,MATCH(Dashboard!$B33,Schedule!$A$8:$A$107,0),MATCH(Dashboard!E$32,Schedule!$AU$5:$AZ$5,0)),IF(COUNTIF(Schedule!$A$116:$A$215,Dashboard!$B33)&gt;0,INDEX(Schedule!$AU$116:$AZ$215,MATCH(Dashboard!$B33,Schedule!$A$116:$A$215,0),MATCH(Dashboard!E$32,Schedule!$AU$113:$AZ$113,0)),INDEX(Schedule!$AU$224:$AZ$323,MATCH(Dashboard!$B33,Schedule!$A$224:$A$323,0),MATCH(Dashboard!E$32,Schedule!$AU$221:$AZ$221,0)))),"")</f>
        <v/>
      </c>
      <c r="F33" s="42" t="str">
        <f>IFERROR(IF(COUNTIF(Schedule!$A$8:$A$107,Dashboard!$B33)&gt;0,INDEX(Schedule!$AU$8:$AZ$107,MATCH(Dashboard!$B33,Schedule!$A$8:$A$107,0),MATCH(Dashboard!F$32,Schedule!$AU$5:$AZ$5,0)),IF(COUNTIF(Schedule!$A$116:$A$215,Dashboard!$B33)&gt;0,INDEX(Schedule!$AU$116:$AZ$215,MATCH(Dashboard!$B33,Schedule!$A$116:$A$215,0),MATCH(Dashboard!F$32,Schedule!$AU$113:$AZ$113,0)),INDEX(Schedule!$AU$224:$AZ$323,MATCH(Dashboard!$B33,Schedule!$A$224:$A$323,0),MATCH(Dashboard!F$32,Schedule!$AU$221:$AZ$221,0)))),"")</f>
        <v/>
      </c>
      <c r="G33" s="42" t="str">
        <f>IFERROR(IF(COUNTIF(Schedule!$A$8:$A$107,Dashboard!$B33)&gt;0,INDEX(Schedule!$AU$8:$AZ$107,MATCH(Dashboard!$B33,Schedule!$A$8:$A$107,0),MATCH(Dashboard!G$32,Schedule!$AU$5:$AZ$5,0)),IF(COUNTIF(Schedule!$A$116:$A$215,Dashboard!$B33)&gt;0,INDEX(Schedule!$AU$116:$AZ$215,MATCH(Dashboard!$B33,Schedule!$A$116:$A$215,0),MATCH(Dashboard!G$32,Schedule!$AU$113:$AZ$113,0)),INDEX(Schedule!$AU$224:$AZ$323,MATCH(Dashboard!$B33,Schedule!$A$224:$A$323,0),MATCH(Dashboard!G$32,Schedule!$AU$221:$AZ$221,0)))),"")</f>
        <v/>
      </c>
      <c r="H33" s="42" t="str">
        <f>IFERROR(IF(COUNTIF(Schedule!$A$8:$A$107,Dashboard!$B33)&gt;0,INDEX(Schedule!$AU$8:$AZ$107,MATCH(Dashboard!$B33,Schedule!$A$8:$A$107,0),MATCH(Dashboard!H$32,Schedule!$AU$5:$AZ$5,0)),IF(COUNTIF(Schedule!$A$116:$A$215,Dashboard!$B33)&gt;0,INDEX(Schedule!$AU$116:$AZ$215,MATCH(Dashboard!$B33,Schedule!$A$116:$A$215,0),MATCH(Dashboard!H$32,Schedule!$AU$113:$AZ$113,0)),INDEX(Schedule!$AU$224:$AZ$323,MATCH(Dashboard!$B33,Schedule!$A$224:$A$323,0),MATCH(Dashboard!H$32,Schedule!$AU$221:$AZ$221,0)))),"")</f>
        <v/>
      </c>
      <c r="I33" s="28"/>
      <c r="J33"/>
      <c r="K33"/>
      <c r="L33"/>
      <c r="M33"/>
      <c r="N33"/>
      <c r="O33"/>
      <c r="P33"/>
      <c r="Q33"/>
      <c r="R33"/>
      <c r="S33"/>
      <c r="T33"/>
    </row>
    <row r="34" spans="1:20" ht="14.1" customHeight="1" x14ac:dyDescent="0.25">
      <c r="A34" s="28"/>
      <c r="B34" s="40" t="str">
        <f>IF(Lists!B6=0,"",Lists!B6)</f>
        <v>Employee 2</v>
      </c>
      <c r="C34" s="42" t="str">
        <f>IFERROR(IF(COUNTIF(Schedule!$A$8:$A$107,Dashboard!$B34)&gt;0,INDEX(Schedule!$AU$8:$AZ$107,MATCH(Dashboard!$B34,Schedule!$A$8:$A$107,0),MATCH(Dashboard!C$32,Schedule!$AU$5:$AZ$5,0)),IF(COUNTIF(Schedule!$A$116:$A$215,Dashboard!$B34)&gt;0,INDEX(Schedule!$AU$116:$AZ$215,MATCH(Dashboard!$B34,Schedule!$A$116:$A$215,0),MATCH(Dashboard!C$32,Schedule!$AU$113:$AZ$113,0)),INDEX(Schedule!$AU$224:$AZ$323,MATCH(Dashboard!$B34,Schedule!$A$224:$A$323,0),MATCH(Dashboard!C$32,Schedule!$AU$221:$AZ$221,0)))),"")</f>
        <v/>
      </c>
      <c r="D34" s="42" t="str">
        <f>IFERROR(IF(COUNTIF(Schedule!$A$8:$A$107,Dashboard!$B34)&gt;0,INDEX(Schedule!$AU$8:$AZ$107,MATCH(Dashboard!$B34,Schedule!$A$8:$A$107,0),MATCH(Dashboard!D$32,Schedule!$AU$5:$AZ$5,0)),IF(COUNTIF(Schedule!$A$116:$A$215,Dashboard!$B34)&gt;0,INDEX(Schedule!$AU$116:$AZ$215,MATCH(Dashboard!$B34,Schedule!$A$116:$A$215,0),MATCH(Dashboard!D$32,Schedule!$AU$113:$AZ$113,0)),INDEX(Schedule!$AU$224:$AZ$323,MATCH(Dashboard!$B34,Schedule!$A$224:$A$323,0),MATCH(Dashboard!D$32,Schedule!$AU$221:$AZ$221,0)))),"")</f>
        <v/>
      </c>
      <c r="E34" s="42" t="str">
        <f>IFERROR(IF(COUNTIF(Schedule!$A$8:$A$107,Dashboard!$B34)&gt;0,INDEX(Schedule!$AU$8:$AZ$107,MATCH(Dashboard!$B34,Schedule!$A$8:$A$107,0),MATCH(Dashboard!E$32,Schedule!$AU$5:$AZ$5,0)),IF(COUNTIF(Schedule!$A$116:$A$215,Dashboard!$B34)&gt;0,INDEX(Schedule!$AU$116:$AZ$215,MATCH(Dashboard!$B34,Schedule!$A$116:$A$215,0),MATCH(Dashboard!E$32,Schedule!$AU$113:$AZ$113,0)),INDEX(Schedule!$AU$224:$AZ$323,MATCH(Dashboard!$B34,Schedule!$A$224:$A$323,0),MATCH(Dashboard!E$32,Schedule!$AU$221:$AZ$221,0)))),"")</f>
        <v/>
      </c>
      <c r="F34" s="42" t="str">
        <f>IFERROR(IF(COUNTIF(Schedule!$A$8:$A$107,Dashboard!$B34)&gt;0,INDEX(Schedule!$AU$8:$AZ$107,MATCH(Dashboard!$B34,Schedule!$A$8:$A$107,0),MATCH(Dashboard!F$32,Schedule!$AU$5:$AZ$5,0)),IF(COUNTIF(Schedule!$A$116:$A$215,Dashboard!$B34)&gt;0,INDEX(Schedule!$AU$116:$AZ$215,MATCH(Dashboard!$B34,Schedule!$A$116:$A$215,0),MATCH(Dashboard!F$32,Schedule!$AU$113:$AZ$113,0)),INDEX(Schedule!$AU$224:$AZ$323,MATCH(Dashboard!$B34,Schedule!$A$224:$A$323,0),MATCH(Dashboard!F$32,Schedule!$AU$221:$AZ$221,0)))),"")</f>
        <v/>
      </c>
      <c r="G34" s="42" t="str">
        <f>IFERROR(IF(COUNTIF(Schedule!$A$8:$A$107,Dashboard!$B34)&gt;0,INDEX(Schedule!$AU$8:$AZ$107,MATCH(Dashboard!$B34,Schedule!$A$8:$A$107,0),MATCH(Dashboard!G$32,Schedule!$AU$5:$AZ$5,0)),IF(COUNTIF(Schedule!$A$116:$A$215,Dashboard!$B34)&gt;0,INDEX(Schedule!$AU$116:$AZ$215,MATCH(Dashboard!$B34,Schedule!$A$116:$A$215,0),MATCH(Dashboard!G$32,Schedule!$AU$113:$AZ$113,0)),INDEX(Schedule!$AU$224:$AZ$323,MATCH(Dashboard!$B34,Schedule!$A$224:$A$323,0),MATCH(Dashboard!G$32,Schedule!$AU$221:$AZ$221,0)))),"")</f>
        <v/>
      </c>
      <c r="H34" s="42" t="str">
        <f>IFERROR(IF(COUNTIF(Schedule!$A$8:$A$107,Dashboard!$B34)&gt;0,INDEX(Schedule!$AU$8:$AZ$107,MATCH(Dashboard!$B34,Schedule!$A$8:$A$107,0),MATCH(Dashboard!H$32,Schedule!$AU$5:$AZ$5,0)),IF(COUNTIF(Schedule!$A$116:$A$215,Dashboard!$B34)&gt;0,INDEX(Schedule!$AU$116:$AZ$215,MATCH(Dashboard!$B34,Schedule!$A$116:$A$215,0),MATCH(Dashboard!H$32,Schedule!$AU$113:$AZ$113,0)),INDEX(Schedule!$AU$224:$AZ$323,MATCH(Dashboard!$B34,Schedule!$A$224:$A$323,0),MATCH(Dashboard!H$32,Schedule!$AU$221:$AZ$221,0)))),"")</f>
        <v/>
      </c>
      <c r="I34" s="28"/>
      <c r="J34"/>
      <c r="K34"/>
      <c r="L34"/>
      <c r="M34"/>
      <c r="N34"/>
      <c r="O34"/>
      <c r="P34"/>
      <c r="Q34"/>
      <c r="R34"/>
      <c r="S34"/>
      <c r="T34"/>
    </row>
    <row r="35" spans="1:20" ht="14.1" customHeight="1" x14ac:dyDescent="0.25">
      <c r="A35" s="28"/>
      <c r="B35" s="40" t="str">
        <f>IF(Lists!B7=0,"",Lists!B7)</f>
        <v>Employee 3</v>
      </c>
      <c r="C35" s="42" t="str">
        <f>IFERROR(IF(COUNTIF(Schedule!$A$8:$A$107,Dashboard!$B35)&gt;0,INDEX(Schedule!$AU$8:$AZ$107,MATCH(Dashboard!$B35,Schedule!$A$8:$A$107,0),MATCH(Dashboard!C$32,Schedule!$AU$5:$AZ$5,0)),IF(COUNTIF(Schedule!$A$116:$A$215,Dashboard!$B35)&gt;0,INDEX(Schedule!$AU$116:$AZ$215,MATCH(Dashboard!$B35,Schedule!$A$116:$A$215,0),MATCH(Dashboard!C$32,Schedule!$AU$113:$AZ$113,0)),INDEX(Schedule!$AU$224:$AZ$323,MATCH(Dashboard!$B35,Schedule!$A$224:$A$323,0),MATCH(Dashboard!C$32,Schedule!$AU$221:$AZ$221,0)))),"")</f>
        <v/>
      </c>
      <c r="D35" s="42" t="str">
        <f>IFERROR(IF(COUNTIF(Schedule!$A$8:$A$107,Dashboard!$B35)&gt;0,INDEX(Schedule!$AU$8:$AZ$107,MATCH(Dashboard!$B35,Schedule!$A$8:$A$107,0),MATCH(Dashboard!D$32,Schedule!$AU$5:$AZ$5,0)),IF(COUNTIF(Schedule!$A$116:$A$215,Dashboard!$B35)&gt;0,INDEX(Schedule!$AU$116:$AZ$215,MATCH(Dashboard!$B35,Schedule!$A$116:$A$215,0),MATCH(Dashboard!D$32,Schedule!$AU$113:$AZ$113,0)),INDEX(Schedule!$AU$224:$AZ$323,MATCH(Dashboard!$B35,Schedule!$A$224:$A$323,0),MATCH(Dashboard!D$32,Schedule!$AU$221:$AZ$221,0)))),"")</f>
        <v/>
      </c>
      <c r="E35" s="42" t="str">
        <f>IFERROR(IF(COUNTIF(Schedule!$A$8:$A$107,Dashboard!$B35)&gt;0,INDEX(Schedule!$AU$8:$AZ$107,MATCH(Dashboard!$B35,Schedule!$A$8:$A$107,0),MATCH(Dashboard!E$32,Schedule!$AU$5:$AZ$5,0)),IF(COUNTIF(Schedule!$A$116:$A$215,Dashboard!$B35)&gt;0,INDEX(Schedule!$AU$116:$AZ$215,MATCH(Dashboard!$B35,Schedule!$A$116:$A$215,0),MATCH(Dashboard!E$32,Schedule!$AU$113:$AZ$113,0)),INDEX(Schedule!$AU$224:$AZ$323,MATCH(Dashboard!$B35,Schedule!$A$224:$A$323,0),MATCH(Dashboard!E$32,Schedule!$AU$221:$AZ$221,0)))),"")</f>
        <v/>
      </c>
      <c r="F35" s="42" t="str">
        <f>IFERROR(IF(COUNTIF(Schedule!$A$8:$A$107,Dashboard!$B35)&gt;0,INDEX(Schedule!$AU$8:$AZ$107,MATCH(Dashboard!$B35,Schedule!$A$8:$A$107,0),MATCH(Dashboard!F$32,Schedule!$AU$5:$AZ$5,0)),IF(COUNTIF(Schedule!$A$116:$A$215,Dashboard!$B35)&gt;0,INDEX(Schedule!$AU$116:$AZ$215,MATCH(Dashboard!$B35,Schedule!$A$116:$A$215,0),MATCH(Dashboard!F$32,Schedule!$AU$113:$AZ$113,0)),INDEX(Schedule!$AU$224:$AZ$323,MATCH(Dashboard!$B35,Schedule!$A$224:$A$323,0),MATCH(Dashboard!F$32,Schedule!$AU$221:$AZ$221,0)))),"")</f>
        <v/>
      </c>
      <c r="G35" s="42" t="str">
        <f>IFERROR(IF(COUNTIF(Schedule!$A$8:$A$107,Dashboard!$B35)&gt;0,INDEX(Schedule!$AU$8:$AZ$107,MATCH(Dashboard!$B35,Schedule!$A$8:$A$107,0),MATCH(Dashboard!G$32,Schedule!$AU$5:$AZ$5,0)),IF(COUNTIF(Schedule!$A$116:$A$215,Dashboard!$B35)&gt;0,INDEX(Schedule!$AU$116:$AZ$215,MATCH(Dashboard!$B35,Schedule!$A$116:$A$215,0),MATCH(Dashboard!G$32,Schedule!$AU$113:$AZ$113,0)),INDEX(Schedule!$AU$224:$AZ$323,MATCH(Dashboard!$B35,Schedule!$A$224:$A$323,0),MATCH(Dashboard!G$32,Schedule!$AU$221:$AZ$221,0)))),"")</f>
        <v/>
      </c>
      <c r="H35" s="42" t="str">
        <f>IFERROR(IF(COUNTIF(Schedule!$A$8:$A$107,Dashboard!$B35)&gt;0,INDEX(Schedule!$AU$8:$AZ$107,MATCH(Dashboard!$B35,Schedule!$A$8:$A$107,0),MATCH(Dashboard!H$32,Schedule!$AU$5:$AZ$5,0)),IF(COUNTIF(Schedule!$A$116:$A$215,Dashboard!$B35)&gt;0,INDEX(Schedule!$AU$116:$AZ$215,MATCH(Dashboard!$B35,Schedule!$A$116:$A$215,0),MATCH(Dashboard!H$32,Schedule!$AU$113:$AZ$113,0)),INDEX(Schedule!$AU$224:$AZ$323,MATCH(Dashboard!$B35,Schedule!$A$224:$A$323,0),MATCH(Dashboard!H$32,Schedule!$AU$221:$AZ$221,0)))),"")</f>
        <v/>
      </c>
      <c r="I35" s="28"/>
      <c r="J35"/>
      <c r="K35"/>
      <c r="L35"/>
      <c r="M35"/>
      <c r="N35"/>
      <c r="O35"/>
      <c r="P35"/>
      <c r="Q35"/>
      <c r="R35"/>
      <c r="S35"/>
      <c r="T35"/>
    </row>
    <row r="36" spans="1:20" ht="14.1" customHeight="1" x14ac:dyDescent="0.25">
      <c r="A36" s="28"/>
      <c r="B36" s="40" t="str">
        <f>IF(Lists!B8=0,"",Lists!B8)</f>
        <v>Employee 4</v>
      </c>
      <c r="C36" s="42" t="str">
        <f>IFERROR(IF(COUNTIF(Schedule!$A$8:$A$107,Dashboard!$B36)&gt;0,INDEX(Schedule!$AU$8:$AZ$107,MATCH(Dashboard!$B36,Schedule!$A$8:$A$107,0),MATCH(Dashboard!C$32,Schedule!$AU$5:$AZ$5,0)),IF(COUNTIF(Schedule!$A$116:$A$215,Dashboard!$B36)&gt;0,INDEX(Schedule!$AU$116:$AZ$215,MATCH(Dashboard!$B36,Schedule!$A$116:$A$215,0),MATCH(Dashboard!C$32,Schedule!$AU$113:$AZ$113,0)),INDEX(Schedule!$AU$224:$AZ$323,MATCH(Dashboard!$B36,Schedule!$A$224:$A$323,0),MATCH(Dashboard!C$32,Schedule!$AU$221:$AZ$221,0)))),"")</f>
        <v/>
      </c>
      <c r="D36" s="42" t="str">
        <f>IFERROR(IF(COUNTIF(Schedule!$A$8:$A$107,Dashboard!$B36)&gt;0,INDEX(Schedule!$AU$8:$AZ$107,MATCH(Dashboard!$B36,Schedule!$A$8:$A$107,0),MATCH(Dashboard!D$32,Schedule!$AU$5:$AZ$5,0)),IF(COUNTIF(Schedule!$A$116:$A$215,Dashboard!$B36)&gt;0,INDEX(Schedule!$AU$116:$AZ$215,MATCH(Dashboard!$B36,Schedule!$A$116:$A$215,0),MATCH(Dashboard!D$32,Schedule!$AU$113:$AZ$113,0)),INDEX(Schedule!$AU$224:$AZ$323,MATCH(Dashboard!$B36,Schedule!$A$224:$A$323,0),MATCH(Dashboard!D$32,Schedule!$AU$221:$AZ$221,0)))),"")</f>
        <v/>
      </c>
      <c r="E36" s="42" t="str">
        <f>IFERROR(IF(COUNTIF(Schedule!$A$8:$A$107,Dashboard!$B36)&gt;0,INDEX(Schedule!$AU$8:$AZ$107,MATCH(Dashboard!$B36,Schedule!$A$8:$A$107,0),MATCH(Dashboard!E$32,Schedule!$AU$5:$AZ$5,0)),IF(COUNTIF(Schedule!$A$116:$A$215,Dashboard!$B36)&gt;0,INDEX(Schedule!$AU$116:$AZ$215,MATCH(Dashboard!$B36,Schedule!$A$116:$A$215,0),MATCH(Dashboard!E$32,Schedule!$AU$113:$AZ$113,0)),INDEX(Schedule!$AU$224:$AZ$323,MATCH(Dashboard!$B36,Schedule!$A$224:$A$323,0),MATCH(Dashboard!E$32,Schedule!$AU$221:$AZ$221,0)))),"")</f>
        <v/>
      </c>
      <c r="F36" s="42" t="str">
        <f>IFERROR(IF(COUNTIF(Schedule!$A$8:$A$107,Dashboard!$B36)&gt;0,INDEX(Schedule!$AU$8:$AZ$107,MATCH(Dashboard!$B36,Schedule!$A$8:$A$107,0),MATCH(Dashboard!F$32,Schedule!$AU$5:$AZ$5,0)),IF(COUNTIF(Schedule!$A$116:$A$215,Dashboard!$B36)&gt;0,INDEX(Schedule!$AU$116:$AZ$215,MATCH(Dashboard!$B36,Schedule!$A$116:$A$215,0),MATCH(Dashboard!F$32,Schedule!$AU$113:$AZ$113,0)),INDEX(Schedule!$AU$224:$AZ$323,MATCH(Dashboard!$B36,Schedule!$A$224:$A$323,0),MATCH(Dashboard!F$32,Schedule!$AU$221:$AZ$221,0)))),"")</f>
        <v/>
      </c>
      <c r="G36" s="42" t="str">
        <f>IFERROR(IF(COUNTIF(Schedule!$A$8:$A$107,Dashboard!$B36)&gt;0,INDEX(Schedule!$AU$8:$AZ$107,MATCH(Dashboard!$B36,Schedule!$A$8:$A$107,0),MATCH(Dashboard!G$32,Schedule!$AU$5:$AZ$5,0)),IF(COUNTIF(Schedule!$A$116:$A$215,Dashboard!$B36)&gt;0,INDEX(Schedule!$AU$116:$AZ$215,MATCH(Dashboard!$B36,Schedule!$A$116:$A$215,0),MATCH(Dashboard!G$32,Schedule!$AU$113:$AZ$113,0)),INDEX(Schedule!$AU$224:$AZ$323,MATCH(Dashboard!$B36,Schedule!$A$224:$A$323,0),MATCH(Dashboard!G$32,Schedule!$AU$221:$AZ$221,0)))),"")</f>
        <v/>
      </c>
      <c r="H36" s="42" t="str">
        <f>IFERROR(IF(COUNTIF(Schedule!$A$8:$A$107,Dashboard!$B36)&gt;0,INDEX(Schedule!$AU$8:$AZ$107,MATCH(Dashboard!$B36,Schedule!$A$8:$A$107,0),MATCH(Dashboard!H$32,Schedule!$AU$5:$AZ$5,0)),IF(COUNTIF(Schedule!$A$116:$A$215,Dashboard!$B36)&gt;0,INDEX(Schedule!$AU$116:$AZ$215,MATCH(Dashboard!$B36,Schedule!$A$116:$A$215,0),MATCH(Dashboard!H$32,Schedule!$AU$113:$AZ$113,0)),INDEX(Schedule!$AU$224:$AZ$323,MATCH(Dashboard!$B36,Schedule!$A$224:$A$323,0),MATCH(Dashboard!H$32,Schedule!$AU$221:$AZ$221,0)))),"")</f>
        <v/>
      </c>
      <c r="I36" s="28"/>
      <c r="J36"/>
      <c r="K36"/>
      <c r="L36"/>
      <c r="M36"/>
      <c r="N36"/>
      <c r="O36"/>
      <c r="P36"/>
      <c r="Q36"/>
      <c r="R36"/>
      <c r="S36"/>
      <c r="T36"/>
    </row>
    <row r="37" spans="1:20" ht="14.1" customHeight="1" x14ac:dyDescent="0.25">
      <c r="A37" s="28"/>
      <c r="B37" s="40" t="str">
        <f>IF(Lists!B9=0,"",Lists!B9)</f>
        <v>Employee 5</v>
      </c>
      <c r="C37" s="42" t="str">
        <f>IFERROR(IF(COUNTIF(Schedule!$A$8:$A$107,Dashboard!$B37)&gt;0,INDEX(Schedule!$AU$8:$AZ$107,MATCH(Dashboard!$B37,Schedule!$A$8:$A$107,0),MATCH(Dashboard!C$32,Schedule!$AU$5:$AZ$5,0)),IF(COUNTIF(Schedule!$A$116:$A$215,Dashboard!$B37)&gt;0,INDEX(Schedule!$AU$116:$AZ$215,MATCH(Dashboard!$B37,Schedule!$A$116:$A$215,0),MATCH(Dashboard!C$32,Schedule!$AU$113:$AZ$113,0)),INDEX(Schedule!$AU$224:$AZ$323,MATCH(Dashboard!$B37,Schedule!$A$224:$A$323,0),MATCH(Dashboard!C$32,Schedule!$AU$221:$AZ$221,0)))),"")</f>
        <v/>
      </c>
      <c r="D37" s="42" t="str">
        <f>IFERROR(IF(COUNTIF(Schedule!$A$8:$A$107,Dashboard!$B37)&gt;0,INDEX(Schedule!$AU$8:$AZ$107,MATCH(Dashboard!$B37,Schedule!$A$8:$A$107,0),MATCH(Dashboard!D$32,Schedule!$AU$5:$AZ$5,0)),IF(COUNTIF(Schedule!$A$116:$A$215,Dashboard!$B37)&gt;0,INDEX(Schedule!$AU$116:$AZ$215,MATCH(Dashboard!$B37,Schedule!$A$116:$A$215,0),MATCH(Dashboard!D$32,Schedule!$AU$113:$AZ$113,0)),INDEX(Schedule!$AU$224:$AZ$323,MATCH(Dashboard!$B37,Schedule!$A$224:$A$323,0),MATCH(Dashboard!D$32,Schedule!$AU$221:$AZ$221,0)))),"")</f>
        <v/>
      </c>
      <c r="E37" s="42" t="str">
        <f>IFERROR(IF(COUNTIF(Schedule!$A$8:$A$107,Dashboard!$B37)&gt;0,INDEX(Schedule!$AU$8:$AZ$107,MATCH(Dashboard!$B37,Schedule!$A$8:$A$107,0),MATCH(Dashboard!E$32,Schedule!$AU$5:$AZ$5,0)),IF(COUNTIF(Schedule!$A$116:$A$215,Dashboard!$B37)&gt;0,INDEX(Schedule!$AU$116:$AZ$215,MATCH(Dashboard!$B37,Schedule!$A$116:$A$215,0),MATCH(Dashboard!E$32,Schedule!$AU$113:$AZ$113,0)),INDEX(Schedule!$AU$224:$AZ$323,MATCH(Dashboard!$B37,Schedule!$A$224:$A$323,0),MATCH(Dashboard!E$32,Schedule!$AU$221:$AZ$221,0)))),"")</f>
        <v/>
      </c>
      <c r="F37" s="42" t="str">
        <f>IFERROR(IF(COUNTIF(Schedule!$A$8:$A$107,Dashboard!$B37)&gt;0,INDEX(Schedule!$AU$8:$AZ$107,MATCH(Dashboard!$B37,Schedule!$A$8:$A$107,0),MATCH(Dashboard!F$32,Schedule!$AU$5:$AZ$5,0)),IF(COUNTIF(Schedule!$A$116:$A$215,Dashboard!$B37)&gt;0,INDEX(Schedule!$AU$116:$AZ$215,MATCH(Dashboard!$B37,Schedule!$A$116:$A$215,0),MATCH(Dashboard!F$32,Schedule!$AU$113:$AZ$113,0)),INDEX(Schedule!$AU$224:$AZ$323,MATCH(Dashboard!$B37,Schedule!$A$224:$A$323,0),MATCH(Dashboard!F$32,Schedule!$AU$221:$AZ$221,0)))),"")</f>
        <v/>
      </c>
      <c r="G37" s="42" t="str">
        <f>IFERROR(IF(COUNTIF(Schedule!$A$8:$A$107,Dashboard!$B37)&gt;0,INDEX(Schedule!$AU$8:$AZ$107,MATCH(Dashboard!$B37,Schedule!$A$8:$A$107,0),MATCH(Dashboard!G$32,Schedule!$AU$5:$AZ$5,0)),IF(COUNTIF(Schedule!$A$116:$A$215,Dashboard!$B37)&gt;0,INDEX(Schedule!$AU$116:$AZ$215,MATCH(Dashboard!$B37,Schedule!$A$116:$A$215,0),MATCH(Dashboard!G$32,Schedule!$AU$113:$AZ$113,0)),INDEX(Schedule!$AU$224:$AZ$323,MATCH(Dashboard!$B37,Schedule!$A$224:$A$323,0),MATCH(Dashboard!G$32,Schedule!$AU$221:$AZ$221,0)))),"")</f>
        <v/>
      </c>
      <c r="H37" s="42" t="str">
        <f>IFERROR(IF(COUNTIF(Schedule!$A$8:$A$107,Dashboard!$B37)&gt;0,INDEX(Schedule!$AU$8:$AZ$107,MATCH(Dashboard!$B37,Schedule!$A$8:$A$107,0),MATCH(Dashboard!H$32,Schedule!$AU$5:$AZ$5,0)),IF(COUNTIF(Schedule!$A$116:$A$215,Dashboard!$B37)&gt;0,INDEX(Schedule!$AU$116:$AZ$215,MATCH(Dashboard!$B37,Schedule!$A$116:$A$215,0),MATCH(Dashboard!H$32,Schedule!$AU$113:$AZ$113,0)),INDEX(Schedule!$AU$224:$AZ$323,MATCH(Dashboard!$B37,Schedule!$A$224:$A$323,0),MATCH(Dashboard!H$32,Schedule!$AU$221:$AZ$221,0)))),"")</f>
        <v/>
      </c>
      <c r="J37"/>
      <c r="K37"/>
      <c r="L37"/>
      <c r="M37"/>
      <c r="N37"/>
      <c r="O37"/>
      <c r="P37"/>
      <c r="Q37"/>
      <c r="R37"/>
      <c r="S37"/>
      <c r="T37"/>
    </row>
    <row r="38" spans="1:20" ht="14.1" customHeight="1" x14ac:dyDescent="0.25">
      <c r="A38" s="28"/>
      <c r="B38" s="40" t="str">
        <f>IF(Lists!B10=0,"",Lists!B10)</f>
        <v>Employee 6</v>
      </c>
      <c r="C38" s="42" t="str">
        <f>IFERROR(IF(COUNTIF(Schedule!$A$8:$A$107,Dashboard!$B38)&gt;0,INDEX(Schedule!$AU$8:$AZ$107,MATCH(Dashboard!$B38,Schedule!$A$8:$A$107,0),MATCH(Dashboard!C$32,Schedule!$AU$5:$AZ$5,0)),IF(COUNTIF(Schedule!$A$116:$A$215,Dashboard!$B38)&gt;0,INDEX(Schedule!$AU$116:$AZ$215,MATCH(Dashboard!$B38,Schedule!$A$116:$A$215,0),MATCH(Dashboard!C$32,Schedule!$AU$113:$AZ$113,0)),INDEX(Schedule!$AU$224:$AZ$323,MATCH(Dashboard!$B38,Schedule!$A$224:$A$323,0),MATCH(Dashboard!C$32,Schedule!$AU$221:$AZ$221,0)))),"")</f>
        <v/>
      </c>
      <c r="D38" s="42" t="str">
        <f>IFERROR(IF(COUNTIF(Schedule!$A$8:$A$107,Dashboard!$B38)&gt;0,INDEX(Schedule!$AU$8:$AZ$107,MATCH(Dashboard!$B38,Schedule!$A$8:$A$107,0),MATCH(Dashboard!D$32,Schedule!$AU$5:$AZ$5,0)),IF(COUNTIF(Schedule!$A$116:$A$215,Dashboard!$B38)&gt;0,INDEX(Schedule!$AU$116:$AZ$215,MATCH(Dashboard!$B38,Schedule!$A$116:$A$215,0),MATCH(Dashboard!D$32,Schedule!$AU$113:$AZ$113,0)),INDEX(Schedule!$AU$224:$AZ$323,MATCH(Dashboard!$B38,Schedule!$A$224:$A$323,0),MATCH(Dashboard!D$32,Schedule!$AU$221:$AZ$221,0)))),"")</f>
        <v/>
      </c>
      <c r="E38" s="42" t="str">
        <f>IFERROR(IF(COUNTIF(Schedule!$A$8:$A$107,Dashboard!$B38)&gt;0,INDEX(Schedule!$AU$8:$AZ$107,MATCH(Dashboard!$B38,Schedule!$A$8:$A$107,0),MATCH(Dashboard!E$32,Schedule!$AU$5:$AZ$5,0)),IF(COUNTIF(Schedule!$A$116:$A$215,Dashboard!$B38)&gt;0,INDEX(Schedule!$AU$116:$AZ$215,MATCH(Dashboard!$B38,Schedule!$A$116:$A$215,0),MATCH(Dashboard!E$32,Schedule!$AU$113:$AZ$113,0)),INDEX(Schedule!$AU$224:$AZ$323,MATCH(Dashboard!$B38,Schedule!$A$224:$A$323,0),MATCH(Dashboard!E$32,Schedule!$AU$221:$AZ$221,0)))),"")</f>
        <v/>
      </c>
      <c r="F38" s="42" t="str">
        <f>IFERROR(IF(COUNTIF(Schedule!$A$8:$A$107,Dashboard!$B38)&gt;0,INDEX(Schedule!$AU$8:$AZ$107,MATCH(Dashboard!$B38,Schedule!$A$8:$A$107,0),MATCH(Dashboard!F$32,Schedule!$AU$5:$AZ$5,0)),IF(COUNTIF(Schedule!$A$116:$A$215,Dashboard!$B38)&gt;0,INDEX(Schedule!$AU$116:$AZ$215,MATCH(Dashboard!$B38,Schedule!$A$116:$A$215,0),MATCH(Dashboard!F$32,Schedule!$AU$113:$AZ$113,0)),INDEX(Schedule!$AU$224:$AZ$323,MATCH(Dashboard!$B38,Schedule!$A$224:$A$323,0),MATCH(Dashboard!F$32,Schedule!$AU$221:$AZ$221,0)))),"")</f>
        <v/>
      </c>
      <c r="G38" s="42" t="str">
        <f>IFERROR(IF(COUNTIF(Schedule!$A$8:$A$107,Dashboard!$B38)&gt;0,INDEX(Schedule!$AU$8:$AZ$107,MATCH(Dashboard!$B38,Schedule!$A$8:$A$107,0),MATCH(Dashboard!G$32,Schedule!$AU$5:$AZ$5,0)),IF(COUNTIF(Schedule!$A$116:$A$215,Dashboard!$B38)&gt;0,INDEX(Schedule!$AU$116:$AZ$215,MATCH(Dashboard!$B38,Schedule!$A$116:$A$215,0),MATCH(Dashboard!G$32,Schedule!$AU$113:$AZ$113,0)),INDEX(Schedule!$AU$224:$AZ$323,MATCH(Dashboard!$B38,Schedule!$A$224:$A$323,0),MATCH(Dashboard!G$32,Schedule!$AU$221:$AZ$221,0)))),"")</f>
        <v/>
      </c>
      <c r="H38" s="42" t="str">
        <f>IFERROR(IF(COUNTIF(Schedule!$A$8:$A$107,Dashboard!$B38)&gt;0,INDEX(Schedule!$AU$8:$AZ$107,MATCH(Dashboard!$B38,Schedule!$A$8:$A$107,0),MATCH(Dashboard!H$32,Schedule!$AU$5:$AZ$5,0)),IF(COUNTIF(Schedule!$A$116:$A$215,Dashboard!$B38)&gt;0,INDEX(Schedule!$AU$116:$AZ$215,MATCH(Dashboard!$B38,Schedule!$A$116:$A$215,0),MATCH(Dashboard!H$32,Schedule!$AU$113:$AZ$113,0)),INDEX(Schedule!$AU$224:$AZ$323,MATCH(Dashboard!$B38,Schedule!$A$224:$A$323,0),MATCH(Dashboard!H$32,Schedule!$AU$221:$AZ$221,0)))),"")</f>
        <v/>
      </c>
      <c r="J38"/>
      <c r="K38"/>
      <c r="L38"/>
      <c r="M38"/>
      <c r="N38"/>
      <c r="O38"/>
      <c r="P38"/>
      <c r="Q38"/>
      <c r="R38"/>
      <c r="S38"/>
      <c r="T38"/>
    </row>
    <row r="39" spans="1:20" ht="14.1" customHeight="1" x14ac:dyDescent="0.25">
      <c r="A39" s="28"/>
      <c r="B39" s="40" t="str">
        <f>IF(Lists!B11=0,"",Lists!B11)</f>
        <v xml:space="preserve">Employee 7 </v>
      </c>
      <c r="C39" s="42" t="str">
        <f>IFERROR(IF(COUNTIF(Schedule!$A$8:$A$107,Dashboard!$B39)&gt;0,INDEX(Schedule!$AU$8:$AZ$107,MATCH(Dashboard!$B39,Schedule!$A$8:$A$107,0),MATCH(Dashboard!C$32,Schedule!$AU$5:$AZ$5,0)),IF(COUNTIF(Schedule!$A$116:$A$215,Dashboard!$B39)&gt;0,INDEX(Schedule!$AU$116:$AZ$215,MATCH(Dashboard!$B39,Schedule!$A$116:$A$215,0),MATCH(Dashboard!C$32,Schedule!$AU$113:$AZ$113,0)),INDEX(Schedule!$AU$224:$AZ$323,MATCH(Dashboard!$B39,Schedule!$A$224:$A$323,0),MATCH(Dashboard!C$32,Schedule!$AU$221:$AZ$221,0)))),"")</f>
        <v/>
      </c>
      <c r="D39" s="42" t="str">
        <f>IFERROR(IF(COUNTIF(Schedule!$A$8:$A$107,Dashboard!$B39)&gt;0,INDEX(Schedule!$AU$8:$AZ$107,MATCH(Dashboard!$B39,Schedule!$A$8:$A$107,0),MATCH(Dashboard!D$32,Schedule!$AU$5:$AZ$5,0)),IF(COUNTIF(Schedule!$A$116:$A$215,Dashboard!$B39)&gt;0,INDEX(Schedule!$AU$116:$AZ$215,MATCH(Dashboard!$B39,Schedule!$A$116:$A$215,0),MATCH(Dashboard!D$32,Schedule!$AU$113:$AZ$113,0)),INDEX(Schedule!$AU$224:$AZ$323,MATCH(Dashboard!$B39,Schedule!$A$224:$A$323,0),MATCH(Dashboard!D$32,Schedule!$AU$221:$AZ$221,0)))),"")</f>
        <v/>
      </c>
      <c r="E39" s="42" t="str">
        <f>IFERROR(IF(COUNTIF(Schedule!$A$8:$A$107,Dashboard!$B39)&gt;0,INDEX(Schedule!$AU$8:$AZ$107,MATCH(Dashboard!$B39,Schedule!$A$8:$A$107,0),MATCH(Dashboard!E$32,Schedule!$AU$5:$AZ$5,0)),IF(COUNTIF(Schedule!$A$116:$A$215,Dashboard!$B39)&gt;0,INDEX(Schedule!$AU$116:$AZ$215,MATCH(Dashboard!$B39,Schedule!$A$116:$A$215,0),MATCH(Dashboard!E$32,Schedule!$AU$113:$AZ$113,0)),INDEX(Schedule!$AU$224:$AZ$323,MATCH(Dashboard!$B39,Schedule!$A$224:$A$323,0),MATCH(Dashboard!E$32,Schedule!$AU$221:$AZ$221,0)))),"")</f>
        <v/>
      </c>
      <c r="F39" s="42" t="str">
        <f>IFERROR(IF(COUNTIF(Schedule!$A$8:$A$107,Dashboard!$B39)&gt;0,INDEX(Schedule!$AU$8:$AZ$107,MATCH(Dashboard!$B39,Schedule!$A$8:$A$107,0),MATCH(Dashboard!F$32,Schedule!$AU$5:$AZ$5,0)),IF(COUNTIF(Schedule!$A$116:$A$215,Dashboard!$B39)&gt;0,INDEX(Schedule!$AU$116:$AZ$215,MATCH(Dashboard!$B39,Schedule!$A$116:$A$215,0),MATCH(Dashboard!F$32,Schedule!$AU$113:$AZ$113,0)),INDEX(Schedule!$AU$224:$AZ$323,MATCH(Dashboard!$B39,Schedule!$A$224:$A$323,0),MATCH(Dashboard!F$32,Schedule!$AU$221:$AZ$221,0)))),"")</f>
        <v/>
      </c>
      <c r="G39" s="42" t="str">
        <f>IFERROR(IF(COUNTIF(Schedule!$A$8:$A$107,Dashboard!$B39)&gt;0,INDEX(Schedule!$AU$8:$AZ$107,MATCH(Dashboard!$B39,Schedule!$A$8:$A$107,0),MATCH(Dashboard!G$32,Schedule!$AU$5:$AZ$5,0)),IF(COUNTIF(Schedule!$A$116:$A$215,Dashboard!$B39)&gt;0,INDEX(Schedule!$AU$116:$AZ$215,MATCH(Dashboard!$B39,Schedule!$A$116:$A$215,0),MATCH(Dashboard!G$32,Schedule!$AU$113:$AZ$113,0)),INDEX(Schedule!$AU$224:$AZ$323,MATCH(Dashboard!$B39,Schedule!$A$224:$A$323,0),MATCH(Dashboard!G$32,Schedule!$AU$221:$AZ$221,0)))),"")</f>
        <v/>
      </c>
      <c r="H39" s="42" t="str">
        <f>IFERROR(IF(COUNTIF(Schedule!$A$8:$A$107,Dashboard!$B39)&gt;0,INDEX(Schedule!$AU$8:$AZ$107,MATCH(Dashboard!$B39,Schedule!$A$8:$A$107,0),MATCH(Dashboard!H$32,Schedule!$AU$5:$AZ$5,0)),IF(COUNTIF(Schedule!$A$116:$A$215,Dashboard!$B39)&gt;0,INDEX(Schedule!$AU$116:$AZ$215,MATCH(Dashboard!$B39,Schedule!$A$116:$A$215,0),MATCH(Dashboard!H$32,Schedule!$AU$113:$AZ$113,0)),INDEX(Schedule!$AU$224:$AZ$323,MATCH(Dashboard!$B39,Schedule!$A$224:$A$323,0),MATCH(Dashboard!H$32,Schedule!$AU$221:$AZ$221,0)))),"")</f>
        <v/>
      </c>
      <c r="J39"/>
      <c r="K39"/>
      <c r="L39"/>
      <c r="M39"/>
      <c r="N39"/>
      <c r="O39"/>
      <c r="P39"/>
      <c r="Q39"/>
      <c r="R39"/>
      <c r="S39"/>
      <c r="T39"/>
    </row>
    <row r="40" spans="1:20" ht="14.1" customHeight="1" x14ac:dyDescent="0.25">
      <c r="A40" s="28"/>
      <c r="B40" s="40" t="str">
        <f>IF(Lists!B12=0,"",Lists!B12)</f>
        <v xml:space="preserve">Employee 8 </v>
      </c>
      <c r="C40" s="42" t="str">
        <f>IFERROR(IF(COUNTIF(Schedule!$A$8:$A$107,Dashboard!$B40)&gt;0,INDEX(Schedule!$AU$8:$AZ$107,MATCH(Dashboard!$B40,Schedule!$A$8:$A$107,0),MATCH(Dashboard!C$32,Schedule!$AU$5:$AZ$5,0)),IF(COUNTIF(Schedule!$A$116:$A$215,Dashboard!$B40)&gt;0,INDEX(Schedule!$AU$116:$AZ$215,MATCH(Dashboard!$B40,Schedule!$A$116:$A$215,0),MATCH(Dashboard!C$32,Schedule!$AU$113:$AZ$113,0)),INDEX(Schedule!$AU$224:$AZ$323,MATCH(Dashboard!$B40,Schedule!$A$224:$A$323,0),MATCH(Dashboard!C$32,Schedule!$AU$221:$AZ$221,0)))),"")</f>
        <v/>
      </c>
      <c r="D40" s="42" t="str">
        <f>IFERROR(IF(COUNTIF(Schedule!$A$8:$A$107,Dashboard!$B40)&gt;0,INDEX(Schedule!$AU$8:$AZ$107,MATCH(Dashboard!$B40,Schedule!$A$8:$A$107,0),MATCH(Dashboard!D$32,Schedule!$AU$5:$AZ$5,0)),IF(COUNTIF(Schedule!$A$116:$A$215,Dashboard!$B40)&gt;0,INDEX(Schedule!$AU$116:$AZ$215,MATCH(Dashboard!$B40,Schedule!$A$116:$A$215,0),MATCH(Dashboard!D$32,Schedule!$AU$113:$AZ$113,0)),INDEX(Schedule!$AU$224:$AZ$323,MATCH(Dashboard!$B40,Schedule!$A$224:$A$323,0),MATCH(Dashboard!D$32,Schedule!$AU$221:$AZ$221,0)))),"")</f>
        <v/>
      </c>
      <c r="E40" s="42" t="str">
        <f>IFERROR(IF(COUNTIF(Schedule!$A$8:$A$107,Dashboard!$B40)&gt;0,INDEX(Schedule!$AU$8:$AZ$107,MATCH(Dashboard!$B40,Schedule!$A$8:$A$107,0),MATCH(Dashboard!E$32,Schedule!$AU$5:$AZ$5,0)),IF(COUNTIF(Schedule!$A$116:$A$215,Dashboard!$B40)&gt;0,INDEX(Schedule!$AU$116:$AZ$215,MATCH(Dashboard!$B40,Schedule!$A$116:$A$215,0),MATCH(Dashboard!E$32,Schedule!$AU$113:$AZ$113,0)),INDEX(Schedule!$AU$224:$AZ$323,MATCH(Dashboard!$B40,Schedule!$A$224:$A$323,0),MATCH(Dashboard!E$32,Schedule!$AU$221:$AZ$221,0)))),"")</f>
        <v/>
      </c>
      <c r="F40" s="42" t="str">
        <f>IFERROR(IF(COUNTIF(Schedule!$A$8:$A$107,Dashboard!$B40)&gt;0,INDEX(Schedule!$AU$8:$AZ$107,MATCH(Dashboard!$B40,Schedule!$A$8:$A$107,0),MATCH(Dashboard!F$32,Schedule!$AU$5:$AZ$5,0)),IF(COUNTIF(Schedule!$A$116:$A$215,Dashboard!$B40)&gt;0,INDEX(Schedule!$AU$116:$AZ$215,MATCH(Dashboard!$B40,Schedule!$A$116:$A$215,0),MATCH(Dashboard!F$32,Schedule!$AU$113:$AZ$113,0)),INDEX(Schedule!$AU$224:$AZ$323,MATCH(Dashboard!$B40,Schedule!$A$224:$A$323,0),MATCH(Dashboard!F$32,Schedule!$AU$221:$AZ$221,0)))),"")</f>
        <v/>
      </c>
      <c r="G40" s="42" t="str">
        <f>IFERROR(IF(COUNTIF(Schedule!$A$8:$A$107,Dashboard!$B40)&gt;0,INDEX(Schedule!$AU$8:$AZ$107,MATCH(Dashboard!$B40,Schedule!$A$8:$A$107,0),MATCH(Dashboard!G$32,Schedule!$AU$5:$AZ$5,0)),IF(COUNTIF(Schedule!$A$116:$A$215,Dashboard!$B40)&gt;0,INDEX(Schedule!$AU$116:$AZ$215,MATCH(Dashboard!$B40,Schedule!$A$116:$A$215,0),MATCH(Dashboard!G$32,Schedule!$AU$113:$AZ$113,0)),INDEX(Schedule!$AU$224:$AZ$323,MATCH(Dashboard!$B40,Schedule!$A$224:$A$323,0),MATCH(Dashboard!G$32,Schedule!$AU$221:$AZ$221,0)))),"")</f>
        <v/>
      </c>
      <c r="H40" s="42" t="str">
        <f>IFERROR(IF(COUNTIF(Schedule!$A$8:$A$107,Dashboard!$B40)&gt;0,INDEX(Schedule!$AU$8:$AZ$107,MATCH(Dashboard!$B40,Schedule!$A$8:$A$107,0),MATCH(Dashboard!H$32,Schedule!$AU$5:$AZ$5,0)),IF(COUNTIF(Schedule!$A$116:$A$215,Dashboard!$B40)&gt;0,INDEX(Schedule!$AU$116:$AZ$215,MATCH(Dashboard!$B40,Schedule!$A$116:$A$215,0),MATCH(Dashboard!H$32,Schedule!$AU$113:$AZ$113,0)),INDEX(Schedule!$AU$224:$AZ$323,MATCH(Dashboard!$B40,Schedule!$A$224:$A$323,0),MATCH(Dashboard!H$32,Schedule!$AU$221:$AZ$221,0)))),"")</f>
        <v/>
      </c>
      <c r="J40"/>
      <c r="K40"/>
      <c r="L40"/>
      <c r="M40"/>
      <c r="N40"/>
      <c r="O40"/>
      <c r="P40"/>
      <c r="Q40"/>
      <c r="R40"/>
      <c r="S40"/>
      <c r="T40"/>
    </row>
    <row r="41" spans="1:20" ht="14.1" customHeight="1" x14ac:dyDescent="0.25">
      <c r="A41" s="28"/>
      <c r="B41" s="40" t="str">
        <f>IF(Lists!B13=0,"",Lists!B13)</f>
        <v>Employee 9</v>
      </c>
      <c r="C41" s="42" t="str">
        <f>IFERROR(IF(COUNTIF(Schedule!$A$8:$A$107,Dashboard!$B41)&gt;0,INDEX(Schedule!$AU$8:$AZ$107,MATCH(Dashboard!$B41,Schedule!$A$8:$A$107,0),MATCH(Dashboard!C$32,Schedule!$AU$5:$AZ$5,0)),IF(COUNTIF(Schedule!$A$116:$A$215,Dashboard!$B41)&gt;0,INDEX(Schedule!$AU$116:$AZ$215,MATCH(Dashboard!$B41,Schedule!$A$116:$A$215,0),MATCH(Dashboard!C$32,Schedule!$AU$113:$AZ$113,0)),INDEX(Schedule!$AU$224:$AZ$323,MATCH(Dashboard!$B41,Schedule!$A$224:$A$323,0),MATCH(Dashboard!C$32,Schedule!$AU$221:$AZ$221,0)))),"")</f>
        <v/>
      </c>
      <c r="D41" s="42" t="str">
        <f>IFERROR(IF(COUNTIF(Schedule!$A$8:$A$107,Dashboard!$B41)&gt;0,INDEX(Schedule!$AU$8:$AZ$107,MATCH(Dashboard!$B41,Schedule!$A$8:$A$107,0),MATCH(Dashboard!D$32,Schedule!$AU$5:$AZ$5,0)),IF(COUNTIF(Schedule!$A$116:$A$215,Dashboard!$B41)&gt;0,INDEX(Schedule!$AU$116:$AZ$215,MATCH(Dashboard!$B41,Schedule!$A$116:$A$215,0),MATCH(Dashboard!D$32,Schedule!$AU$113:$AZ$113,0)),INDEX(Schedule!$AU$224:$AZ$323,MATCH(Dashboard!$B41,Schedule!$A$224:$A$323,0),MATCH(Dashboard!D$32,Schedule!$AU$221:$AZ$221,0)))),"")</f>
        <v/>
      </c>
      <c r="E41" s="42" t="str">
        <f>IFERROR(IF(COUNTIF(Schedule!$A$8:$A$107,Dashboard!$B41)&gt;0,INDEX(Schedule!$AU$8:$AZ$107,MATCH(Dashboard!$B41,Schedule!$A$8:$A$107,0),MATCH(Dashboard!E$32,Schedule!$AU$5:$AZ$5,0)),IF(COUNTIF(Schedule!$A$116:$A$215,Dashboard!$B41)&gt;0,INDEX(Schedule!$AU$116:$AZ$215,MATCH(Dashboard!$B41,Schedule!$A$116:$A$215,0),MATCH(Dashboard!E$32,Schedule!$AU$113:$AZ$113,0)),INDEX(Schedule!$AU$224:$AZ$323,MATCH(Dashboard!$B41,Schedule!$A$224:$A$323,0),MATCH(Dashboard!E$32,Schedule!$AU$221:$AZ$221,0)))),"")</f>
        <v/>
      </c>
      <c r="F41" s="42" t="str">
        <f>IFERROR(IF(COUNTIF(Schedule!$A$8:$A$107,Dashboard!$B41)&gt;0,INDEX(Schedule!$AU$8:$AZ$107,MATCH(Dashboard!$B41,Schedule!$A$8:$A$107,0),MATCH(Dashboard!F$32,Schedule!$AU$5:$AZ$5,0)),IF(COUNTIF(Schedule!$A$116:$A$215,Dashboard!$B41)&gt;0,INDEX(Schedule!$AU$116:$AZ$215,MATCH(Dashboard!$B41,Schedule!$A$116:$A$215,0),MATCH(Dashboard!F$32,Schedule!$AU$113:$AZ$113,0)),INDEX(Schedule!$AU$224:$AZ$323,MATCH(Dashboard!$B41,Schedule!$A$224:$A$323,0),MATCH(Dashboard!F$32,Schedule!$AU$221:$AZ$221,0)))),"")</f>
        <v/>
      </c>
      <c r="G41" s="42" t="str">
        <f>IFERROR(IF(COUNTIF(Schedule!$A$8:$A$107,Dashboard!$B41)&gt;0,INDEX(Schedule!$AU$8:$AZ$107,MATCH(Dashboard!$B41,Schedule!$A$8:$A$107,0),MATCH(Dashboard!G$32,Schedule!$AU$5:$AZ$5,0)),IF(COUNTIF(Schedule!$A$116:$A$215,Dashboard!$B41)&gt;0,INDEX(Schedule!$AU$116:$AZ$215,MATCH(Dashboard!$B41,Schedule!$A$116:$A$215,0),MATCH(Dashboard!G$32,Schedule!$AU$113:$AZ$113,0)),INDEX(Schedule!$AU$224:$AZ$323,MATCH(Dashboard!$B41,Schedule!$A$224:$A$323,0),MATCH(Dashboard!G$32,Schedule!$AU$221:$AZ$221,0)))),"")</f>
        <v/>
      </c>
      <c r="H41" s="42" t="str">
        <f>IFERROR(IF(COUNTIF(Schedule!$A$8:$A$107,Dashboard!$B41)&gt;0,INDEX(Schedule!$AU$8:$AZ$107,MATCH(Dashboard!$B41,Schedule!$A$8:$A$107,0),MATCH(Dashboard!H$32,Schedule!$AU$5:$AZ$5,0)),IF(COUNTIF(Schedule!$A$116:$A$215,Dashboard!$B41)&gt;0,INDEX(Schedule!$AU$116:$AZ$215,MATCH(Dashboard!$B41,Schedule!$A$116:$A$215,0),MATCH(Dashboard!H$32,Schedule!$AU$113:$AZ$113,0)),INDEX(Schedule!$AU$224:$AZ$323,MATCH(Dashboard!$B41,Schedule!$A$224:$A$323,0),MATCH(Dashboard!H$32,Schedule!$AU$221:$AZ$221,0)))),"")</f>
        <v/>
      </c>
      <c r="J41"/>
      <c r="K41"/>
      <c r="L41"/>
      <c r="M41"/>
      <c r="N41"/>
      <c r="O41"/>
      <c r="P41"/>
      <c r="Q41"/>
      <c r="R41"/>
      <c r="S41"/>
      <c r="T41"/>
    </row>
    <row r="42" spans="1:20" ht="14.1" customHeight="1" x14ac:dyDescent="0.25">
      <c r="A42" s="28"/>
      <c r="B42" s="40" t="str">
        <f>IF(Lists!B14=0,"",Lists!B14)</f>
        <v>Employee 10</v>
      </c>
      <c r="C42" s="42" t="str">
        <f>IFERROR(IF(COUNTIF(Schedule!$A$8:$A$107,Dashboard!$B42)&gt;0,INDEX(Schedule!$AU$8:$AZ$107,MATCH(Dashboard!$B42,Schedule!$A$8:$A$107,0),MATCH(Dashboard!C$32,Schedule!$AU$5:$AZ$5,0)),IF(COUNTIF(Schedule!$A$116:$A$215,Dashboard!$B42)&gt;0,INDEX(Schedule!$AU$116:$AZ$215,MATCH(Dashboard!$B42,Schedule!$A$116:$A$215,0),MATCH(Dashboard!C$32,Schedule!$AU$113:$AZ$113,0)),INDEX(Schedule!$AU$224:$AZ$323,MATCH(Dashboard!$B42,Schedule!$A$224:$A$323,0),MATCH(Dashboard!C$32,Schedule!$AU$221:$AZ$221,0)))),"")</f>
        <v/>
      </c>
      <c r="D42" s="42" t="str">
        <f>IFERROR(IF(COUNTIF(Schedule!$A$8:$A$107,Dashboard!$B42)&gt;0,INDEX(Schedule!$AU$8:$AZ$107,MATCH(Dashboard!$B42,Schedule!$A$8:$A$107,0),MATCH(Dashboard!D$32,Schedule!$AU$5:$AZ$5,0)),IF(COUNTIF(Schedule!$A$116:$A$215,Dashboard!$B42)&gt;0,INDEX(Schedule!$AU$116:$AZ$215,MATCH(Dashboard!$B42,Schedule!$A$116:$A$215,0),MATCH(Dashboard!D$32,Schedule!$AU$113:$AZ$113,0)),INDEX(Schedule!$AU$224:$AZ$323,MATCH(Dashboard!$B42,Schedule!$A$224:$A$323,0),MATCH(Dashboard!D$32,Schedule!$AU$221:$AZ$221,0)))),"")</f>
        <v/>
      </c>
      <c r="E42" s="42" t="str">
        <f>IFERROR(IF(COUNTIF(Schedule!$A$8:$A$107,Dashboard!$B42)&gt;0,INDEX(Schedule!$AU$8:$AZ$107,MATCH(Dashboard!$B42,Schedule!$A$8:$A$107,0),MATCH(Dashboard!E$32,Schedule!$AU$5:$AZ$5,0)),IF(COUNTIF(Schedule!$A$116:$A$215,Dashboard!$B42)&gt;0,INDEX(Schedule!$AU$116:$AZ$215,MATCH(Dashboard!$B42,Schedule!$A$116:$A$215,0),MATCH(Dashboard!E$32,Schedule!$AU$113:$AZ$113,0)),INDEX(Schedule!$AU$224:$AZ$323,MATCH(Dashboard!$B42,Schedule!$A$224:$A$323,0),MATCH(Dashboard!E$32,Schedule!$AU$221:$AZ$221,0)))),"")</f>
        <v/>
      </c>
      <c r="F42" s="42" t="str">
        <f>IFERROR(IF(COUNTIF(Schedule!$A$8:$A$107,Dashboard!$B42)&gt;0,INDEX(Schedule!$AU$8:$AZ$107,MATCH(Dashboard!$B42,Schedule!$A$8:$A$107,0),MATCH(Dashboard!F$32,Schedule!$AU$5:$AZ$5,0)),IF(COUNTIF(Schedule!$A$116:$A$215,Dashboard!$B42)&gt;0,INDEX(Schedule!$AU$116:$AZ$215,MATCH(Dashboard!$B42,Schedule!$A$116:$A$215,0),MATCH(Dashboard!F$32,Schedule!$AU$113:$AZ$113,0)),INDEX(Schedule!$AU$224:$AZ$323,MATCH(Dashboard!$B42,Schedule!$A$224:$A$323,0),MATCH(Dashboard!F$32,Schedule!$AU$221:$AZ$221,0)))),"")</f>
        <v/>
      </c>
      <c r="G42" s="42" t="str">
        <f>IFERROR(IF(COUNTIF(Schedule!$A$8:$A$107,Dashboard!$B42)&gt;0,INDEX(Schedule!$AU$8:$AZ$107,MATCH(Dashboard!$B42,Schedule!$A$8:$A$107,0),MATCH(Dashboard!G$32,Schedule!$AU$5:$AZ$5,0)),IF(COUNTIF(Schedule!$A$116:$A$215,Dashboard!$B42)&gt;0,INDEX(Schedule!$AU$116:$AZ$215,MATCH(Dashboard!$B42,Schedule!$A$116:$A$215,0),MATCH(Dashboard!G$32,Schedule!$AU$113:$AZ$113,0)),INDEX(Schedule!$AU$224:$AZ$323,MATCH(Dashboard!$B42,Schedule!$A$224:$A$323,0),MATCH(Dashboard!G$32,Schedule!$AU$221:$AZ$221,0)))),"")</f>
        <v/>
      </c>
      <c r="H42" s="42" t="str">
        <f>IFERROR(IF(COUNTIF(Schedule!$A$8:$A$107,Dashboard!$B42)&gt;0,INDEX(Schedule!$AU$8:$AZ$107,MATCH(Dashboard!$B42,Schedule!$A$8:$A$107,0),MATCH(Dashboard!H$32,Schedule!$AU$5:$AZ$5,0)),IF(COUNTIF(Schedule!$A$116:$A$215,Dashboard!$B42)&gt;0,INDEX(Schedule!$AU$116:$AZ$215,MATCH(Dashboard!$B42,Schedule!$A$116:$A$215,0),MATCH(Dashboard!H$32,Schedule!$AU$113:$AZ$113,0)),INDEX(Schedule!$AU$224:$AZ$323,MATCH(Dashboard!$B42,Schedule!$A$224:$A$323,0),MATCH(Dashboard!H$32,Schedule!$AU$221:$AZ$221,0)))),"")</f>
        <v/>
      </c>
      <c r="J42"/>
      <c r="K42"/>
      <c r="L42"/>
      <c r="M42"/>
      <c r="N42"/>
      <c r="O42"/>
      <c r="P42"/>
      <c r="Q42"/>
      <c r="R42"/>
      <c r="S42"/>
      <c r="T42"/>
    </row>
    <row r="43" spans="1:20" ht="14.1" hidden="1" customHeight="1" x14ac:dyDescent="0.25">
      <c r="A43" s="28"/>
      <c r="B43" s="40" t="str">
        <f>IF(Lists!B15=0,"",Lists!B15)</f>
        <v/>
      </c>
      <c r="C43" s="42" t="str">
        <f>IFERROR(IF(COUNTIF(Schedule!$A$8:$A$107,Dashboard!$B43)&gt;0,INDEX(Schedule!$AU$8:$AZ$107,MATCH(Dashboard!$B43,Schedule!$A$8:$A$107,0),MATCH(Dashboard!C$32,Schedule!$AU$5:$AZ$5,0)),IF(COUNTIF(Schedule!$A$116:$A$215,Dashboard!$B43)&gt;0,INDEX(Schedule!$AU$116:$AZ$215,MATCH(Dashboard!$B43,Schedule!$A$116:$A$215,0),MATCH(Dashboard!C$32,Schedule!$AU$113:$AZ$113,0)),INDEX(Schedule!$AU$224:$AZ$323,MATCH(Dashboard!$B43,Schedule!$A$224:$A$323,0),MATCH(Dashboard!C$32,Schedule!$AU$221:$AZ$221,0)))),"")</f>
        <v/>
      </c>
      <c r="D43" s="42" t="str">
        <f>IFERROR(IF(COUNTIF(Schedule!$A$8:$A$107,Dashboard!$B43)&gt;0,INDEX(Schedule!$AU$8:$AZ$107,MATCH(Dashboard!$B43,Schedule!$A$8:$A$107,0),MATCH(Dashboard!D$32,Schedule!$AU$5:$AZ$5,0)),IF(COUNTIF(Schedule!$A$116:$A$215,Dashboard!$B43)&gt;0,INDEX(Schedule!$AU$116:$AZ$215,MATCH(Dashboard!$B43,Schedule!$A$116:$A$215,0),MATCH(Dashboard!D$32,Schedule!$AU$113:$AZ$113,0)),INDEX(Schedule!$AU$224:$AZ$323,MATCH(Dashboard!$B43,Schedule!$A$224:$A$323,0),MATCH(Dashboard!D$32,Schedule!$AU$221:$AZ$221,0)))),"")</f>
        <v/>
      </c>
      <c r="E43" s="42" t="str">
        <f>IFERROR(IF(COUNTIF(Schedule!$A$8:$A$107,Dashboard!$B43)&gt;0,INDEX(Schedule!$AU$8:$AZ$107,MATCH(Dashboard!$B43,Schedule!$A$8:$A$107,0),MATCH(Dashboard!E$32,Schedule!$AU$5:$AZ$5,0)),IF(COUNTIF(Schedule!$A$116:$A$215,Dashboard!$B43)&gt;0,INDEX(Schedule!$AU$116:$AZ$215,MATCH(Dashboard!$B43,Schedule!$A$116:$A$215,0),MATCH(Dashboard!E$32,Schedule!$AU$113:$AZ$113,0)),INDEX(Schedule!$AU$224:$AZ$323,MATCH(Dashboard!$B43,Schedule!$A$224:$A$323,0),MATCH(Dashboard!E$32,Schedule!$AU$221:$AZ$221,0)))),"")</f>
        <v/>
      </c>
      <c r="F43" s="42" t="str">
        <f>IFERROR(IF(COUNTIF(Schedule!$A$8:$A$107,Dashboard!$B43)&gt;0,INDEX(Schedule!$AU$8:$AZ$107,MATCH(Dashboard!$B43,Schedule!$A$8:$A$107,0),MATCH(Dashboard!F$32,Schedule!$AU$5:$AZ$5,0)),IF(COUNTIF(Schedule!$A$116:$A$215,Dashboard!$B43)&gt;0,INDEX(Schedule!$AU$116:$AZ$215,MATCH(Dashboard!$B43,Schedule!$A$116:$A$215,0),MATCH(Dashboard!F$32,Schedule!$AU$113:$AZ$113,0)),INDEX(Schedule!$AU$224:$AZ$323,MATCH(Dashboard!$B43,Schedule!$A$224:$A$323,0),MATCH(Dashboard!F$32,Schedule!$AU$221:$AZ$221,0)))),"")</f>
        <v/>
      </c>
      <c r="G43" s="42" t="str">
        <f>IFERROR(IF(COUNTIF(Schedule!$A$8:$A$107,Dashboard!$B43)&gt;0,INDEX(Schedule!$AU$8:$AZ$107,MATCH(Dashboard!$B43,Schedule!$A$8:$A$107,0),MATCH(Dashboard!G$32,Schedule!$AU$5:$AZ$5,0)),IF(COUNTIF(Schedule!$A$116:$A$215,Dashboard!$B43)&gt;0,INDEX(Schedule!$AU$116:$AZ$215,MATCH(Dashboard!$B43,Schedule!$A$116:$A$215,0),MATCH(Dashboard!G$32,Schedule!$AU$113:$AZ$113,0)),INDEX(Schedule!$AU$224:$AZ$323,MATCH(Dashboard!$B43,Schedule!$A$224:$A$323,0),MATCH(Dashboard!G$32,Schedule!$AU$221:$AZ$221,0)))),"")</f>
        <v/>
      </c>
      <c r="H43" s="42" t="str">
        <f>IFERROR(IF(COUNTIF(Schedule!$A$8:$A$107,Dashboard!$B43)&gt;0,INDEX(Schedule!$AU$8:$AZ$107,MATCH(Dashboard!$B43,Schedule!$A$8:$A$107,0),MATCH(Dashboard!H$32,Schedule!$AU$5:$AZ$5,0)),IF(COUNTIF(Schedule!$A$116:$A$215,Dashboard!$B43)&gt;0,INDEX(Schedule!$AU$116:$AZ$215,MATCH(Dashboard!$B43,Schedule!$A$116:$A$215,0),MATCH(Dashboard!H$32,Schedule!$AU$113:$AZ$113,0)),INDEX(Schedule!$AU$224:$AZ$323,MATCH(Dashboard!$B43,Schedule!$A$224:$A$323,0),MATCH(Dashboard!H$32,Schedule!$AU$221:$AZ$221,0)))),"")</f>
        <v/>
      </c>
      <c r="J43"/>
      <c r="K43"/>
      <c r="L43"/>
      <c r="M43"/>
      <c r="N43"/>
      <c r="O43"/>
      <c r="P43"/>
      <c r="Q43"/>
      <c r="R43"/>
      <c r="S43"/>
      <c r="T43"/>
    </row>
    <row r="44" spans="1:20" ht="14.1" hidden="1" customHeight="1" x14ac:dyDescent="0.25">
      <c r="A44" s="28"/>
      <c r="B44" s="40" t="str">
        <f>IF(Lists!B16=0,"",Lists!B16)</f>
        <v/>
      </c>
      <c r="C44" s="42" t="str">
        <f>IFERROR(IF(COUNTIF(Schedule!$A$8:$A$107,Dashboard!$B44)&gt;0,INDEX(Schedule!$AU$8:$AZ$107,MATCH(Dashboard!$B44,Schedule!$A$8:$A$107,0),MATCH(Dashboard!C$32,Schedule!$AU$5:$AZ$5,0)),IF(COUNTIF(Schedule!$A$116:$A$215,Dashboard!$B44)&gt;0,INDEX(Schedule!$AU$116:$AZ$215,MATCH(Dashboard!$B44,Schedule!$A$116:$A$215,0),MATCH(Dashboard!C$32,Schedule!$AU$113:$AZ$113,0)),INDEX(Schedule!$AU$224:$AZ$323,MATCH(Dashboard!$B44,Schedule!$A$224:$A$323,0),MATCH(Dashboard!C$32,Schedule!$AU$221:$AZ$221,0)))),"")</f>
        <v/>
      </c>
      <c r="D44" s="42" t="str">
        <f>IFERROR(IF(COUNTIF(Schedule!$A$8:$A$107,Dashboard!$B44)&gt;0,INDEX(Schedule!$AU$8:$AZ$107,MATCH(Dashboard!$B44,Schedule!$A$8:$A$107,0),MATCH(Dashboard!D$32,Schedule!$AU$5:$AZ$5,0)),IF(COUNTIF(Schedule!$A$116:$A$215,Dashboard!$B44)&gt;0,INDEX(Schedule!$AU$116:$AZ$215,MATCH(Dashboard!$B44,Schedule!$A$116:$A$215,0),MATCH(Dashboard!D$32,Schedule!$AU$113:$AZ$113,0)),INDEX(Schedule!$AU$224:$AZ$323,MATCH(Dashboard!$B44,Schedule!$A$224:$A$323,0),MATCH(Dashboard!D$32,Schedule!$AU$221:$AZ$221,0)))),"")</f>
        <v/>
      </c>
      <c r="E44" s="42" t="str">
        <f>IFERROR(IF(COUNTIF(Schedule!$A$8:$A$107,Dashboard!$B44)&gt;0,INDEX(Schedule!$AU$8:$AZ$107,MATCH(Dashboard!$B44,Schedule!$A$8:$A$107,0),MATCH(Dashboard!E$32,Schedule!$AU$5:$AZ$5,0)),IF(COUNTIF(Schedule!$A$116:$A$215,Dashboard!$B44)&gt;0,INDEX(Schedule!$AU$116:$AZ$215,MATCH(Dashboard!$B44,Schedule!$A$116:$A$215,0),MATCH(Dashboard!E$32,Schedule!$AU$113:$AZ$113,0)),INDEX(Schedule!$AU$224:$AZ$323,MATCH(Dashboard!$B44,Schedule!$A$224:$A$323,0),MATCH(Dashboard!E$32,Schedule!$AU$221:$AZ$221,0)))),"")</f>
        <v/>
      </c>
      <c r="F44" s="42" t="str">
        <f>IFERROR(IF(COUNTIF(Schedule!$A$8:$A$107,Dashboard!$B44)&gt;0,INDEX(Schedule!$AU$8:$AZ$107,MATCH(Dashboard!$B44,Schedule!$A$8:$A$107,0),MATCH(Dashboard!F$32,Schedule!$AU$5:$AZ$5,0)),IF(COUNTIF(Schedule!$A$116:$A$215,Dashboard!$B44)&gt;0,INDEX(Schedule!$AU$116:$AZ$215,MATCH(Dashboard!$B44,Schedule!$A$116:$A$215,0),MATCH(Dashboard!F$32,Schedule!$AU$113:$AZ$113,0)),INDEX(Schedule!$AU$224:$AZ$323,MATCH(Dashboard!$B44,Schedule!$A$224:$A$323,0),MATCH(Dashboard!F$32,Schedule!$AU$221:$AZ$221,0)))),"")</f>
        <v/>
      </c>
      <c r="G44" s="42" t="str">
        <f>IFERROR(IF(COUNTIF(Schedule!$A$8:$A$107,Dashboard!$B44)&gt;0,INDEX(Schedule!$AU$8:$AZ$107,MATCH(Dashboard!$B44,Schedule!$A$8:$A$107,0),MATCH(Dashboard!G$32,Schedule!$AU$5:$AZ$5,0)),IF(COUNTIF(Schedule!$A$116:$A$215,Dashboard!$B44)&gt;0,INDEX(Schedule!$AU$116:$AZ$215,MATCH(Dashboard!$B44,Schedule!$A$116:$A$215,0),MATCH(Dashboard!G$32,Schedule!$AU$113:$AZ$113,0)),INDEX(Schedule!$AU$224:$AZ$323,MATCH(Dashboard!$B44,Schedule!$A$224:$A$323,0),MATCH(Dashboard!G$32,Schedule!$AU$221:$AZ$221,0)))),"")</f>
        <v/>
      </c>
      <c r="H44" s="42" t="str">
        <f>IFERROR(IF(COUNTIF(Schedule!$A$8:$A$107,Dashboard!$B44)&gt;0,INDEX(Schedule!$AU$8:$AZ$107,MATCH(Dashboard!$B44,Schedule!$A$8:$A$107,0),MATCH(Dashboard!H$32,Schedule!$AU$5:$AZ$5,0)),IF(COUNTIF(Schedule!$A$116:$A$215,Dashboard!$B44)&gt;0,INDEX(Schedule!$AU$116:$AZ$215,MATCH(Dashboard!$B44,Schedule!$A$116:$A$215,0),MATCH(Dashboard!H$32,Schedule!$AU$113:$AZ$113,0)),INDEX(Schedule!$AU$224:$AZ$323,MATCH(Dashboard!$B44,Schedule!$A$224:$A$323,0),MATCH(Dashboard!H$32,Schedule!$AU$221:$AZ$221,0)))),"")</f>
        <v/>
      </c>
      <c r="J44"/>
      <c r="K44"/>
      <c r="L44"/>
      <c r="M44"/>
      <c r="N44"/>
      <c r="O44"/>
      <c r="P44"/>
      <c r="Q44"/>
      <c r="R44"/>
      <c r="S44"/>
      <c r="T44"/>
    </row>
    <row r="45" spans="1:20" ht="14.1" hidden="1" customHeight="1" x14ac:dyDescent="0.25">
      <c r="B45" s="40" t="str">
        <f>IF(Lists!B17=0,"",Lists!B17)</f>
        <v/>
      </c>
      <c r="C45" s="42" t="str">
        <f>IFERROR(IF(COUNTIF(Schedule!$A$8:$A$107,Dashboard!$B45)&gt;0,INDEX(Schedule!$AU$8:$AZ$107,MATCH(Dashboard!$B45,Schedule!$A$8:$A$107,0),MATCH(Dashboard!C$32,Schedule!$AU$5:$AZ$5,0)),IF(COUNTIF(Schedule!$A$116:$A$215,Dashboard!$B45)&gt;0,INDEX(Schedule!$AU$116:$AZ$215,MATCH(Dashboard!$B45,Schedule!$A$116:$A$215,0),MATCH(Dashboard!C$32,Schedule!$AU$113:$AZ$113,0)),INDEX(Schedule!$AU$224:$AZ$323,MATCH(Dashboard!$B45,Schedule!$A$224:$A$323,0),MATCH(Dashboard!C$32,Schedule!$AU$221:$AZ$221,0)))),"")</f>
        <v/>
      </c>
      <c r="D45" s="42" t="str">
        <f>IFERROR(IF(COUNTIF(Schedule!$A$8:$A$107,Dashboard!$B45)&gt;0,INDEX(Schedule!$AU$8:$AZ$107,MATCH(Dashboard!$B45,Schedule!$A$8:$A$107,0),MATCH(Dashboard!D$32,Schedule!$AU$5:$AZ$5,0)),IF(COUNTIF(Schedule!$A$116:$A$215,Dashboard!$B45)&gt;0,INDEX(Schedule!$AU$116:$AZ$215,MATCH(Dashboard!$B45,Schedule!$A$116:$A$215,0),MATCH(Dashboard!D$32,Schedule!$AU$113:$AZ$113,0)),INDEX(Schedule!$AU$224:$AZ$323,MATCH(Dashboard!$B45,Schedule!$A$224:$A$323,0),MATCH(Dashboard!D$32,Schedule!$AU$221:$AZ$221,0)))),"")</f>
        <v/>
      </c>
      <c r="E45" s="42" t="str">
        <f>IFERROR(IF(COUNTIF(Schedule!$A$8:$A$107,Dashboard!$B45)&gt;0,INDEX(Schedule!$AU$8:$AZ$107,MATCH(Dashboard!$B45,Schedule!$A$8:$A$107,0),MATCH(Dashboard!E$32,Schedule!$AU$5:$AZ$5,0)),IF(COUNTIF(Schedule!$A$116:$A$215,Dashboard!$B45)&gt;0,INDEX(Schedule!$AU$116:$AZ$215,MATCH(Dashboard!$B45,Schedule!$A$116:$A$215,0),MATCH(Dashboard!E$32,Schedule!$AU$113:$AZ$113,0)),INDEX(Schedule!$AU$224:$AZ$323,MATCH(Dashboard!$B45,Schedule!$A$224:$A$323,0),MATCH(Dashboard!E$32,Schedule!$AU$221:$AZ$221,0)))),"")</f>
        <v/>
      </c>
      <c r="F45" s="42" t="str">
        <f>IFERROR(IF(COUNTIF(Schedule!$A$8:$A$107,Dashboard!$B45)&gt;0,INDEX(Schedule!$AU$8:$AZ$107,MATCH(Dashboard!$B45,Schedule!$A$8:$A$107,0),MATCH(Dashboard!F$32,Schedule!$AU$5:$AZ$5,0)),IF(COUNTIF(Schedule!$A$116:$A$215,Dashboard!$B45)&gt;0,INDEX(Schedule!$AU$116:$AZ$215,MATCH(Dashboard!$B45,Schedule!$A$116:$A$215,0),MATCH(Dashboard!F$32,Schedule!$AU$113:$AZ$113,0)),INDEX(Schedule!$AU$224:$AZ$323,MATCH(Dashboard!$B45,Schedule!$A$224:$A$323,0),MATCH(Dashboard!F$32,Schedule!$AU$221:$AZ$221,0)))),"")</f>
        <v/>
      </c>
      <c r="G45" s="42" t="str">
        <f>IFERROR(IF(COUNTIF(Schedule!$A$8:$A$107,Dashboard!$B45)&gt;0,INDEX(Schedule!$AU$8:$AZ$107,MATCH(Dashboard!$B45,Schedule!$A$8:$A$107,0),MATCH(Dashboard!G$32,Schedule!$AU$5:$AZ$5,0)),IF(COUNTIF(Schedule!$A$116:$A$215,Dashboard!$B45)&gt;0,INDEX(Schedule!$AU$116:$AZ$215,MATCH(Dashboard!$B45,Schedule!$A$116:$A$215,0),MATCH(Dashboard!G$32,Schedule!$AU$113:$AZ$113,0)),INDEX(Schedule!$AU$224:$AZ$323,MATCH(Dashboard!$B45,Schedule!$A$224:$A$323,0),MATCH(Dashboard!G$32,Schedule!$AU$221:$AZ$221,0)))),"")</f>
        <v/>
      </c>
      <c r="H45" s="42" t="str">
        <f>IFERROR(IF(COUNTIF(Schedule!$A$8:$A$107,Dashboard!$B45)&gt;0,INDEX(Schedule!$AU$8:$AZ$107,MATCH(Dashboard!$B45,Schedule!$A$8:$A$107,0),MATCH(Dashboard!H$32,Schedule!$AU$5:$AZ$5,0)),IF(COUNTIF(Schedule!$A$116:$A$215,Dashboard!$B45)&gt;0,INDEX(Schedule!$AU$116:$AZ$215,MATCH(Dashboard!$B45,Schedule!$A$116:$A$215,0),MATCH(Dashboard!H$32,Schedule!$AU$113:$AZ$113,0)),INDEX(Schedule!$AU$224:$AZ$323,MATCH(Dashboard!$B45,Schedule!$A$224:$A$323,0),MATCH(Dashboard!H$32,Schedule!$AU$221:$AZ$221,0)))),"")</f>
        <v/>
      </c>
      <c r="J45"/>
      <c r="K45"/>
      <c r="L45"/>
      <c r="M45"/>
      <c r="N45"/>
      <c r="O45"/>
      <c r="P45"/>
      <c r="Q45"/>
      <c r="R45"/>
      <c r="S45"/>
      <c r="T45"/>
    </row>
    <row r="46" spans="1:20" ht="14.1" hidden="1" customHeight="1" x14ac:dyDescent="0.25">
      <c r="B46" s="40" t="str">
        <f>IF(Lists!B18=0,"",Lists!B18)</f>
        <v/>
      </c>
      <c r="C46" s="42" t="str">
        <f>IFERROR(IF(COUNTIF(Schedule!$A$8:$A$107,Dashboard!$B46)&gt;0,INDEX(Schedule!$AU$8:$AZ$107,MATCH(Dashboard!$B46,Schedule!$A$8:$A$107,0),MATCH(Dashboard!C$32,Schedule!$AU$5:$AZ$5,0)),IF(COUNTIF(Schedule!$A$116:$A$215,Dashboard!$B46)&gt;0,INDEX(Schedule!$AU$116:$AZ$215,MATCH(Dashboard!$B46,Schedule!$A$116:$A$215,0),MATCH(Dashboard!C$32,Schedule!$AU$113:$AZ$113,0)),INDEX(Schedule!$AU$224:$AZ$323,MATCH(Dashboard!$B46,Schedule!$A$224:$A$323,0),MATCH(Dashboard!C$32,Schedule!$AU$221:$AZ$221,0)))),"")</f>
        <v/>
      </c>
      <c r="D46" s="42" t="str">
        <f>IFERROR(IF(COUNTIF(Schedule!$A$8:$A$107,Dashboard!$B46)&gt;0,INDEX(Schedule!$AU$8:$AZ$107,MATCH(Dashboard!$B46,Schedule!$A$8:$A$107,0),MATCH(Dashboard!D$32,Schedule!$AU$5:$AZ$5,0)),IF(COUNTIF(Schedule!$A$116:$A$215,Dashboard!$B46)&gt;0,INDEX(Schedule!$AU$116:$AZ$215,MATCH(Dashboard!$B46,Schedule!$A$116:$A$215,0),MATCH(Dashboard!D$32,Schedule!$AU$113:$AZ$113,0)),INDEX(Schedule!$AU$224:$AZ$323,MATCH(Dashboard!$B46,Schedule!$A$224:$A$323,0),MATCH(Dashboard!D$32,Schedule!$AU$221:$AZ$221,0)))),"")</f>
        <v/>
      </c>
      <c r="E46" s="42" t="str">
        <f>IFERROR(IF(COUNTIF(Schedule!$A$8:$A$107,Dashboard!$B46)&gt;0,INDEX(Schedule!$AU$8:$AZ$107,MATCH(Dashboard!$B46,Schedule!$A$8:$A$107,0),MATCH(Dashboard!E$32,Schedule!$AU$5:$AZ$5,0)),IF(COUNTIF(Schedule!$A$116:$A$215,Dashboard!$B46)&gt;0,INDEX(Schedule!$AU$116:$AZ$215,MATCH(Dashboard!$B46,Schedule!$A$116:$A$215,0),MATCH(Dashboard!E$32,Schedule!$AU$113:$AZ$113,0)),INDEX(Schedule!$AU$224:$AZ$323,MATCH(Dashboard!$B46,Schedule!$A$224:$A$323,0),MATCH(Dashboard!E$32,Schedule!$AU$221:$AZ$221,0)))),"")</f>
        <v/>
      </c>
      <c r="F46" s="42" t="str">
        <f>IFERROR(IF(COUNTIF(Schedule!$A$8:$A$107,Dashboard!$B46)&gt;0,INDEX(Schedule!$AU$8:$AZ$107,MATCH(Dashboard!$B46,Schedule!$A$8:$A$107,0),MATCH(Dashboard!F$32,Schedule!$AU$5:$AZ$5,0)),IF(COUNTIF(Schedule!$A$116:$A$215,Dashboard!$B46)&gt;0,INDEX(Schedule!$AU$116:$AZ$215,MATCH(Dashboard!$B46,Schedule!$A$116:$A$215,0),MATCH(Dashboard!F$32,Schedule!$AU$113:$AZ$113,0)),INDEX(Schedule!$AU$224:$AZ$323,MATCH(Dashboard!$B46,Schedule!$A$224:$A$323,0),MATCH(Dashboard!F$32,Schedule!$AU$221:$AZ$221,0)))),"")</f>
        <v/>
      </c>
      <c r="G46" s="42" t="str">
        <f>IFERROR(IF(COUNTIF(Schedule!$A$8:$A$107,Dashboard!$B46)&gt;0,INDEX(Schedule!$AU$8:$AZ$107,MATCH(Dashboard!$B46,Schedule!$A$8:$A$107,0),MATCH(Dashboard!G$32,Schedule!$AU$5:$AZ$5,0)),IF(COUNTIF(Schedule!$A$116:$A$215,Dashboard!$B46)&gt;0,INDEX(Schedule!$AU$116:$AZ$215,MATCH(Dashboard!$B46,Schedule!$A$116:$A$215,0),MATCH(Dashboard!G$32,Schedule!$AU$113:$AZ$113,0)),INDEX(Schedule!$AU$224:$AZ$323,MATCH(Dashboard!$B46,Schedule!$A$224:$A$323,0),MATCH(Dashboard!G$32,Schedule!$AU$221:$AZ$221,0)))),"")</f>
        <v/>
      </c>
      <c r="H46" s="42" t="str">
        <f>IFERROR(IF(COUNTIF(Schedule!$A$8:$A$107,Dashboard!$B46)&gt;0,INDEX(Schedule!$AU$8:$AZ$107,MATCH(Dashboard!$B46,Schedule!$A$8:$A$107,0),MATCH(Dashboard!H$32,Schedule!$AU$5:$AZ$5,0)),IF(COUNTIF(Schedule!$A$116:$A$215,Dashboard!$B46)&gt;0,INDEX(Schedule!$AU$116:$AZ$215,MATCH(Dashboard!$B46,Schedule!$A$116:$A$215,0),MATCH(Dashboard!H$32,Schedule!$AU$113:$AZ$113,0)),INDEX(Schedule!$AU$224:$AZ$323,MATCH(Dashboard!$B46,Schedule!$A$224:$A$323,0),MATCH(Dashboard!H$32,Schedule!$AU$221:$AZ$221,0)))),"")</f>
        <v/>
      </c>
      <c r="J46"/>
      <c r="K46"/>
      <c r="L46"/>
      <c r="M46"/>
      <c r="N46"/>
      <c r="O46"/>
      <c r="P46"/>
      <c r="Q46"/>
      <c r="R46"/>
      <c r="S46"/>
      <c r="T46"/>
    </row>
    <row r="47" spans="1:20" ht="14.1" hidden="1" customHeight="1" x14ac:dyDescent="0.25">
      <c r="B47" s="40" t="str">
        <f>IF(Lists!B19=0,"",Lists!B19)</f>
        <v/>
      </c>
      <c r="C47" s="42" t="str">
        <f>IFERROR(IF(COUNTIF(Schedule!$A$8:$A$107,Dashboard!$B47)&gt;0,INDEX(Schedule!$AU$8:$AZ$107,MATCH(Dashboard!$B47,Schedule!$A$8:$A$107,0),MATCH(Dashboard!C$32,Schedule!$AU$5:$AZ$5,0)),IF(COUNTIF(Schedule!$A$116:$A$215,Dashboard!$B47)&gt;0,INDEX(Schedule!$AU$116:$AZ$215,MATCH(Dashboard!$B47,Schedule!$A$116:$A$215,0),MATCH(Dashboard!C$32,Schedule!$AU$113:$AZ$113,0)),INDEX(Schedule!$AU$224:$AZ$323,MATCH(Dashboard!$B47,Schedule!$A$224:$A$323,0),MATCH(Dashboard!C$32,Schedule!$AU$221:$AZ$221,0)))),"")</f>
        <v/>
      </c>
      <c r="D47" s="42" t="str">
        <f>IFERROR(IF(COUNTIF(Schedule!$A$8:$A$107,Dashboard!$B47)&gt;0,INDEX(Schedule!$AU$8:$AZ$107,MATCH(Dashboard!$B47,Schedule!$A$8:$A$107,0),MATCH(Dashboard!D$32,Schedule!$AU$5:$AZ$5,0)),IF(COUNTIF(Schedule!$A$116:$A$215,Dashboard!$B47)&gt;0,INDEX(Schedule!$AU$116:$AZ$215,MATCH(Dashboard!$B47,Schedule!$A$116:$A$215,0),MATCH(Dashboard!D$32,Schedule!$AU$113:$AZ$113,0)),INDEX(Schedule!$AU$224:$AZ$323,MATCH(Dashboard!$B47,Schedule!$A$224:$A$323,0),MATCH(Dashboard!D$32,Schedule!$AU$221:$AZ$221,0)))),"")</f>
        <v/>
      </c>
      <c r="E47" s="42" t="str">
        <f>IFERROR(IF(COUNTIF(Schedule!$A$8:$A$107,Dashboard!$B47)&gt;0,INDEX(Schedule!$AU$8:$AZ$107,MATCH(Dashboard!$B47,Schedule!$A$8:$A$107,0),MATCH(Dashboard!E$32,Schedule!$AU$5:$AZ$5,0)),IF(COUNTIF(Schedule!$A$116:$A$215,Dashboard!$B47)&gt;0,INDEX(Schedule!$AU$116:$AZ$215,MATCH(Dashboard!$B47,Schedule!$A$116:$A$215,0),MATCH(Dashboard!E$32,Schedule!$AU$113:$AZ$113,0)),INDEX(Schedule!$AU$224:$AZ$323,MATCH(Dashboard!$B47,Schedule!$A$224:$A$323,0),MATCH(Dashboard!E$32,Schedule!$AU$221:$AZ$221,0)))),"")</f>
        <v/>
      </c>
      <c r="F47" s="42" t="str">
        <f>IFERROR(IF(COUNTIF(Schedule!$A$8:$A$107,Dashboard!$B47)&gt;0,INDEX(Schedule!$AU$8:$AZ$107,MATCH(Dashboard!$B47,Schedule!$A$8:$A$107,0),MATCH(Dashboard!F$32,Schedule!$AU$5:$AZ$5,0)),IF(COUNTIF(Schedule!$A$116:$A$215,Dashboard!$B47)&gt;0,INDEX(Schedule!$AU$116:$AZ$215,MATCH(Dashboard!$B47,Schedule!$A$116:$A$215,0),MATCH(Dashboard!F$32,Schedule!$AU$113:$AZ$113,0)),INDEX(Schedule!$AU$224:$AZ$323,MATCH(Dashboard!$B47,Schedule!$A$224:$A$323,0),MATCH(Dashboard!F$32,Schedule!$AU$221:$AZ$221,0)))),"")</f>
        <v/>
      </c>
      <c r="G47" s="42" t="str">
        <f>IFERROR(IF(COUNTIF(Schedule!$A$8:$A$107,Dashboard!$B47)&gt;0,INDEX(Schedule!$AU$8:$AZ$107,MATCH(Dashboard!$B47,Schedule!$A$8:$A$107,0),MATCH(Dashboard!G$32,Schedule!$AU$5:$AZ$5,0)),IF(COUNTIF(Schedule!$A$116:$A$215,Dashboard!$B47)&gt;0,INDEX(Schedule!$AU$116:$AZ$215,MATCH(Dashboard!$B47,Schedule!$A$116:$A$215,0),MATCH(Dashboard!G$32,Schedule!$AU$113:$AZ$113,0)),INDEX(Schedule!$AU$224:$AZ$323,MATCH(Dashboard!$B47,Schedule!$A$224:$A$323,0),MATCH(Dashboard!G$32,Schedule!$AU$221:$AZ$221,0)))),"")</f>
        <v/>
      </c>
      <c r="H47" s="42" t="str">
        <f>IFERROR(IF(COUNTIF(Schedule!$A$8:$A$107,Dashboard!$B47)&gt;0,INDEX(Schedule!$AU$8:$AZ$107,MATCH(Dashboard!$B47,Schedule!$A$8:$A$107,0),MATCH(Dashboard!H$32,Schedule!$AU$5:$AZ$5,0)),IF(COUNTIF(Schedule!$A$116:$A$215,Dashboard!$B47)&gt;0,INDEX(Schedule!$AU$116:$AZ$215,MATCH(Dashboard!$B47,Schedule!$A$116:$A$215,0),MATCH(Dashboard!H$32,Schedule!$AU$113:$AZ$113,0)),INDEX(Schedule!$AU$224:$AZ$323,MATCH(Dashboard!$B47,Schedule!$A$224:$A$323,0),MATCH(Dashboard!H$32,Schedule!$AU$221:$AZ$221,0)))),"")</f>
        <v/>
      </c>
      <c r="J47"/>
      <c r="K47"/>
      <c r="L47"/>
      <c r="M47"/>
      <c r="N47"/>
      <c r="O47"/>
      <c r="P47"/>
      <c r="Q47"/>
      <c r="R47"/>
      <c r="S47"/>
      <c r="T47"/>
    </row>
    <row r="48" spans="1:20" ht="14.1" hidden="1" customHeight="1" x14ac:dyDescent="0.25">
      <c r="B48" s="40" t="str">
        <f>IF(Lists!B20=0,"",Lists!B20)</f>
        <v/>
      </c>
      <c r="C48" s="42" t="str">
        <f>IFERROR(IF(COUNTIF(Schedule!$A$8:$A$107,Dashboard!$B48)&gt;0,INDEX(Schedule!$AU$8:$AZ$107,MATCH(Dashboard!$B48,Schedule!$A$8:$A$107,0),MATCH(Dashboard!C$32,Schedule!$AU$5:$AZ$5,0)),IF(COUNTIF(Schedule!$A$116:$A$215,Dashboard!$B48)&gt;0,INDEX(Schedule!$AU$116:$AZ$215,MATCH(Dashboard!$B48,Schedule!$A$116:$A$215,0),MATCH(Dashboard!C$32,Schedule!$AU$113:$AZ$113,0)),INDEX(Schedule!$AU$224:$AZ$323,MATCH(Dashboard!$B48,Schedule!$A$224:$A$323,0),MATCH(Dashboard!C$32,Schedule!$AU$221:$AZ$221,0)))),"")</f>
        <v/>
      </c>
      <c r="D48" s="42" t="str">
        <f>IFERROR(IF(COUNTIF(Schedule!$A$8:$A$107,Dashboard!$B48)&gt;0,INDEX(Schedule!$AU$8:$AZ$107,MATCH(Dashboard!$B48,Schedule!$A$8:$A$107,0),MATCH(Dashboard!D$32,Schedule!$AU$5:$AZ$5,0)),IF(COUNTIF(Schedule!$A$116:$A$215,Dashboard!$B48)&gt;0,INDEX(Schedule!$AU$116:$AZ$215,MATCH(Dashboard!$B48,Schedule!$A$116:$A$215,0),MATCH(Dashboard!D$32,Schedule!$AU$113:$AZ$113,0)),INDEX(Schedule!$AU$224:$AZ$323,MATCH(Dashboard!$B48,Schedule!$A$224:$A$323,0),MATCH(Dashboard!D$32,Schedule!$AU$221:$AZ$221,0)))),"")</f>
        <v/>
      </c>
      <c r="E48" s="42" t="str">
        <f>IFERROR(IF(COUNTIF(Schedule!$A$8:$A$107,Dashboard!$B48)&gt;0,INDEX(Schedule!$AU$8:$AZ$107,MATCH(Dashboard!$B48,Schedule!$A$8:$A$107,0),MATCH(Dashboard!E$32,Schedule!$AU$5:$AZ$5,0)),IF(COUNTIF(Schedule!$A$116:$A$215,Dashboard!$B48)&gt;0,INDEX(Schedule!$AU$116:$AZ$215,MATCH(Dashboard!$B48,Schedule!$A$116:$A$215,0),MATCH(Dashboard!E$32,Schedule!$AU$113:$AZ$113,0)),INDEX(Schedule!$AU$224:$AZ$323,MATCH(Dashboard!$B48,Schedule!$A$224:$A$323,0),MATCH(Dashboard!E$32,Schedule!$AU$221:$AZ$221,0)))),"")</f>
        <v/>
      </c>
      <c r="F48" s="42" t="str">
        <f>IFERROR(IF(COUNTIF(Schedule!$A$8:$A$107,Dashboard!$B48)&gt;0,INDEX(Schedule!$AU$8:$AZ$107,MATCH(Dashboard!$B48,Schedule!$A$8:$A$107,0),MATCH(Dashboard!F$32,Schedule!$AU$5:$AZ$5,0)),IF(COUNTIF(Schedule!$A$116:$A$215,Dashboard!$B48)&gt;0,INDEX(Schedule!$AU$116:$AZ$215,MATCH(Dashboard!$B48,Schedule!$A$116:$A$215,0),MATCH(Dashboard!F$32,Schedule!$AU$113:$AZ$113,0)),INDEX(Schedule!$AU$224:$AZ$323,MATCH(Dashboard!$B48,Schedule!$A$224:$A$323,0),MATCH(Dashboard!F$32,Schedule!$AU$221:$AZ$221,0)))),"")</f>
        <v/>
      </c>
      <c r="G48" s="42" t="str">
        <f>IFERROR(IF(COUNTIF(Schedule!$A$8:$A$107,Dashboard!$B48)&gt;0,INDEX(Schedule!$AU$8:$AZ$107,MATCH(Dashboard!$B48,Schedule!$A$8:$A$107,0),MATCH(Dashboard!G$32,Schedule!$AU$5:$AZ$5,0)),IF(COUNTIF(Schedule!$A$116:$A$215,Dashboard!$B48)&gt;0,INDEX(Schedule!$AU$116:$AZ$215,MATCH(Dashboard!$B48,Schedule!$A$116:$A$215,0),MATCH(Dashboard!G$32,Schedule!$AU$113:$AZ$113,0)),INDEX(Schedule!$AU$224:$AZ$323,MATCH(Dashboard!$B48,Schedule!$A$224:$A$323,0),MATCH(Dashboard!G$32,Schedule!$AU$221:$AZ$221,0)))),"")</f>
        <v/>
      </c>
      <c r="H48" s="42" t="str">
        <f>IFERROR(IF(COUNTIF(Schedule!$A$8:$A$107,Dashboard!$B48)&gt;0,INDEX(Schedule!$AU$8:$AZ$107,MATCH(Dashboard!$B48,Schedule!$A$8:$A$107,0),MATCH(Dashboard!H$32,Schedule!$AU$5:$AZ$5,0)),IF(COUNTIF(Schedule!$A$116:$A$215,Dashboard!$B48)&gt;0,INDEX(Schedule!$AU$116:$AZ$215,MATCH(Dashboard!$B48,Schedule!$A$116:$A$215,0),MATCH(Dashboard!H$32,Schedule!$AU$113:$AZ$113,0)),INDEX(Schedule!$AU$224:$AZ$323,MATCH(Dashboard!$B48,Schedule!$A$224:$A$323,0),MATCH(Dashboard!H$32,Schedule!$AU$221:$AZ$221,0)))),"")</f>
        <v/>
      </c>
      <c r="J48"/>
      <c r="K48"/>
      <c r="L48"/>
      <c r="M48"/>
      <c r="N48"/>
      <c r="O48"/>
      <c r="P48"/>
      <c r="Q48"/>
      <c r="R48"/>
      <c r="S48"/>
      <c r="T48"/>
    </row>
    <row r="49" spans="2:20" ht="14.1" hidden="1" customHeight="1" x14ac:dyDescent="0.25">
      <c r="B49" s="40" t="str">
        <f>IF(Lists!B21=0,"",Lists!B21)</f>
        <v/>
      </c>
      <c r="C49" s="42" t="str">
        <f>IFERROR(IF(COUNTIF(Schedule!$A$8:$A$107,Dashboard!$B49)&gt;0,INDEX(Schedule!$AU$8:$AZ$107,MATCH(Dashboard!$B49,Schedule!$A$8:$A$107,0),MATCH(Dashboard!C$32,Schedule!$AU$5:$AZ$5,0)),IF(COUNTIF(Schedule!$A$116:$A$215,Dashboard!$B49)&gt;0,INDEX(Schedule!$AU$116:$AZ$215,MATCH(Dashboard!$B49,Schedule!$A$116:$A$215,0),MATCH(Dashboard!C$32,Schedule!$AU$113:$AZ$113,0)),INDEX(Schedule!$AU$224:$AZ$323,MATCH(Dashboard!$B49,Schedule!$A$224:$A$323,0),MATCH(Dashboard!C$32,Schedule!$AU$221:$AZ$221,0)))),"")</f>
        <v/>
      </c>
      <c r="D49" s="42" t="str">
        <f>IFERROR(IF(COUNTIF(Schedule!$A$8:$A$107,Dashboard!$B49)&gt;0,INDEX(Schedule!$AU$8:$AZ$107,MATCH(Dashboard!$B49,Schedule!$A$8:$A$107,0),MATCH(Dashboard!D$32,Schedule!$AU$5:$AZ$5,0)),IF(COUNTIF(Schedule!$A$116:$A$215,Dashboard!$B49)&gt;0,INDEX(Schedule!$AU$116:$AZ$215,MATCH(Dashboard!$B49,Schedule!$A$116:$A$215,0),MATCH(Dashboard!D$32,Schedule!$AU$113:$AZ$113,0)),INDEX(Schedule!$AU$224:$AZ$323,MATCH(Dashboard!$B49,Schedule!$A$224:$A$323,0),MATCH(Dashboard!D$32,Schedule!$AU$221:$AZ$221,0)))),"")</f>
        <v/>
      </c>
      <c r="E49" s="42" t="str">
        <f>IFERROR(IF(COUNTIF(Schedule!$A$8:$A$107,Dashboard!$B49)&gt;0,INDEX(Schedule!$AU$8:$AZ$107,MATCH(Dashboard!$B49,Schedule!$A$8:$A$107,0),MATCH(Dashboard!E$32,Schedule!$AU$5:$AZ$5,0)),IF(COUNTIF(Schedule!$A$116:$A$215,Dashboard!$B49)&gt;0,INDEX(Schedule!$AU$116:$AZ$215,MATCH(Dashboard!$B49,Schedule!$A$116:$A$215,0),MATCH(Dashboard!E$32,Schedule!$AU$113:$AZ$113,0)),INDEX(Schedule!$AU$224:$AZ$323,MATCH(Dashboard!$B49,Schedule!$A$224:$A$323,0),MATCH(Dashboard!E$32,Schedule!$AU$221:$AZ$221,0)))),"")</f>
        <v/>
      </c>
      <c r="F49" s="42" t="str">
        <f>IFERROR(IF(COUNTIF(Schedule!$A$8:$A$107,Dashboard!$B49)&gt;0,INDEX(Schedule!$AU$8:$AZ$107,MATCH(Dashboard!$B49,Schedule!$A$8:$A$107,0),MATCH(Dashboard!F$32,Schedule!$AU$5:$AZ$5,0)),IF(COUNTIF(Schedule!$A$116:$A$215,Dashboard!$B49)&gt;0,INDEX(Schedule!$AU$116:$AZ$215,MATCH(Dashboard!$B49,Schedule!$A$116:$A$215,0),MATCH(Dashboard!F$32,Schedule!$AU$113:$AZ$113,0)),INDEX(Schedule!$AU$224:$AZ$323,MATCH(Dashboard!$B49,Schedule!$A$224:$A$323,0),MATCH(Dashboard!F$32,Schedule!$AU$221:$AZ$221,0)))),"")</f>
        <v/>
      </c>
      <c r="G49" s="42" t="str">
        <f>IFERROR(IF(COUNTIF(Schedule!$A$8:$A$107,Dashboard!$B49)&gt;0,INDEX(Schedule!$AU$8:$AZ$107,MATCH(Dashboard!$B49,Schedule!$A$8:$A$107,0),MATCH(Dashboard!G$32,Schedule!$AU$5:$AZ$5,0)),IF(COUNTIF(Schedule!$A$116:$A$215,Dashboard!$B49)&gt;0,INDEX(Schedule!$AU$116:$AZ$215,MATCH(Dashboard!$B49,Schedule!$A$116:$A$215,0),MATCH(Dashboard!G$32,Schedule!$AU$113:$AZ$113,0)),INDEX(Schedule!$AU$224:$AZ$323,MATCH(Dashboard!$B49,Schedule!$A$224:$A$323,0),MATCH(Dashboard!G$32,Schedule!$AU$221:$AZ$221,0)))),"")</f>
        <v/>
      </c>
      <c r="H49" s="42" t="str">
        <f>IFERROR(IF(COUNTIF(Schedule!$A$8:$A$107,Dashboard!$B49)&gt;0,INDEX(Schedule!$AU$8:$AZ$107,MATCH(Dashboard!$B49,Schedule!$A$8:$A$107,0),MATCH(Dashboard!H$32,Schedule!$AU$5:$AZ$5,0)),IF(COUNTIF(Schedule!$A$116:$A$215,Dashboard!$B49)&gt;0,INDEX(Schedule!$AU$116:$AZ$215,MATCH(Dashboard!$B49,Schedule!$A$116:$A$215,0),MATCH(Dashboard!H$32,Schedule!$AU$113:$AZ$113,0)),INDEX(Schedule!$AU$224:$AZ$323,MATCH(Dashboard!$B49,Schedule!$A$224:$A$323,0),MATCH(Dashboard!H$32,Schedule!$AU$221:$AZ$221,0)))),"")</f>
        <v/>
      </c>
      <c r="J49"/>
      <c r="K49"/>
      <c r="L49"/>
      <c r="M49"/>
      <c r="N49"/>
      <c r="O49"/>
      <c r="P49"/>
      <c r="Q49"/>
      <c r="R49"/>
      <c r="S49"/>
      <c r="T49"/>
    </row>
    <row r="50" spans="2:20" ht="14.1" hidden="1" customHeight="1" x14ac:dyDescent="0.25">
      <c r="B50" s="40" t="str">
        <f>IF(Lists!B22=0,"",Lists!B22)</f>
        <v/>
      </c>
      <c r="C50" s="42" t="str">
        <f>IFERROR(IF(COUNTIF(Schedule!$A$8:$A$107,Dashboard!$B50)&gt;0,INDEX(Schedule!$AU$8:$AZ$107,MATCH(Dashboard!$B50,Schedule!$A$8:$A$107,0),MATCH(Dashboard!C$32,Schedule!$AU$5:$AZ$5,0)),IF(COUNTIF(Schedule!$A$116:$A$215,Dashboard!$B50)&gt;0,INDEX(Schedule!$AU$116:$AZ$215,MATCH(Dashboard!$B50,Schedule!$A$116:$A$215,0),MATCH(Dashboard!C$32,Schedule!$AU$113:$AZ$113,0)),INDEX(Schedule!$AU$224:$AZ$323,MATCH(Dashboard!$B50,Schedule!$A$224:$A$323,0),MATCH(Dashboard!C$32,Schedule!$AU$221:$AZ$221,0)))),"")</f>
        <v/>
      </c>
      <c r="D50" s="42" t="str">
        <f>IFERROR(IF(COUNTIF(Schedule!$A$8:$A$107,Dashboard!$B50)&gt;0,INDEX(Schedule!$AU$8:$AZ$107,MATCH(Dashboard!$B50,Schedule!$A$8:$A$107,0),MATCH(Dashboard!D$32,Schedule!$AU$5:$AZ$5,0)),IF(COUNTIF(Schedule!$A$116:$A$215,Dashboard!$B50)&gt;0,INDEX(Schedule!$AU$116:$AZ$215,MATCH(Dashboard!$B50,Schedule!$A$116:$A$215,0),MATCH(Dashboard!D$32,Schedule!$AU$113:$AZ$113,0)),INDEX(Schedule!$AU$224:$AZ$323,MATCH(Dashboard!$B50,Schedule!$A$224:$A$323,0),MATCH(Dashboard!D$32,Schedule!$AU$221:$AZ$221,0)))),"")</f>
        <v/>
      </c>
      <c r="E50" s="42" t="str">
        <f>IFERROR(IF(COUNTIF(Schedule!$A$8:$A$107,Dashboard!$B50)&gt;0,INDEX(Schedule!$AU$8:$AZ$107,MATCH(Dashboard!$B50,Schedule!$A$8:$A$107,0),MATCH(Dashboard!E$32,Schedule!$AU$5:$AZ$5,0)),IF(COUNTIF(Schedule!$A$116:$A$215,Dashboard!$B50)&gt;0,INDEX(Schedule!$AU$116:$AZ$215,MATCH(Dashboard!$B50,Schedule!$A$116:$A$215,0),MATCH(Dashboard!E$32,Schedule!$AU$113:$AZ$113,0)),INDEX(Schedule!$AU$224:$AZ$323,MATCH(Dashboard!$B50,Schedule!$A$224:$A$323,0),MATCH(Dashboard!E$32,Schedule!$AU$221:$AZ$221,0)))),"")</f>
        <v/>
      </c>
      <c r="F50" s="42" t="str">
        <f>IFERROR(IF(COUNTIF(Schedule!$A$8:$A$107,Dashboard!$B50)&gt;0,INDEX(Schedule!$AU$8:$AZ$107,MATCH(Dashboard!$B50,Schedule!$A$8:$A$107,0),MATCH(Dashboard!F$32,Schedule!$AU$5:$AZ$5,0)),IF(COUNTIF(Schedule!$A$116:$A$215,Dashboard!$B50)&gt;0,INDEX(Schedule!$AU$116:$AZ$215,MATCH(Dashboard!$B50,Schedule!$A$116:$A$215,0),MATCH(Dashboard!F$32,Schedule!$AU$113:$AZ$113,0)),INDEX(Schedule!$AU$224:$AZ$323,MATCH(Dashboard!$B50,Schedule!$A$224:$A$323,0),MATCH(Dashboard!F$32,Schedule!$AU$221:$AZ$221,0)))),"")</f>
        <v/>
      </c>
      <c r="G50" s="42" t="str">
        <f>IFERROR(IF(COUNTIF(Schedule!$A$8:$A$107,Dashboard!$B50)&gt;0,INDEX(Schedule!$AU$8:$AZ$107,MATCH(Dashboard!$B50,Schedule!$A$8:$A$107,0),MATCH(Dashboard!G$32,Schedule!$AU$5:$AZ$5,0)),IF(COUNTIF(Schedule!$A$116:$A$215,Dashboard!$B50)&gt;0,INDEX(Schedule!$AU$116:$AZ$215,MATCH(Dashboard!$B50,Schedule!$A$116:$A$215,0),MATCH(Dashboard!G$32,Schedule!$AU$113:$AZ$113,0)),INDEX(Schedule!$AU$224:$AZ$323,MATCH(Dashboard!$B50,Schedule!$A$224:$A$323,0),MATCH(Dashboard!G$32,Schedule!$AU$221:$AZ$221,0)))),"")</f>
        <v/>
      </c>
      <c r="H50" s="42" t="str">
        <f>IFERROR(IF(COUNTIF(Schedule!$A$8:$A$107,Dashboard!$B50)&gt;0,INDEX(Schedule!$AU$8:$AZ$107,MATCH(Dashboard!$B50,Schedule!$A$8:$A$107,0),MATCH(Dashboard!H$32,Schedule!$AU$5:$AZ$5,0)),IF(COUNTIF(Schedule!$A$116:$A$215,Dashboard!$B50)&gt;0,INDEX(Schedule!$AU$116:$AZ$215,MATCH(Dashboard!$B50,Schedule!$A$116:$A$215,0),MATCH(Dashboard!H$32,Schedule!$AU$113:$AZ$113,0)),INDEX(Schedule!$AU$224:$AZ$323,MATCH(Dashboard!$B50,Schedule!$A$224:$A$323,0),MATCH(Dashboard!H$32,Schedule!$AU$221:$AZ$221,0)))),"")</f>
        <v/>
      </c>
      <c r="J50"/>
      <c r="K50"/>
      <c r="L50"/>
      <c r="M50"/>
      <c r="N50"/>
      <c r="O50"/>
      <c r="P50"/>
      <c r="Q50"/>
      <c r="R50"/>
      <c r="S50"/>
      <c r="T50"/>
    </row>
    <row r="51" spans="2:20" ht="14.1" hidden="1" customHeight="1" x14ac:dyDescent="0.25">
      <c r="B51" s="40" t="str">
        <f>IF(Lists!B23=0,"",Lists!B23)</f>
        <v/>
      </c>
      <c r="C51" s="42" t="str">
        <f>IFERROR(IF(COUNTIF(Schedule!$A$8:$A$107,Dashboard!$B51)&gt;0,INDEX(Schedule!$AU$8:$AZ$107,MATCH(Dashboard!$B51,Schedule!$A$8:$A$107,0),MATCH(Dashboard!C$32,Schedule!$AU$5:$AZ$5,0)),IF(COUNTIF(Schedule!$A$116:$A$215,Dashboard!$B51)&gt;0,INDEX(Schedule!$AU$116:$AZ$215,MATCH(Dashboard!$B51,Schedule!$A$116:$A$215,0),MATCH(Dashboard!C$32,Schedule!$AU$113:$AZ$113,0)),INDEX(Schedule!$AU$224:$AZ$323,MATCH(Dashboard!$B51,Schedule!$A$224:$A$323,0),MATCH(Dashboard!C$32,Schedule!$AU$221:$AZ$221,0)))),"")</f>
        <v/>
      </c>
      <c r="D51" s="42" t="str">
        <f>IFERROR(IF(COUNTIF(Schedule!$A$8:$A$107,Dashboard!$B51)&gt;0,INDEX(Schedule!$AU$8:$AZ$107,MATCH(Dashboard!$B51,Schedule!$A$8:$A$107,0),MATCH(Dashboard!D$32,Schedule!$AU$5:$AZ$5,0)),IF(COUNTIF(Schedule!$A$116:$A$215,Dashboard!$B51)&gt;0,INDEX(Schedule!$AU$116:$AZ$215,MATCH(Dashboard!$B51,Schedule!$A$116:$A$215,0),MATCH(Dashboard!D$32,Schedule!$AU$113:$AZ$113,0)),INDEX(Schedule!$AU$224:$AZ$323,MATCH(Dashboard!$B51,Schedule!$A$224:$A$323,0),MATCH(Dashboard!D$32,Schedule!$AU$221:$AZ$221,0)))),"")</f>
        <v/>
      </c>
      <c r="E51" s="42" t="str">
        <f>IFERROR(IF(COUNTIF(Schedule!$A$8:$A$107,Dashboard!$B51)&gt;0,INDEX(Schedule!$AU$8:$AZ$107,MATCH(Dashboard!$B51,Schedule!$A$8:$A$107,0),MATCH(Dashboard!E$32,Schedule!$AU$5:$AZ$5,0)),IF(COUNTIF(Schedule!$A$116:$A$215,Dashboard!$B51)&gt;0,INDEX(Schedule!$AU$116:$AZ$215,MATCH(Dashboard!$B51,Schedule!$A$116:$A$215,0),MATCH(Dashboard!E$32,Schedule!$AU$113:$AZ$113,0)),INDEX(Schedule!$AU$224:$AZ$323,MATCH(Dashboard!$B51,Schedule!$A$224:$A$323,0),MATCH(Dashboard!E$32,Schedule!$AU$221:$AZ$221,0)))),"")</f>
        <v/>
      </c>
      <c r="F51" s="42" t="str">
        <f>IFERROR(IF(COUNTIF(Schedule!$A$8:$A$107,Dashboard!$B51)&gt;0,INDEX(Schedule!$AU$8:$AZ$107,MATCH(Dashboard!$B51,Schedule!$A$8:$A$107,0),MATCH(Dashboard!F$32,Schedule!$AU$5:$AZ$5,0)),IF(COUNTIF(Schedule!$A$116:$A$215,Dashboard!$B51)&gt;0,INDEX(Schedule!$AU$116:$AZ$215,MATCH(Dashboard!$B51,Schedule!$A$116:$A$215,0),MATCH(Dashboard!F$32,Schedule!$AU$113:$AZ$113,0)),INDEX(Schedule!$AU$224:$AZ$323,MATCH(Dashboard!$B51,Schedule!$A$224:$A$323,0),MATCH(Dashboard!F$32,Schedule!$AU$221:$AZ$221,0)))),"")</f>
        <v/>
      </c>
      <c r="G51" s="42" t="str">
        <f>IFERROR(IF(COUNTIF(Schedule!$A$8:$A$107,Dashboard!$B51)&gt;0,INDEX(Schedule!$AU$8:$AZ$107,MATCH(Dashboard!$B51,Schedule!$A$8:$A$107,0),MATCH(Dashboard!G$32,Schedule!$AU$5:$AZ$5,0)),IF(COUNTIF(Schedule!$A$116:$A$215,Dashboard!$B51)&gt;0,INDEX(Schedule!$AU$116:$AZ$215,MATCH(Dashboard!$B51,Schedule!$A$116:$A$215,0),MATCH(Dashboard!G$32,Schedule!$AU$113:$AZ$113,0)),INDEX(Schedule!$AU$224:$AZ$323,MATCH(Dashboard!$B51,Schedule!$A$224:$A$323,0),MATCH(Dashboard!G$32,Schedule!$AU$221:$AZ$221,0)))),"")</f>
        <v/>
      </c>
      <c r="H51" s="42" t="str">
        <f>IFERROR(IF(COUNTIF(Schedule!$A$8:$A$107,Dashboard!$B51)&gt;0,INDEX(Schedule!$AU$8:$AZ$107,MATCH(Dashboard!$B51,Schedule!$A$8:$A$107,0),MATCH(Dashboard!H$32,Schedule!$AU$5:$AZ$5,0)),IF(COUNTIF(Schedule!$A$116:$A$215,Dashboard!$B51)&gt;0,INDEX(Schedule!$AU$116:$AZ$215,MATCH(Dashboard!$B51,Schedule!$A$116:$A$215,0),MATCH(Dashboard!H$32,Schedule!$AU$113:$AZ$113,0)),INDEX(Schedule!$AU$224:$AZ$323,MATCH(Dashboard!$B51,Schedule!$A$224:$A$323,0),MATCH(Dashboard!H$32,Schedule!$AU$221:$AZ$221,0)))),"")</f>
        <v/>
      </c>
      <c r="J51"/>
      <c r="K51"/>
      <c r="L51"/>
      <c r="M51"/>
      <c r="N51"/>
      <c r="O51"/>
      <c r="P51"/>
      <c r="Q51"/>
      <c r="R51"/>
      <c r="S51"/>
      <c r="T51"/>
    </row>
    <row r="52" spans="2:20" ht="14.1" hidden="1" customHeight="1" x14ac:dyDescent="0.25">
      <c r="B52" s="40" t="str">
        <f>IF(Lists!B24=0,"",Lists!B24)</f>
        <v/>
      </c>
      <c r="C52" s="42" t="str">
        <f>IFERROR(IF(COUNTIF(Schedule!$A$8:$A$107,Dashboard!$B52)&gt;0,INDEX(Schedule!$AU$8:$AZ$107,MATCH(Dashboard!$B52,Schedule!$A$8:$A$107,0),MATCH(Dashboard!C$32,Schedule!$AU$5:$AZ$5,0)),IF(COUNTIF(Schedule!$A$116:$A$215,Dashboard!$B52)&gt;0,INDEX(Schedule!$AU$116:$AZ$215,MATCH(Dashboard!$B52,Schedule!$A$116:$A$215,0),MATCH(Dashboard!C$32,Schedule!$AU$113:$AZ$113,0)),INDEX(Schedule!$AU$224:$AZ$323,MATCH(Dashboard!$B52,Schedule!$A$224:$A$323,0),MATCH(Dashboard!C$32,Schedule!$AU$221:$AZ$221,0)))),"")</f>
        <v/>
      </c>
      <c r="D52" s="42" t="str">
        <f>IFERROR(IF(COUNTIF(Schedule!$A$8:$A$107,Dashboard!$B52)&gt;0,INDEX(Schedule!$AU$8:$AZ$107,MATCH(Dashboard!$B52,Schedule!$A$8:$A$107,0),MATCH(Dashboard!D$32,Schedule!$AU$5:$AZ$5,0)),IF(COUNTIF(Schedule!$A$116:$A$215,Dashboard!$B52)&gt;0,INDEX(Schedule!$AU$116:$AZ$215,MATCH(Dashboard!$B52,Schedule!$A$116:$A$215,0),MATCH(Dashboard!D$32,Schedule!$AU$113:$AZ$113,0)),INDEX(Schedule!$AU$224:$AZ$323,MATCH(Dashboard!$B52,Schedule!$A$224:$A$323,0),MATCH(Dashboard!D$32,Schedule!$AU$221:$AZ$221,0)))),"")</f>
        <v/>
      </c>
      <c r="E52" s="42" t="str">
        <f>IFERROR(IF(COUNTIF(Schedule!$A$8:$A$107,Dashboard!$B52)&gt;0,INDEX(Schedule!$AU$8:$AZ$107,MATCH(Dashboard!$B52,Schedule!$A$8:$A$107,0),MATCH(Dashboard!E$32,Schedule!$AU$5:$AZ$5,0)),IF(COUNTIF(Schedule!$A$116:$A$215,Dashboard!$B52)&gt;0,INDEX(Schedule!$AU$116:$AZ$215,MATCH(Dashboard!$B52,Schedule!$A$116:$A$215,0),MATCH(Dashboard!E$32,Schedule!$AU$113:$AZ$113,0)),INDEX(Schedule!$AU$224:$AZ$323,MATCH(Dashboard!$B52,Schedule!$A$224:$A$323,0),MATCH(Dashboard!E$32,Schedule!$AU$221:$AZ$221,0)))),"")</f>
        <v/>
      </c>
      <c r="F52" s="42" t="str">
        <f>IFERROR(IF(COUNTIF(Schedule!$A$8:$A$107,Dashboard!$B52)&gt;0,INDEX(Schedule!$AU$8:$AZ$107,MATCH(Dashboard!$B52,Schedule!$A$8:$A$107,0),MATCH(Dashboard!F$32,Schedule!$AU$5:$AZ$5,0)),IF(COUNTIF(Schedule!$A$116:$A$215,Dashboard!$B52)&gt;0,INDEX(Schedule!$AU$116:$AZ$215,MATCH(Dashboard!$B52,Schedule!$A$116:$A$215,0),MATCH(Dashboard!F$32,Schedule!$AU$113:$AZ$113,0)),INDEX(Schedule!$AU$224:$AZ$323,MATCH(Dashboard!$B52,Schedule!$A$224:$A$323,0),MATCH(Dashboard!F$32,Schedule!$AU$221:$AZ$221,0)))),"")</f>
        <v/>
      </c>
      <c r="G52" s="42" t="str">
        <f>IFERROR(IF(COUNTIF(Schedule!$A$8:$A$107,Dashboard!$B52)&gt;0,INDEX(Schedule!$AU$8:$AZ$107,MATCH(Dashboard!$B52,Schedule!$A$8:$A$107,0),MATCH(Dashboard!G$32,Schedule!$AU$5:$AZ$5,0)),IF(COUNTIF(Schedule!$A$116:$A$215,Dashboard!$B52)&gt;0,INDEX(Schedule!$AU$116:$AZ$215,MATCH(Dashboard!$B52,Schedule!$A$116:$A$215,0),MATCH(Dashboard!G$32,Schedule!$AU$113:$AZ$113,0)),INDEX(Schedule!$AU$224:$AZ$323,MATCH(Dashboard!$B52,Schedule!$A$224:$A$323,0),MATCH(Dashboard!G$32,Schedule!$AU$221:$AZ$221,0)))),"")</f>
        <v/>
      </c>
      <c r="H52" s="42" t="str">
        <f>IFERROR(IF(COUNTIF(Schedule!$A$8:$A$107,Dashboard!$B52)&gt;0,INDEX(Schedule!$AU$8:$AZ$107,MATCH(Dashboard!$B52,Schedule!$A$8:$A$107,0),MATCH(Dashboard!H$32,Schedule!$AU$5:$AZ$5,0)),IF(COUNTIF(Schedule!$A$116:$A$215,Dashboard!$B52)&gt;0,INDEX(Schedule!$AU$116:$AZ$215,MATCH(Dashboard!$B52,Schedule!$A$116:$A$215,0),MATCH(Dashboard!H$32,Schedule!$AU$113:$AZ$113,0)),INDEX(Schedule!$AU$224:$AZ$323,MATCH(Dashboard!$B52,Schedule!$A$224:$A$323,0),MATCH(Dashboard!H$32,Schedule!$AU$221:$AZ$221,0)))),"")</f>
        <v/>
      </c>
      <c r="J52"/>
      <c r="K52"/>
      <c r="L52"/>
      <c r="M52"/>
      <c r="N52"/>
      <c r="O52"/>
      <c r="P52"/>
      <c r="Q52"/>
      <c r="R52"/>
      <c r="S52"/>
      <c r="T52"/>
    </row>
    <row r="53" spans="2:20" ht="14.1" hidden="1" customHeight="1" x14ac:dyDescent="0.2">
      <c r="B53" s="40" t="str">
        <f>IF(Lists!B25=0,"",Lists!B25)</f>
        <v/>
      </c>
      <c r="C53" s="42" t="str">
        <f>IFERROR(IF(COUNTIF(Schedule!$A$8:$A$107,Dashboard!$B53)&gt;0,INDEX(Schedule!$AU$8:$AZ$107,MATCH(Dashboard!$B53,Schedule!$A$8:$A$107,0),MATCH(Dashboard!C$32,Schedule!$AU$5:$AZ$5,0)),IF(COUNTIF(Schedule!$A$116:$A$215,Dashboard!$B53)&gt;0,INDEX(Schedule!$AU$116:$AZ$215,MATCH(Dashboard!$B53,Schedule!$A$116:$A$215,0),MATCH(Dashboard!C$32,Schedule!$AU$113:$AZ$113,0)),INDEX(Schedule!$AU$224:$AZ$323,MATCH(Dashboard!$B53,Schedule!$A$224:$A$323,0),MATCH(Dashboard!C$32,Schedule!$AU$221:$AZ$221,0)))),"")</f>
        <v/>
      </c>
      <c r="D53" s="42" t="str">
        <f>IFERROR(IF(COUNTIF(Schedule!$A$8:$A$107,Dashboard!$B53)&gt;0,INDEX(Schedule!$AU$8:$AZ$107,MATCH(Dashboard!$B53,Schedule!$A$8:$A$107,0),MATCH(Dashboard!D$32,Schedule!$AU$5:$AZ$5,0)),IF(COUNTIF(Schedule!$A$116:$A$215,Dashboard!$B53)&gt;0,INDEX(Schedule!$AU$116:$AZ$215,MATCH(Dashboard!$B53,Schedule!$A$116:$A$215,0),MATCH(Dashboard!D$32,Schedule!$AU$113:$AZ$113,0)),INDEX(Schedule!$AU$224:$AZ$323,MATCH(Dashboard!$B53,Schedule!$A$224:$A$323,0),MATCH(Dashboard!D$32,Schedule!$AU$221:$AZ$221,0)))),"")</f>
        <v/>
      </c>
      <c r="E53" s="42" t="str">
        <f>IFERROR(IF(COUNTIF(Schedule!$A$8:$A$107,Dashboard!$B53)&gt;0,INDEX(Schedule!$AU$8:$AZ$107,MATCH(Dashboard!$B53,Schedule!$A$8:$A$107,0),MATCH(Dashboard!E$32,Schedule!$AU$5:$AZ$5,0)),IF(COUNTIF(Schedule!$A$116:$A$215,Dashboard!$B53)&gt;0,INDEX(Schedule!$AU$116:$AZ$215,MATCH(Dashboard!$B53,Schedule!$A$116:$A$215,0),MATCH(Dashboard!E$32,Schedule!$AU$113:$AZ$113,0)),INDEX(Schedule!$AU$224:$AZ$323,MATCH(Dashboard!$B53,Schedule!$A$224:$A$323,0),MATCH(Dashboard!E$32,Schedule!$AU$221:$AZ$221,0)))),"")</f>
        <v/>
      </c>
      <c r="F53" s="42" t="str">
        <f>IFERROR(IF(COUNTIF(Schedule!$A$8:$A$107,Dashboard!$B53)&gt;0,INDEX(Schedule!$AU$8:$AZ$107,MATCH(Dashboard!$B53,Schedule!$A$8:$A$107,0),MATCH(Dashboard!F$32,Schedule!$AU$5:$AZ$5,0)),IF(COUNTIF(Schedule!$A$116:$A$215,Dashboard!$B53)&gt;0,INDEX(Schedule!$AU$116:$AZ$215,MATCH(Dashboard!$B53,Schedule!$A$116:$A$215,0),MATCH(Dashboard!F$32,Schedule!$AU$113:$AZ$113,0)),INDEX(Schedule!$AU$224:$AZ$323,MATCH(Dashboard!$B53,Schedule!$A$224:$A$323,0),MATCH(Dashboard!F$32,Schedule!$AU$221:$AZ$221,0)))),"")</f>
        <v/>
      </c>
      <c r="G53" s="42" t="str">
        <f>IFERROR(IF(COUNTIF(Schedule!$A$8:$A$107,Dashboard!$B53)&gt;0,INDEX(Schedule!$AU$8:$AZ$107,MATCH(Dashboard!$B53,Schedule!$A$8:$A$107,0),MATCH(Dashboard!G$32,Schedule!$AU$5:$AZ$5,0)),IF(COUNTIF(Schedule!$A$116:$A$215,Dashboard!$B53)&gt;0,INDEX(Schedule!$AU$116:$AZ$215,MATCH(Dashboard!$B53,Schedule!$A$116:$A$215,0),MATCH(Dashboard!G$32,Schedule!$AU$113:$AZ$113,0)),INDEX(Schedule!$AU$224:$AZ$323,MATCH(Dashboard!$B53,Schedule!$A$224:$A$323,0),MATCH(Dashboard!G$32,Schedule!$AU$221:$AZ$221,0)))),"")</f>
        <v/>
      </c>
      <c r="H53" s="42" t="str">
        <f>IFERROR(IF(COUNTIF(Schedule!$A$8:$A$107,Dashboard!$B53)&gt;0,INDEX(Schedule!$AU$8:$AZ$107,MATCH(Dashboard!$B53,Schedule!$A$8:$A$107,0),MATCH(Dashboard!H$32,Schedule!$AU$5:$AZ$5,0)),IF(COUNTIF(Schedule!$A$116:$A$215,Dashboard!$B53)&gt;0,INDEX(Schedule!$AU$116:$AZ$215,MATCH(Dashboard!$B53,Schedule!$A$116:$A$215,0),MATCH(Dashboard!H$32,Schedule!$AU$113:$AZ$113,0)),INDEX(Schedule!$AU$224:$AZ$323,MATCH(Dashboard!$B53,Schedule!$A$224:$A$323,0),MATCH(Dashboard!H$32,Schedule!$AU$221:$AZ$221,0)))),"")</f>
        <v/>
      </c>
    </row>
    <row r="54" spans="2:20" ht="14.1" hidden="1" customHeight="1" x14ac:dyDescent="0.2">
      <c r="B54" s="40" t="str">
        <f>IF(Lists!B26=0,"",Lists!B26)</f>
        <v/>
      </c>
      <c r="C54" s="42" t="str">
        <f>IFERROR(IF(COUNTIF(Schedule!$A$8:$A$107,Dashboard!$B54)&gt;0,INDEX(Schedule!$AU$8:$AZ$107,MATCH(Dashboard!$B54,Schedule!$A$8:$A$107,0),MATCH(Dashboard!C$32,Schedule!$AU$5:$AZ$5,0)),IF(COUNTIF(Schedule!$A$116:$A$215,Dashboard!$B54)&gt;0,INDEX(Schedule!$AU$116:$AZ$215,MATCH(Dashboard!$B54,Schedule!$A$116:$A$215,0),MATCH(Dashboard!C$32,Schedule!$AU$113:$AZ$113,0)),INDEX(Schedule!$AU$224:$AZ$323,MATCH(Dashboard!$B54,Schedule!$A$224:$A$323,0),MATCH(Dashboard!C$32,Schedule!$AU$221:$AZ$221,0)))),"")</f>
        <v/>
      </c>
      <c r="D54" s="42" t="str">
        <f>IFERROR(IF(COUNTIF(Schedule!$A$8:$A$107,Dashboard!$B54)&gt;0,INDEX(Schedule!$AU$8:$AZ$107,MATCH(Dashboard!$B54,Schedule!$A$8:$A$107,0),MATCH(Dashboard!D$32,Schedule!$AU$5:$AZ$5,0)),IF(COUNTIF(Schedule!$A$116:$A$215,Dashboard!$B54)&gt;0,INDEX(Schedule!$AU$116:$AZ$215,MATCH(Dashboard!$B54,Schedule!$A$116:$A$215,0),MATCH(Dashboard!D$32,Schedule!$AU$113:$AZ$113,0)),INDEX(Schedule!$AU$224:$AZ$323,MATCH(Dashboard!$B54,Schedule!$A$224:$A$323,0),MATCH(Dashboard!D$32,Schedule!$AU$221:$AZ$221,0)))),"")</f>
        <v/>
      </c>
      <c r="E54" s="42" t="str">
        <f>IFERROR(IF(COUNTIF(Schedule!$A$8:$A$107,Dashboard!$B54)&gt;0,INDEX(Schedule!$AU$8:$AZ$107,MATCH(Dashboard!$B54,Schedule!$A$8:$A$107,0),MATCH(Dashboard!E$32,Schedule!$AU$5:$AZ$5,0)),IF(COUNTIF(Schedule!$A$116:$A$215,Dashboard!$B54)&gt;0,INDEX(Schedule!$AU$116:$AZ$215,MATCH(Dashboard!$B54,Schedule!$A$116:$A$215,0),MATCH(Dashboard!E$32,Schedule!$AU$113:$AZ$113,0)),INDEX(Schedule!$AU$224:$AZ$323,MATCH(Dashboard!$B54,Schedule!$A$224:$A$323,0),MATCH(Dashboard!E$32,Schedule!$AU$221:$AZ$221,0)))),"")</f>
        <v/>
      </c>
      <c r="F54" s="42" t="str">
        <f>IFERROR(IF(COUNTIF(Schedule!$A$8:$A$107,Dashboard!$B54)&gt;0,INDEX(Schedule!$AU$8:$AZ$107,MATCH(Dashboard!$B54,Schedule!$A$8:$A$107,0),MATCH(Dashboard!F$32,Schedule!$AU$5:$AZ$5,0)),IF(COUNTIF(Schedule!$A$116:$A$215,Dashboard!$B54)&gt;0,INDEX(Schedule!$AU$116:$AZ$215,MATCH(Dashboard!$B54,Schedule!$A$116:$A$215,0),MATCH(Dashboard!F$32,Schedule!$AU$113:$AZ$113,0)),INDEX(Schedule!$AU$224:$AZ$323,MATCH(Dashboard!$B54,Schedule!$A$224:$A$323,0),MATCH(Dashboard!F$32,Schedule!$AU$221:$AZ$221,0)))),"")</f>
        <v/>
      </c>
      <c r="G54" s="42" t="str">
        <f>IFERROR(IF(COUNTIF(Schedule!$A$8:$A$107,Dashboard!$B54)&gt;0,INDEX(Schedule!$AU$8:$AZ$107,MATCH(Dashboard!$B54,Schedule!$A$8:$A$107,0),MATCH(Dashboard!G$32,Schedule!$AU$5:$AZ$5,0)),IF(COUNTIF(Schedule!$A$116:$A$215,Dashboard!$B54)&gt;0,INDEX(Schedule!$AU$116:$AZ$215,MATCH(Dashboard!$B54,Schedule!$A$116:$A$215,0),MATCH(Dashboard!G$32,Schedule!$AU$113:$AZ$113,0)),INDEX(Schedule!$AU$224:$AZ$323,MATCH(Dashboard!$B54,Schedule!$A$224:$A$323,0),MATCH(Dashboard!G$32,Schedule!$AU$221:$AZ$221,0)))),"")</f>
        <v/>
      </c>
      <c r="H54" s="42" t="str">
        <f>IFERROR(IF(COUNTIF(Schedule!$A$8:$A$107,Dashboard!$B54)&gt;0,INDEX(Schedule!$AU$8:$AZ$107,MATCH(Dashboard!$B54,Schedule!$A$8:$A$107,0),MATCH(Dashboard!H$32,Schedule!$AU$5:$AZ$5,0)),IF(COUNTIF(Schedule!$A$116:$A$215,Dashboard!$B54)&gt;0,INDEX(Schedule!$AU$116:$AZ$215,MATCH(Dashboard!$B54,Schedule!$A$116:$A$215,0),MATCH(Dashboard!H$32,Schedule!$AU$113:$AZ$113,0)),INDEX(Schedule!$AU$224:$AZ$323,MATCH(Dashboard!$B54,Schedule!$A$224:$A$323,0),MATCH(Dashboard!H$32,Schedule!$AU$221:$AZ$221,0)))),"")</f>
        <v/>
      </c>
    </row>
    <row r="55" spans="2:20" ht="14.1" hidden="1" customHeight="1" x14ac:dyDescent="0.2">
      <c r="B55" s="40" t="str">
        <f>IF(Lists!B27=0,"",Lists!B27)</f>
        <v/>
      </c>
      <c r="C55" s="42" t="str">
        <f>IFERROR(IF(COUNTIF(Schedule!$A$8:$A$107,Dashboard!$B55)&gt;0,INDEX(Schedule!$AU$8:$AZ$107,MATCH(Dashboard!$B55,Schedule!$A$8:$A$107,0),MATCH(Dashboard!C$32,Schedule!$AU$5:$AZ$5,0)),IF(COUNTIF(Schedule!$A$116:$A$215,Dashboard!$B55)&gt;0,INDEX(Schedule!$AU$116:$AZ$215,MATCH(Dashboard!$B55,Schedule!$A$116:$A$215,0),MATCH(Dashboard!C$32,Schedule!$AU$113:$AZ$113,0)),INDEX(Schedule!$AU$224:$AZ$323,MATCH(Dashboard!$B55,Schedule!$A$224:$A$323,0),MATCH(Dashboard!C$32,Schedule!$AU$221:$AZ$221,0)))),"")</f>
        <v/>
      </c>
      <c r="D55" s="42" t="str">
        <f>IFERROR(IF(COUNTIF(Schedule!$A$8:$A$107,Dashboard!$B55)&gt;0,INDEX(Schedule!$AU$8:$AZ$107,MATCH(Dashboard!$B55,Schedule!$A$8:$A$107,0),MATCH(Dashboard!D$32,Schedule!$AU$5:$AZ$5,0)),IF(COUNTIF(Schedule!$A$116:$A$215,Dashboard!$B55)&gt;0,INDEX(Schedule!$AU$116:$AZ$215,MATCH(Dashboard!$B55,Schedule!$A$116:$A$215,0),MATCH(Dashboard!D$32,Schedule!$AU$113:$AZ$113,0)),INDEX(Schedule!$AU$224:$AZ$323,MATCH(Dashboard!$B55,Schedule!$A$224:$A$323,0),MATCH(Dashboard!D$32,Schedule!$AU$221:$AZ$221,0)))),"")</f>
        <v/>
      </c>
      <c r="E55" s="42" t="str">
        <f>IFERROR(IF(COUNTIF(Schedule!$A$8:$A$107,Dashboard!$B55)&gt;0,INDEX(Schedule!$AU$8:$AZ$107,MATCH(Dashboard!$B55,Schedule!$A$8:$A$107,0),MATCH(Dashboard!E$32,Schedule!$AU$5:$AZ$5,0)),IF(COUNTIF(Schedule!$A$116:$A$215,Dashboard!$B55)&gt;0,INDEX(Schedule!$AU$116:$AZ$215,MATCH(Dashboard!$B55,Schedule!$A$116:$A$215,0),MATCH(Dashboard!E$32,Schedule!$AU$113:$AZ$113,0)),INDEX(Schedule!$AU$224:$AZ$323,MATCH(Dashboard!$B55,Schedule!$A$224:$A$323,0),MATCH(Dashboard!E$32,Schedule!$AU$221:$AZ$221,0)))),"")</f>
        <v/>
      </c>
      <c r="F55" s="42" t="str">
        <f>IFERROR(IF(COUNTIF(Schedule!$A$8:$A$107,Dashboard!$B55)&gt;0,INDEX(Schedule!$AU$8:$AZ$107,MATCH(Dashboard!$B55,Schedule!$A$8:$A$107,0),MATCH(Dashboard!F$32,Schedule!$AU$5:$AZ$5,0)),IF(COUNTIF(Schedule!$A$116:$A$215,Dashboard!$B55)&gt;0,INDEX(Schedule!$AU$116:$AZ$215,MATCH(Dashboard!$B55,Schedule!$A$116:$A$215,0),MATCH(Dashboard!F$32,Schedule!$AU$113:$AZ$113,0)),INDEX(Schedule!$AU$224:$AZ$323,MATCH(Dashboard!$B55,Schedule!$A$224:$A$323,0),MATCH(Dashboard!F$32,Schedule!$AU$221:$AZ$221,0)))),"")</f>
        <v/>
      </c>
      <c r="G55" s="42" t="str">
        <f>IFERROR(IF(COUNTIF(Schedule!$A$8:$A$107,Dashboard!$B55)&gt;0,INDEX(Schedule!$AU$8:$AZ$107,MATCH(Dashboard!$B55,Schedule!$A$8:$A$107,0),MATCH(Dashboard!G$32,Schedule!$AU$5:$AZ$5,0)),IF(COUNTIF(Schedule!$A$116:$A$215,Dashboard!$B55)&gt;0,INDEX(Schedule!$AU$116:$AZ$215,MATCH(Dashboard!$B55,Schedule!$A$116:$A$215,0),MATCH(Dashboard!G$32,Schedule!$AU$113:$AZ$113,0)),INDEX(Schedule!$AU$224:$AZ$323,MATCH(Dashboard!$B55,Schedule!$A$224:$A$323,0),MATCH(Dashboard!G$32,Schedule!$AU$221:$AZ$221,0)))),"")</f>
        <v/>
      </c>
      <c r="H55" s="42" t="str">
        <f>IFERROR(IF(COUNTIF(Schedule!$A$8:$A$107,Dashboard!$B55)&gt;0,INDEX(Schedule!$AU$8:$AZ$107,MATCH(Dashboard!$B55,Schedule!$A$8:$A$107,0),MATCH(Dashboard!H$32,Schedule!$AU$5:$AZ$5,0)),IF(COUNTIF(Schedule!$A$116:$A$215,Dashboard!$B55)&gt;0,INDEX(Schedule!$AU$116:$AZ$215,MATCH(Dashboard!$B55,Schedule!$A$116:$A$215,0),MATCH(Dashboard!H$32,Schedule!$AU$113:$AZ$113,0)),INDEX(Schedule!$AU$224:$AZ$323,MATCH(Dashboard!$B55,Schedule!$A$224:$A$323,0),MATCH(Dashboard!H$32,Schedule!$AU$221:$AZ$221,0)))),"")</f>
        <v/>
      </c>
    </row>
    <row r="56" spans="2:20" ht="14.1" hidden="1" customHeight="1" x14ac:dyDescent="0.2">
      <c r="B56" s="40" t="str">
        <f>IF(Lists!B28=0,"",Lists!B28)</f>
        <v/>
      </c>
      <c r="C56" s="42" t="str">
        <f>IFERROR(IF(COUNTIF(Schedule!$A$8:$A$107,Dashboard!$B56)&gt;0,INDEX(Schedule!$AU$8:$AZ$107,MATCH(Dashboard!$B56,Schedule!$A$8:$A$107,0),MATCH(Dashboard!C$32,Schedule!$AU$5:$AZ$5,0)),IF(COUNTIF(Schedule!$A$116:$A$215,Dashboard!$B56)&gt;0,INDEX(Schedule!$AU$116:$AZ$215,MATCH(Dashboard!$B56,Schedule!$A$116:$A$215,0),MATCH(Dashboard!C$32,Schedule!$AU$113:$AZ$113,0)),INDEX(Schedule!$AU$224:$AZ$323,MATCH(Dashboard!$B56,Schedule!$A$224:$A$323,0),MATCH(Dashboard!C$32,Schedule!$AU$221:$AZ$221,0)))),"")</f>
        <v/>
      </c>
      <c r="D56" s="42" t="str">
        <f>IFERROR(IF(COUNTIF(Schedule!$A$8:$A$107,Dashboard!$B56)&gt;0,INDEX(Schedule!$AU$8:$AZ$107,MATCH(Dashboard!$B56,Schedule!$A$8:$A$107,0),MATCH(Dashboard!D$32,Schedule!$AU$5:$AZ$5,0)),IF(COUNTIF(Schedule!$A$116:$A$215,Dashboard!$B56)&gt;0,INDEX(Schedule!$AU$116:$AZ$215,MATCH(Dashboard!$B56,Schedule!$A$116:$A$215,0),MATCH(Dashboard!D$32,Schedule!$AU$113:$AZ$113,0)),INDEX(Schedule!$AU$224:$AZ$323,MATCH(Dashboard!$B56,Schedule!$A$224:$A$323,0),MATCH(Dashboard!D$32,Schedule!$AU$221:$AZ$221,0)))),"")</f>
        <v/>
      </c>
      <c r="E56" s="42" t="str">
        <f>IFERROR(IF(COUNTIF(Schedule!$A$8:$A$107,Dashboard!$B56)&gt;0,INDEX(Schedule!$AU$8:$AZ$107,MATCH(Dashboard!$B56,Schedule!$A$8:$A$107,0),MATCH(Dashboard!E$32,Schedule!$AU$5:$AZ$5,0)),IF(COUNTIF(Schedule!$A$116:$A$215,Dashboard!$B56)&gt;0,INDEX(Schedule!$AU$116:$AZ$215,MATCH(Dashboard!$B56,Schedule!$A$116:$A$215,0),MATCH(Dashboard!E$32,Schedule!$AU$113:$AZ$113,0)),INDEX(Schedule!$AU$224:$AZ$323,MATCH(Dashboard!$B56,Schedule!$A$224:$A$323,0),MATCH(Dashboard!E$32,Schedule!$AU$221:$AZ$221,0)))),"")</f>
        <v/>
      </c>
      <c r="F56" s="42" t="str">
        <f>IFERROR(IF(COUNTIF(Schedule!$A$8:$A$107,Dashboard!$B56)&gt;0,INDEX(Schedule!$AU$8:$AZ$107,MATCH(Dashboard!$B56,Schedule!$A$8:$A$107,0),MATCH(Dashboard!F$32,Schedule!$AU$5:$AZ$5,0)),IF(COUNTIF(Schedule!$A$116:$A$215,Dashboard!$B56)&gt;0,INDEX(Schedule!$AU$116:$AZ$215,MATCH(Dashboard!$B56,Schedule!$A$116:$A$215,0),MATCH(Dashboard!F$32,Schedule!$AU$113:$AZ$113,0)),INDEX(Schedule!$AU$224:$AZ$323,MATCH(Dashboard!$B56,Schedule!$A$224:$A$323,0),MATCH(Dashboard!F$32,Schedule!$AU$221:$AZ$221,0)))),"")</f>
        <v/>
      </c>
      <c r="G56" s="42" t="str">
        <f>IFERROR(IF(COUNTIF(Schedule!$A$8:$A$107,Dashboard!$B56)&gt;0,INDEX(Schedule!$AU$8:$AZ$107,MATCH(Dashboard!$B56,Schedule!$A$8:$A$107,0),MATCH(Dashboard!G$32,Schedule!$AU$5:$AZ$5,0)),IF(COUNTIF(Schedule!$A$116:$A$215,Dashboard!$B56)&gt;0,INDEX(Schedule!$AU$116:$AZ$215,MATCH(Dashboard!$B56,Schedule!$A$116:$A$215,0),MATCH(Dashboard!G$32,Schedule!$AU$113:$AZ$113,0)),INDEX(Schedule!$AU$224:$AZ$323,MATCH(Dashboard!$B56,Schedule!$A$224:$A$323,0),MATCH(Dashboard!G$32,Schedule!$AU$221:$AZ$221,0)))),"")</f>
        <v/>
      </c>
      <c r="H56" s="42" t="str">
        <f>IFERROR(IF(COUNTIF(Schedule!$A$8:$A$107,Dashboard!$B56)&gt;0,INDEX(Schedule!$AU$8:$AZ$107,MATCH(Dashboard!$B56,Schedule!$A$8:$A$107,0),MATCH(Dashboard!H$32,Schedule!$AU$5:$AZ$5,0)),IF(COUNTIF(Schedule!$A$116:$A$215,Dashboard!$B56)&gt;0,INDEX(Schedule!$AU$116:$AZ$215,MATCH(Dashboard!$B56,Schedule!$A$116:$A$215,0),MATCH(Dashboard!H$32,Schedule!$AU$113:$AZ$113,0)),INDEX(Schedule!$AU$224:$AZ$323,MATCH(Dashboard!$B56,Schedule!$A$224:$A$323,0),MATCH(Dashboard!H$32,Schedule!$AU$221:$AZ$221,0)))),"")</f>
        <v/>
      </c>
    </row>
    <row r="57" spans="2:20" ht="14.1" hidden="1" customHeight="1" x14ac:dyDescent="0.2">
      <c r="B57" s="40" t="str">
        <f>IF(Lists!B29=0,"",Lists!B29)</f>
        <v/>
      </c>
      <c r="C57" s="42" t="str">
        <f>IFERROR(IF(COUNTIF(Schedule!$A$8:$A$107,Dashboard!$B57)&gt;0,INDEX(Schedule!$AU$8:$AZ$107,MATCH(Dashboard!$B57,Schedule!$A$8:$A$107,0),MATCH(Dashboard!C$32,Schedule!$AU$5:$AZ$5,0)),IF(COUNTIF(Schedule!$A$116:$A$215,Dashboard!$B57)&gt;0,INDEX(Schedule!$AU$116:$AZ$215,MATCH(Dashboard!$B57,Schedule!$A$116:$A$215,0),MATCH(Dashboard!C$32,Schedule!$AU$113:$AZ$113,0)),INDEX(Schedule!$AU$224:$AZ$323,MATCH(Dashboard!$B57,Schedule!$A$224:$A$323,0),MATCH(Dashboard!C$32,Schedule!$AU$221:$AZ$221,0)))),"")</f>
        <v/>
      </c>
      <c r="D57" s="42" t="str">
        <f>IFERROR(IF(COUNTIF(Schedule!$A$8:$A$107,Dashboard!$B57)&gt;0,INDEX(Schedule!$AU$8:$AZ$107,MATCH(Dashboard!$B57,Schedule!$A$8:$A$107,0),MATCH(Dashboard!D$32,Schedule!$AU$5:$AZ$5,0)),IF(COUNTIF(Schedule!$A$116:$A$215,Dashboard!$B57)&gt;0,INDEX(Schedule!$AU$116:$AZ$215,MATCH(Dashboard!$B57,Schedule!$A$116:$A$215,0),MATCH(Dashboard!D$32,Schedule!$AU$113:$AZ$113,0)),INDEX(Schedule!$AU$224:$AZ$323,MATCH(Dashboard!$B57,Schedule!$A$224:$A$323,0),MATCH(Dashboard!D$32,Schedule!$AU$221:$AZ$221,0)))),"")</f>
        <v/>
      </c>
      <c r="E57" s="42" t="str">
        <f>IFERROR(IF(COUNTIF(Schedule!$A$8:$A$107,Dashboard!$B57)&gt;0,INDEX(Schedule!$AU$8:$AZ$107,MATCH(Dashboard!$B57,Schedule!$A$8:$A$107,0),MATCH(Dashboard!E$32,Schedule!$AU$5:$AZ$5,0)),IF(COUNTIF(Schedule!$A$116:$A$215,Dashboard!$B57)&gt;0,INDEX(Schedule!$AU$116:$AZ$215,MATCH(Dashboard!$B57,Schedule!$A$116:$A$215,0),MATCH(Dashboard!E$32,Schedule!$AU$113:$AZ$113,0)),INDEX(Schedule!$AU$224:$AZ$323,MATCH(Dashboard!$B57,Schedule!$A$224:$A$323,0),MATCH(Dashboard!E$32,Schedule!$AU$221:$AZ$221,0)))),"")</f>
        <v/>
      </c>
      <c r="F57" s="42" t="str">
        <f>IFERROR(IF(COUNTIF(Schedule!$A$8:$A$107,Dashboard!$B57)&gt;0,INDEX(Schedule!$AU$8:$AZ$107,MATCH(Dashboard!$B57,Schedule!$A$8:$A$107,0),MATCH(Dashboard!F$32,Schedule!$AU$5:$AZ$5,0)),IF(COUNTIF(Schedule!$A$116:$A$215,Dashboard!$B57)&gt;0,INDEX(Schedule!$AU$116:$AZ$215,MATCH(Dashboard!$B57,Schedule!$A$116:$A$215,0),MATCH(Dashboard!F$32,Schedule!$AU$113:$AZ$113,0)),INDEX(Schedule!$AU$224:$AZ$323,MATCH(Dashboard!$B57,Schedule!$A$224:$A$323,0),MATCH(Dashboard!F$32,Schedule!$AU$221:$AZ$221,0)))),"")</f>
        <v/>
      </c>
      <c r="G57" s="42" t="str">
        <f>IFERROR(IF(COUNTIF(Schedule!$A$8:$A$107,Dashboard!$B57)&gt;0,INDEX(Schedule!$AU$8:$AZ$107,MATCH(Dashboard!$B57,Schedule!$A$8:$A$107,0),MATCH(Dashboard!G$32,Schedule!$AU$5:$AZ$5,0)),IF(COUNTIF(Schedule!$A$116:$A$215,Dashboard!$B57)&gt;0,INDEX(Schedule!$AU$116:$AZ$215,MATCH(Dashboard!$B57,Schedule!$A$116:$A$215,0),MATCH(Dashboard!G$32,Schedule!$AU$113:$AZ$113,0)),INDEX(Schedule!$AU$224:$AZ$323,MATCH(Dashboard!$B57,Schedule!$A$224:$A$323,0),MATCH(Dashboard!G$32,Schedule!$AU$221:$AZ$221,0)))),"")</f>
        <v/>
      </c>
      <c r="H57" s="42" t="str">
        <f>IFERROR(IF(COUNTIF(Schedule!$A$8:$A$107,Dashboard!$B57)&gt;0,INDEX(Schedule!$AU$8:$AZ$107,MATCH(Dashboard!$B57,Schedule!$A$8:$A$107,0),MATCH(Dashboard!H$32,Schedule!$AU$5:$AZ$5,0)),IF(COUNTIF(Schedule!$A$116:$A$215,Dashboard!$B57)&gt;0,INDEX(Schedule!$AU$116:$AZ$215,MATCH(Dashboard!$B57,Schedule!$A$116:$A$215,0),MATCH(Dashboard!H$32,Schedule!$AU$113:$AZ$113,0)),INDEX(Schedule!$AU$224:$AZ$323,MATCH(Dashboard!$B57,Schedule!$A$224:$A$323,0),MATCH(Dashboard!H$32,Schedule!$AU$221:$AZ$221,0)))),"")</f>
        <v/>
      </c>
    </row>
    <row r="58" spans="2:20" ht="14.1" hidden="1" customHeight="1" x14ac:dyDescent="0.2">
      <c r="B58" s="40" t="str">
        <f>IF(Lists!B30=0,"",Lists!B30)</f>
        <v/>
      </c>
      <c r="C58" s="42" t="str">
        <f>IFERROR(IF(COUNTIF(Schedule!$A$8:$A$107,Dashboard!$B58)&gt;0,INDEX(Schedule!$AU$8:$AZ$107,MATCH(Dashboard!$B58,Schedule!$A$8:$A$107,0),MATCH(Dashboard!C$32,Schedule!$AU$5:$AZ$5,0)),IF(COUNTIF(Schedule!$A$116:$A$215,Dashboard!$B58)&gt;0,INDEX(Schedule!$AU$116:$AZ$215,MATCH(Dashboard!$B58,Schedule!$A$116:$A$215,0),MATCH(Dashboard!C$32,Schedule!$AU$113:$AZ$113,0)),INDEX(Schedule!$AU$224:$AZ$323,MATCH(Dashboard!$B58,Schedule!$A$224:$A$323,0),MATCH(Dashboard!C$32,Schedule!$AU$221:$AZ$221,0)))),"")</f>
        <v/>
      </c>
      <c r="D58" s="42" t="str">
        <f>IFERROR(IF(COUNTIF(Schedule!$A$8:$A$107,Dashboard!$B58)&gt;0,INDEX(Schedule!$AU$8:$AZ$107,MATCH(Dashboard!$B58,Schedule!$A$8:$A$107,0),MATCH(Dashboard!D$32,Schedule!$AU$5:$AZ$5,0)),IF(COUNTIF(Schedule!$A$116:$A$215,Dashboard!$B58)&gt;0,INDEX(Schedule!$AU$116:$AZ$215,MATCH(Dashboard!$B58,Schedule!$A$116:$A$215,0),MATCH(Dashboard!D$32,Schedule!$AU$113:$AZ$113,0)),INDEX(Schedule!$AU$224:$AZ$323,MATCH(Dashboard!$B58,Schedule!$A$224:$A$323,0),MATCH(Dashboard!D$32,Schedule!$AU$221:$AZ$221,0)))),"")</f>
        <v/>
      </c>
      <c r="E58" s="42" t="str">
        <f>IFERROR(IF(COUNTIF(Schedule!$A$8:$A$107,Dashboard!$B58)&gt;0,INDEX(Schedule!$AU$8:$AZ$107,MATCH(Dashboard!$B58,Schedule!$A$8:$A$107,0),MATCH(Dashboard!E$32,Schedule!$AU$5:$AZ$5,0)),IF(COUNTIF(Schedule!$A$116:$A$215,Dashboard!$B58)&gt;0,INDEX(Schedule!$AU$116:$AZ$215,MATCH(Dashboard!$B58,Schedule!$A$116:$A$215,0),MATCH(Dashboard!E$32,Schedule!$AU$113:$AZ$113,0)),INDEX(Schedule!$AU$224:$AZ$323,MATCH(Dashboard!$B58,Schedule!$A$224:$A$323,0),MATCH(Dashboard!E$32,Schedule!$AU$221:$AZ$221,0)))),"")</f>
        <v/>
      </c>
      <c r="F58" s="42" t="str">
        <f>IFERROR(IF(COUNTIF(Schedule!$A$8:$A$107,Dashboard!$B58)&gt;0,INDEX(Schedule!$AU$8:$AZ$107,MATCH(Dashboard!$B58,Schedule!$A$8:$A$107,0),MATCH(Dashboard!F$32,Schedule!$AU$5:$AZ$5,0)),IF(COUNTIF(Schedule!$A$116:$A$215,Dashboard!$B58)&gt;0,INDEX(Schedule!$AU$116:$AZ$215,MATCH(Dashboard!$B58,Schedule!$A$116:$A$215,0),MATCH(Dashboard!F$32,Schedule!$AU$113:$AZ$113,0)),INDEX(Schedule!$AU$224:$AZ$323,MATCH(Dashboard!$B58,Schedule!$A$224:$A$323,0),MATCH(Dashboard!F$32,Schedule!$AU$221:$AZ$221,0)))),"")</f>
        <v/>
      </c>
      <c r="G58" s="42" t="str">
        <f>IFERROR(IF(COUNTIF(Schedule!$A$8:$A$107,Dashboard!$B58)&gt;0,INDEX(Schedule!$AU$8:$AZ$107,MATCH(Dashboard!$B58,Schedule!$A$8:$A$107,0),MATCH(Dashboard!G$32,Schedule!$AU$5:$AZ$5,0)),IF(COUNTIF(Schedule!$A$116:$A$215,Dashboard!$B58)&gt;0,INDEX(Schedule!$AU$116:$AZ$215,MATCH(Dashboard!$B58,Schedule!$A$116:$A$215,0),MATCH(Dashboard!G$32,Schedule!$AU$113:$AZ$113,0)),INDEX(Schedule!$AU$224:$AZ$323,MATCH(Dashboard!$B58,Schedule!$A$224:$A$323,0),MATCH(Dashboard!G$32,Schedule!$AU$221:$AZ$221,0)))),"")</f>
        <v/>
      </c>
      <c r="H58" s="42" t="str">
        <f>IFERROR(IF(COUNTIF(Schedule!$A$8:$A$107,Dashboard!$B58)&gt;0,INDEX(Schedule!$AU$8:$AZ$107,MATCH(Dashboard!$B58,Schedule!$A$8:$A$107,0),MATCH(Dashboard!H$32,Schedule!$AU$5:$AZ$5,0)),IF(COUNTIF(Schedule!$A$116:$A$215,Dashboard!$B58)&gt;0,INDEX(Schedule!$AU$116:$AZ$215,MATCH(Dashboard!$B58,Schedule!$A$116:$A$215,0),MATCH(Dashboard!H$32,Schedule!$AU$113:$AZ$113,0)),INDEX(Schedule!$AU$224:$AZ$323,MATCH(Dashboard!$B58,Schedule!$A$224:$A$323,0),MATCH(Dashboard!H$32,Schedule!$AU$221:$AZ$221,0)))),"")</f>
        <v/>
      </c>
    </row>
    <row r="59" spans="2:20" ht="14.1" hidden="1" customHeight="1" x14ac:dyDescent="0.2">
      <c r="B59" s="40" t="str">
        <f>IF(Lists!B31=0,"",Lists!B31)</f>
        <v/>
      </c>
      <c r="C59" s="42" t="str">
        <f>IFERROR(IF(COUNTIF(Schedule!$A$8:$A$107,Dashboard!$B59)&gt;0,INDEX(Schedule!$AU$8:$AZ$107,MATCH(Dashboard!$B59,Schedule!$A$8:$A$107,0),MATCH(Dashboard!C$32,Schedule!$AU$5:$AZ$5,0)),IF(COUNTIF(Schedule!$A$116:$A$215,Dashboard!$B59)&gt;0,INDEX(Schedule!$AU$116:$AZ$215,MATCH(Dashboard!$B59,Schedule!$A$116:$A$215,0),MATCH(Dashboard!C$32,Schedule!$AU$113:$AZ$113,0)),INDEX(Schedule!$AU$224:$AZ$323,MATCH(Dashboard!$B59,Schedule!$A$224:$A$323,0),MATCH(Dashboard!C$32,Schedule!$AU$221:$AZ$221,0)))),"")</f>
        <v/>
      </c>
      <c r="D59" s="42" t="str">
        <f>IFERROR(IF(COUNTIF(Schedule!$A$8:$A$107,Dashboard!$B59)&gt;0,INDEX(Schedule!$AU$8:$AZ$107,MATCH(Dashboard!$B59,Schedule!$A$8:$A$107,0),MATCH(Dashboard!D$32,Schedule!$AU$5:$AZ$5,0)),IF(COUNTIF(Schedule!$A$116:$A$215,Dashboard!$B59)&gt;0,INDEX(Schedule!$AU$116:$AZ$215,MATCH(Dashboard!$B59,Schedule!$A$116:$A$215,0),MATCH(Dashboard!D$32,Schedule!$AU$113:$AZ$113,0)),INDEX(Schedule!$AU$224:$AZ$323,MATCH(Dashboard!$B59,Schedule!$A$224:$A$323,0),MATCH(Dashboard!D$32,Schedule!$AU$221:$AZ$221,0)))),"")</f>
        <v/>
      </c>
      <c r="E59" s="42" t="str">
        <f>IFERROR(IF(COUNTIF(Schedule!$A$8:$A$107,Dashboard!$B59)&gt;0,INDEX(Schedule!$AU$8:$AZ$107,MATCH(Dashboard!$B59,Schedule!$A$8:$A$107,0),MATCH(Dashboard!E$32,Schedule!$AU$5:$AZ$5,0)),IF(COUNTIF(Schedule!$A$116:$A$215,Dashboard!$B59)&gt;0,INDEX(Schedule!$AU$116:$AZ$215,MATCH(Dashboard!$B59,Schedule!$A$116:$A$215,0),MATCH(Dashboard!E$32,Schedule!$AU$113:$AZ$113,0)),INDEX(Schedule!$AU$224:$AZ$323,MATCH(Dashboard!$B59,Schedule!$A$224:$A$323,0),MATCH(Dashboard!E$32,Schedule!$AU$221:$AZ$221,0)))),"")</f>
        <v/>
      </c>
      <c r="F59" s="42" t="str">
        <f>IFERROR(IF(COUNTIF(Schedule!$A$8:$A$107,Dashboard!$B59)&gt;0,INDEX(Schedule!$AU$8:$AZ$107,MATCH(Dashboard!$B59,Schedule!$A$8:$A$107,0),MATCH(Dashboard!F$32,Schedule!$AU$5:$AZ$5,0)),IF(COUNTIF(Schedule!$A$116:$A$215,Dashboard!$B59)&gt;0,INDEX(Schedule!$AU$116:$AZ$215,MATCH(Dashboard!$B59,Schedule!$A$116:$A$215,0),MATCH(Dashboard!F$32,Schedule!$AU$113:$AZ$113,0)),INDEX(Schedule!$AU$224:$AZ$323,MATCH(Dashboard!$B59,Schedule!$A$224:$A$323,0),MATCH(Dashboard!F$32,Schedule!$AU$221:$AZ$221,0)))),"")</f>
        <v/>
      </c>
      <c r="G59" s="42" t="str">
        <f>IFERROR(IF(COUNTIF(Schedule!$A$8:$A$107,Dashboard!$B59)&gt;0,INDEX(Schedule!$AU$8:$AZ$107,MATCH(Dashboard!$B59,Schedule!$A$8:$A$107,0),MATCH(Dashboard!G$32,Schedule!$AU$5:$AZ$5,0)),IF(COUNTIF(Schedule!$A$116:$A$215,Dashboard!$B59)&gt;0,INDEX(Schedule!$AU$116:$AZ$215,MATCH(Dashboard!$B59,Schedule!$A$116:$A$215,0),MATCH(Dashboard!G$32,Schedule!$AU$113:$AZ$113,0)),INDEX(Schedule!$AU$224:$AZ$323,MATCH(Dashboard!$B59,Schedule!$A$224:$A$323,0),MATCH(Dashboard!G$32,Schedule!$AU$221:$AZ$221,0)))),"")</f>
        <v/>
      </c>
      <c r="H59" s="42" t="str">
        <f>IFERROR(IF(COUNTIF(Schedule!$A$8:$A$107,Dashboard!$B59)&gt;0,INDEX(Schedule!$AU$8:$AZ$107,MATCH(Dashboard!$B59,Schedule!$A$8:$A$107,0),MATCH(Dashboard!H$32,Schedule!$AU$5:$AZ$5,0)),IF(COUNTIF(Schedule!$A$116:$A$215,Dashboard!$B59)&gt;0,INDEX(Schedule!$AU$116:$AZ$215,MATCH(Dashboard!$B59,Schedule!$A$116:$A$215,0),MATCH(Dashboard!H$32,Schedule!$AU$113:$AZ$113,0)),INDEX(Schedule!$AU$224:$AZ$323,MATCH(Dashboard!$B59,Schedule!$A$224:$A$323,0),MATCH(Dashboard!H$32,Schedule!$AU$221:$AZ$221,0)))),"")</f>
        <v/>
      </c>
    </row>
    <row r="60" spans="2:20" ht="14.1" hidden="1" customHeight="1" x14ac:dyDescent="0.2">
      <c r="B60" s="40" t="str">
        <f>IF(Lists!B32=0,"",Lists!B32)</f>
        <v/>
      </c>
      <c r="C60" s="42" t="str">
        <f>IFERROR(IF(COUNTIF(Schedule!$A$8:$A$107,Dashboard!$B60)&gt;0,INDEX(Schedule!$AU$8:$AZ$107,MATCH(Dashboard!$B60,Schedule!$A$8:$A$107,0),MATCH(Dashboard!C$32,Schedule!$AU$5:$AZ$5,0)),IF(COUNTIF(Schedule!$A$116:$A$215,Dashboard!$B60)&gt;0,INDEX(Schedule!$AU$116:$AZ$215,MATCH(Dashboard!$B60,Schedule!$A$116:$A$215,0),MATCH(Dashboard!C$32,Schedule!$AU$113:$AZ$113,0)),INDEX(Schedule!$AU$224:$AZ$323,MATCH(Dashboard!$B60,Schedule!$A$224:$A$323,0),MATCH(Dashboard!C$32,Schedule!$AU$221:$AZ$221,0)))),"")</f>
        <v/>
      </c>
      <c r="D60" s="42" t="str">
        <f>IFERROR(IF(COUNTIF(Schedule!$A$8:$A$107,Dashboard!$B60)&gt;0,INDEX(Schedule!$AU$8:$AZ$107,MATCH(Dashboard!$B60,Schedule!$A$8:$A$107,0),MATCH(Dashboard!D$32,Schedule!$AU$5:$AZ$5,0)),IF(COUNTIF(Schedule!$A$116:$A$215,Dashboard!$B60)&gt;0,INDEX(Schedule!$AU$116:$AZ$215,MATCH(Dashboard!$B60,Schedule!$A$116:$A$215,0),MATCH(Dashboard!D$32,Schedule!$AU$113:$AZ$113,0)),INDEX(Schedule!$AU$224:$AZ$323,MATCH(Dashboard!$B60,Schedule!$A$224:$A$323,0),MATCH(Dashboard!D$32,Schedule!$AU$221:$AZ$221,0)))),"")</f>
        <v/>
      </c>
      <c r="E60" s="42" t="str">
        <f>IFERROR(IF(COUNTIF(Schedule!$A$8:$A$107,Dashboard!$B60)&gt;0,INDEX(Schedule!$AU$8:$AZ$107,MATCH(Dashboard!$B60,Schedule!$A$8:$A$107,0),MATCH(Dashboard!E$32,Schedule!$AU$5:$AZ$5,0)),IF(COUNTIF(Schedule!$A$116:$A$215,Dashboard!$B60)&gt;0,INDEX(Schedule!$AU$116:$AZ$215,MATCH(Dashboard!$B60,Schedule!$A$116:$A$215,0),MATCH(Dashboard!E$32,Schedule!$AU$113:$AZ$113,0)),INDEX(Schedule!$AU$224:$AZ$323,MATCH(Dashboard!$B60,Schedule!$A$224:$A$323,0),MATCH(Dashboard!E$32,Schedule!$AU$221:$AZ$221,0)))),"")</f>
        <v/>
      </c>
      <c r="F60" s="42" t="str">
        <f>IFERROR(IF(COUNTIF(Schedule!$A$8:$A$107,Dashboard!$B60)&gt;0,INDEX(Schedule!$AU$8:$AZ$107,MATCH(Dashboard!$B60,Schedule!$A$8:$A$107,0),MATCH(Dashboard!F$32,Schedule!$AU$5:$AZ$5,0)),IF(COUNTIF(Schedule!$A$116:$A$215,Dashboard!$B60)&gt;0,INDEX(Schedule!$AU$116:$AZ$215,MATCH(Dashboard!$B60,Schedule!$A$116:$A$215,0),MATCH(Dashboard!F$32,Schedule!$AU$113:$AZ$113,0)),INDEX(Schedule!$AU$224:$AZ$323,MATCH(Dashboard!$B60,Schedule!$A$224:$A$323,0),MATCH(Dashboard!F$32,Schedule!$AU$221:$AZ$221,0)))),"")</f>
        <v/>
      </c>
      <c r="G60" s="42" t="str">
        <f>IFERROR(IF(COUNTIF(Schedule!$A$8:$A$107,Dashboard!$B60)&gt;0,INDEX(Schedule!$AU$8:$AZ$107,MATCH(Dashboard!$B60,Schedule!$A$8:$A$107,0),MATCH(Dashboard!G$32,Schedule!$AU$5:$AZ$5,0)),IF(COUNTIF(Schedule!$A$116:$A$215,Dashboard!$B60)&gt;0,INDEX(Schedule!$AU$116:$AZ$215,MATCH(Dashboard!$B60,Schedule!$A$116:$A$215,0),MATCH(Dashboard!G$32,Schedule!$AU$113:$AZ$113,0)),INDEX(Schedule!$AU$224:$AZ$323,MATCH(Dashboard!$B60,Schedule!$A$224:$A$323,0),MATCH(Dashboard!G$32,Schedule!$AU$221:$AZ$221,0)))),"")</f>
        <v/>
      </c>
      <c r="H60" s="42" t="str">
        <f>IFERROR(IF(COUNTIF(Schedule!$A$8:$A$107,Dashboard!$B60)&gt;0,INDEX(Schedule!$AU$8:$AZ$107,MATCH(Dashboard!$B60,Schedule!$A$8:$A$107,0),MATCH(Dashboard!H$32,Schedule!$AU$5:$AZ$5,0)),IF(COUNTIF(Schedule!$A$116:$A$215,Dashboard!$B60)&gt;0,INDEX(Schedule!$AU$116:$AZ$215,MATCH(Dashboard!$B60,Schedule!$A$116:$A$215,0),MATCH(Dashboard!H$32,Schedule!$AU$113:$AZ$113,0)),INDEX(Schedule!$AU$224:$AZ$323,MATCH(Dashboard!$B60,Schedule!$A$224:$A$323,0),MATCH(Dashboard!H$32,Schedule!$AU$221:$AZ$221,0)))),"")</f>
        <v/>
      </c>
    </row>
    <row r="61" spans="2:20" ht="14.1" hidden="1" customHeight="1" x14ac:dyDescent="0.2">
      <c r="B61" s="40" t="str">
        <f>IF(Lists!B33=0,"",Lists!B33)</f>
        <v/>
      </c>
      <c r="C61" s="42" t="str">
        <f>IFERROR(IF(COUNTIF(Schedule!$A$8:$A$107,Dashboard!$B61)&gt;0,INDEX(Schedule!$AU$8:$AZ$107,MATCH(Dashboard!$B61,Schedule!$A$8:$A$107,0),MATCH(Dashboard!C$32,Schedule!$AU$5:$AZ$5,0)),IF(COUNTIF(Schedule!$A$116:$A$215,Dashboard!$B61)&gt;0,INDEX(Schedule!$AU$116:$AZ$215,MATCH(Dashboard!$B61,Schedule!$A$116:$A$215,0),MATCH(Dashboard!C$32,Schedule!$AU$113:$AZ$113,0)),INDEX(Schedule!$AU$224:$AZ$323,MATCH(Dashboard!$B61,Schedule!$A$224:$A$323,0),MATCH(Dashboard!C$32,Schedule!$AU$221:$AZ$221,0)))),"")</f>
        <v/>
      </c>
      <c r="D61" s="42" t="str">
        <f>IFERROR(IF(COUNTIF(Schedule!$A$8:$A$107,Dashboard!$B61)&gt;0,INDEX(Schedule!$AU$8:$AZ$107,MATCH(Dashboard!$B61,Schedule!$A$8:$A$107,0),MATCH(Dashboard!D$32,Schedule!$AU$5:$AZ$5,0)),IF(COUNTIF(Schedule!$A$116:$A$215,Dashboard!$B61)&gt;0,INDEX(Schedule!$AU$116:$AZ$215,MATCH(Dashboard!$B61,Schedule!$A$116:$A$215,0),MATCH(Dashboard!D$32,Schedule!$AU$113:$AZ$113,0)),INDEX(Schedule!$AU$224:$AZ$323,MATCH(Dashboard!$B61,Schedule!$A$224:$A$323,0),MATCH(Dashboard!D$32,Schedule!$AU$221:$AZ$221,0)))),"")</f>
        <v/>
      </c>
      <c r="E61" s="42" t="str">
        <f>IFERROR(IF(COUNTIF(Schedule!$A$8:$A$107,Dashboard!$B61)&gt;0,INDEX(Schedule!$AU$8:$AZ$107,MATCH(Dashboard!$B61,Schedule!$A$8:$A$107,0),MATCH(Dashboard!E$32,Schedule!$AU$5:$AZ$5,0)),IF(COUNTIF(Schedule!$A$116:$A$215,Dashboard!$B61)&gt;0,INDEX(Schedule!$AU$116:$AZ$215,MATCH(Dashboard!$B61,Schedule!$A$116:$A$215,0),MATCH(Dashboard!E$32,Schedule!$AU$113:$AZ$113,0)),INDEX(Schedule!$AU$224:$AZ$323,MATCH(Dashboard!$B61,Schedule!$A$224:$A$323,0),MATCH(Dashboard!E$32,Schedule!$AU$221:$AZ$221,0)))),"")</f>
        <v/>
      </c>
      <c r="F61" s="42" t="str">
        <f>IFERROR(IF(COUNTIF(Schedule!$A$8:$A$107,Dashboard!$B61)&gt;0,INDEX(Schedule!$AU$8:$AZ$107,MATCH(Dashboard!$B61,Schedule!$A$8:$A$107,0),MATCH(Dashboard!F$32,Schedule!$AU$5:$AZ$5,0)),IF(COUNTIF(Schedule!$A$116:$A$215,Dashboard!$B61)&gt;0,INDEX(Schedule!$AU$116:$AZ$215,MATCH(Dashboard!$B61,Schedule!$A$116:$A$215,0),MATCH(Dashboard!F$32,Schedule!$AU$113:$AZ$113,0)),INDEX(Schedule!$AU$224:$AZ$323,MATCH(Dashboard!$B61,Schedule!$A$224:$A$323,0),MATCH(Dashboard!F$32,Schedule!$AU$221:$AZ$221,0)))),"")</f>
        <v/>
      </c>
      <c r="G61" s="42" t="str">
        <f>IFERROR(IF(COUNTIF(Schedule!$A$8:$A$107,Dashboard!$B61)&gt;0,INDEX(Schedule!$AU$8:$AZ$107,MATCH(Dashboard!$B61,Schedule!$A$8:$A$107,0),MATCH(Dashboard!G$32,Schedule!$AU$5:$AZ$5,0)),IF(COUNTIF(Schedule!$A$116:$A$215,Dashboard!$B61)&gt;0,INDEX(Schedule!$AU$116:$AZ$215,MATCH(Dashboard!$B61,Schedule!$A$116:$A$215,0),MATCH(Dashboard!G$32,Schedule!$AU$113:$AZ$113,0)),INDEX(Schedule!$AU$224:$AZ$323,MATCH(Dashboard!$B61,Schedule!$A$224:$A$323,0),MATCH(Dashboard!G$32,Schedule!$AU$221:$AZ$221,0)))),"")</f>
        <v/>
      </c>
      <c r="H61" s="42" t="str">
        <f>IFERROR(IF(COUNTIF(Schedule!$A$8:$A$107,Dashboard!$B61)&gt;0,INDEX(Schedule!$AU$8:$AZ$107,MATCH(Dashboard!$B61,Schedule!$A$8:$A$107,0),MATCH(Dashboard!H$32,Schedule!$AU$5:$AZ$5,0)),IF(COUNTIF(Schedule!$A$116:$A$215,Dashboard!$B61)&gt;0,INDEX(Schedule!$AU$116:$AZ$215,MATCH(Dashboard!$B61,Schedule!$A$116:$A$215,0),MATCH(Dashboard!H$32,Schedule!$AU$113:$AZ$113,0)),INDEX(Schedule!$AU$224:$AZ$323,MATCH(Dashboard!$B61,Schedule!$A$224:$A$323,0),MATCH(Dashboard!H$32,Schedule!$AU$221:$AZ$221,0)))),"")</f>
        <v/>
      </c>
    </row>
    <row r="62" spans="2:20" ht="14.1" hidden="1" customHeight="1" x14ac:dyDescent="0.2">
      <c r="B62" s="40" t="str">
        <f>IF(Lists!B34=0,"",Lists!B34)</f>
        <v/>
      </c>
      <c r="C62" s="42" t="str">
        <f>IFERROR(IF(COUNTIF(Schedule!$A$8:$A$107,Dashboard!$B62)&gt;0,INDEX(Schedule!$AU$8:$AZ$107,MATCH(Dashboard!$B62,Schedule!$A$8:$A$107,0),MATCH(Dashboard!C$32,Schedule!$AU$5:$AZ$5,0)),IF(COUNTIF(Schedule!$A$116:$A$215,Dashboard!$B62)&gt;0,INDEX(Schedule!$AU$116:$AZ$215,MATCH(Dashboard!$B62,Schedule!$A$116:$A$215,0),MATCH(Dashboard!C$32,Schedule!$AU$113:$AZ$113,0)),INDEX(Schedule!$AU$224:$AZ$323,MATCH(Dashboard!$B62,Schedule!$A$224:$A$323,0),MATCH(Dashboard!C$32,Schedule!$AU$221:$AZ$221,0)))),"")</f>
        <v/>
      </c>
      <c r="D62" s="42" t="str">
        <f>IFERROR(IF(COUNTIF(Schedule!$A$8:$A$107,Dashboard!$B62)&gt;0,INDEX(Schedule!$AU$8:$AZ$107,MATCH(Dashboard!$B62,Schedule!$A$8:$A$107,0),MATCH(Dashboard!D$32,Schedule!$AU$5:$AZ$5,0)),IF(COUNTIF(Schedule!$A$116:$A$215,Dashboard!$B62)&gt;0,INDEX(Schedule!$AU$116:$AZ$215,MATCH(Dashboard!$B62,Schedule!$A$116:$A$215,0),MATCH(Dashboard!D$32,Schedule!$AU$113:$AZ$113,0)),INDEX(Schedule!$AU$224:$AZ$323,MATCH(Dashboard!$B62,Schedule!$A$224:$A$323,0),MATCH(Dashboard!D$32,Schedule!$AU$221:$AZ$221,0)))),"")</f>
        <v/>
      </c>
      <c r="E62" s="42" t="str">
        <f>IFERROR(IF(COUNTIF(Schedule!$A$8:$A$107,Dashboard!$B62)&gt;0,INDEX(Schedule!$AU$8:$AZ$107,MATCH(Dashboard!$B62,Schedule!$A$8:$A$107,0),MATCH(Dashboard!E$32,Schedule!$AU$5:$AZ$5,0)),IF(COUNTIF(Schedule!$A$116:$A$215,Dashboard!$B62)&gt;0,INDEX(Schedule!$AU$116:$AZ$215,MATCH(Dashboard!$B62,Schedule!$A$116:$A$215,0),MATCH(Dashboard!E$32,Schedule!$AU$113:$AZ$113,0)),INDEX(Schedule!$AU$224:$AZ$323,MATCH(Dashboard!$B62,Schedule!$A$224:$A$323,0),MATCH(Dashboard!E$32,Schedule!$AU$221:$AZ$221,0)))),"")</f>
        <v/>
      </c>
      <c r="F62" s="42" t="str">
        <f>IFERROR(IF(COUNTIF(Schedule!$A$8:$A$107,Dashboard!$B62)&gt;0,INDEX(Schedule!$AU$8:$AZ$107,MATCH(Dashboard!$B62,Schedule!$A$8:$A$107,0),MATCH(Dashboard!F$32,Schedule!$AU$5:$AZ$5,0)),IF(COUNTIF(Schedule!$A$116:$A$215,Dashboard!$B62)&gt;0,INDEX(Schedule!$AU$116:$AZ$215,MATCH(Dashboard!$B62,Schedule!$A$116:$A$215,0),MATCH(Dashboard!F$32,Schedule!$AU$113:$AZ$113,0)),INDEX(Schedule!$AU$224:$AZ$323,MATCH(Dashboard!$B62,Schedule!$A$224:$A$323,0),MATCH(Dashboard!F$32,Schedule!$AU$221:$AZ$221,0)))),"")</f>
        <v/>
      </c>
      <c r="G62" s="42" t="str">
        <f>IFERROR(IF(COUNTIF(Schedule!$A$8:$A$107,Dashboard!$B62)&gt;0,INDEX(Schedule!$AU$8:$AZ$107,MATCH(Dashboard!$B62,Schedule!$A$8:$A$107,0),MATCH(Dashboard!G$32,Schedule!$AU$5:$AZ$5,0)),IF(COUNTIF(Schedule!$A$116:$A$215,Dashboard!$B62)&gt;0,INDEX(Schedule!$AU$116:$AZ$215,MATCH(Dashboard!$B62,Schedule!$A$116:$A$215,0),MATCH(Dashboard!G$32,Schedule!$AU$113:$AZ$113,0)),INDEX(Schedule!$AU$224:$AZ$323,MATCH(Dashboard!$B62,Schedule!$A$224:$A$323,0),MATCH(Dashboard!G$32,Schedule!$AU$221:$AZ$221,0)))),"")</f>
        <v/>
      </c>
      <c r="H62" s="42" t="str">
        <f>IFERROR(IF(COUNTIF(Schedule!$A$8:$A$107,Dashboard!$B62)&gt;0,INDEX(Schedule!$AU$8:$AZ$107,MATCH(Dashboard!$B62,Schedule!$A$8:$A$107,0),MATCH(Dashboard!H$32,Schedule!$AU$5:$AZ$5,0)),IF(COUNTIF(Schedule!$A$116:$A$215,Dashboard!$B62)&gt;0,INDEX(Schedule!$AU$116:$AZ$215,MATCH(Dashboard!$B62,Schedule!$A$116:$A$215,0),MATCH(Dashboard!H$32,Schedule!$AU$113:$AZ$113,0)),INDEX(Schedule!$AU$224:$AZ$323,MATCH(Dashboard!$B62,Schedule!$A$224:$A$323,0),MATCH(Dashboard!H$32,Schedule!$AU$221:$AZ$221,0)))),"")</f>
        <v/>
      </c>
    </row>
    <row r="63" spans="2:20" ht="14.1" hidden="1" customHeight="1" x14ac:dyDescent="0.2">
      <c r="B63" s="40" t="str">
        <f>IF(Lists!B35=0,"",Lists!B35)</f>
        <v/>
      </c>
      <c r="C63" s="42" t="str">
        <f>IFERROR(IF(COUNTIF(Schedule!$A$8:$A$107,Dashboard!$B63)&gt;0,INDEX(Schedule!$AU$8:$AZ$107,MATCH(Dashboard!$B63,Schedule!$A$8:$A$107,0),MATCH(Dashboard!C$32,Schedule!$AU$5:$AZ$5,0)),IF(COUNTIF(Schedule!$A$116:$A$215,Dashboard!$B63)&gt;0,INDEX(Schedule!$AU$116:$AZ$215,MATCH(Dashboard!$B63,Schedule!$A$116:$A$215,0),MATCH(Dashboard!C$32,Schedule!$AU$113:$AZ$113,0)),INDEX(Schedule!$AU$224:$AZ$323,MATCH(Dashboard!$B63,Schedule!$A$224:$A$323,0),MATCH(Dashboard!C$32,Schedule!$AU$221:$AZ$221,0)))),"")</f>
        <v/>
      </c>
      <c r="D63" s="42" t="str">
        <f>IFERROR(IF(COUNTIF(Schedule!$A$8:$A$107,Dashboard!$B63)&gt;0,INDEX(Schedule!$AU$8:$AZ$107,MATCH(Dashboard!$B63,Schedule!$A$8:$A$107,0),MATCH(Dashboard!D$32,Schedule!$AU$5:$AZ$5,0)),IF(COUNTIF(Schedule!$A$116:$A$215,Dashboard!$B63)&gt;0,INDEX(Schedule!$AU$116:$AZ$215,MATCH(Dashboard!$B63,Schedule!$A$116:$A$215,0),MATCH(Dashboard!D$32,Schedule!$AU$113:$AZ$113,0)),INDEX(Schedule!$AU$224:$AZ$323,MATCH(Dashboard!$B63,Schedule!$A$224:$A$323,0),MATCH(Dashboard!D$32,Schedule!$AU$221:$AZ$221,0)))),"")</f>
        <v/>
      </c>
      <c r="E63" s="42" t="str">
        <f>IFERROR(IF(COUNTIF(Schedule!$A$8:$A$107,Dashboard!$B63)&gt;0,INDEX(Schedule!$AU$8:$AZ$107,MATCH(Dashboard!$B63,Schedule!$A$8:$A$107,0),MATCH(Dashboard!E$32,Schedule!$AU$5:$AZ$5,0)),IF(COUNTIF(Schedule!$A$116:$A$215,Dashboard!$B63)&gt;0,INDEX(Schedule!$AU$116:$AZ$215,MATCH(Dashboard!$B63,Schedule!$A$116:$A$215,0),MATCH(Dashboard!E$32,Schedule!$AU$113:$AZ$113,0)),INDEX(Schedule!$AU$224:$AZ$323,MATCH(Dashboard!$B63,Schedule!$A$224:$A$323,0),MATCH(Dashboard!E$32,Schedule!$AU$221:$AZ$221,0)))),"")</f>
        <v/>
      </c>
      <c r="F63" s="42" t="str">
        <f>IFERROR(IF(COUNTIF(Schedule!$A$8:$A$107,Dashboard!$B63)&gt;0,INDEX(Schedule!$AU$8:$AZ$107,MATCH(Dashboard!$B63,Schedule!$A$8:$A$107,0),MATCH(Dashboard!F$32,Schedule!$AU$5:$AZ$5,0)),IF(COUNTIF(Schedule!$A$116:$A$215,Dashboard!$B63)&gt;0,INDEX(Schedule!$AU$116:$AZ$215,MATCH(Dashboard!$B63,Schedule!$A$116:$A$215,0),MATCH(Dashboard!F$32,Schedule!$AU$113:$AZ$113,0)),INDEX(Schedule!$AU$224:$AZ$323,MATCH(Dashboard!$B63,Schedule!$A$224:$A$323,0),MATCH(Dashboard!F$32,Schedule!$AU$221:$AZ$221,0)))),"")</f>
        <v/>
      </c>
      <c r="G63" s="42" t="str">
        <f>IFERROR(IF(COUNTIF(Schedule!$A$8:$A$107,Dashboard!$B63)&gt;0,INDEX(Schedule!$AU$8:$AZ$107,MATCH(Dashboard!$B63,Schedule!$A$8:$A$107,0),MATCH(Dashboard!G$32,Schedule!$AU$5:$AZ$5,0)),IF(COUNTIF(Schedule!$A$116:$A$215,Dashboard!$B63)&gt;0,INDEX(Schedule!$AU$116:$AZ$215,MATCH(Dashboard!$B63,Schedule!$A$116:$A$215,0),MATCH(Dashboard!G$32,Schedule!$AU$113:$AZ$113,0)),INDEX(Schedule!$AU$224:$AZ$323,MATCH(Dashboard!$B63,Schedule!$A$224:$A$323,0),MATCH(Dashboard!G$32,Schedule!$AU$221:$AZ$221,0)))),"")</f>
        <v/>
      </c>
      <c r="H63" s="42" t="str">
        <f>IFERROR(IF(COUNTIF(Schedule!$A$8:$A$107,Dashboard!$B63)&gt;0,INDEX(Schedule!$AU$8:$AZ$107,MATCH(Dashboard!$B63,Schedule!$A$8:$A$107,0),MATCH(Dashboard!H$32,Schedule!$AU$5:$AZ$5,0)),IF(COUNTIF(Schedule!$A$116:$A$215,Dashboard!$B63)&gt;0,INDEX(Schedule!$AU$116:$AZ$215,MATCH(Dashboard!$B63,Schedule!$A$116:$A$215,0),MATCH(Dashboard!H$32,Schedule!$AU$113:$AZ$113,0)),INDEX(Schedule!$AU$224:$AZ$323,MATCH(Dashboard!$B63,Schedule!$A$224:$A$323,0),MATCH(Dashboard!H$32,Schedule!$AU$221:$AZ$221,0)))),"")</f>
        <v/>
      </c>
    </row>
    <row r="64" spans="2:20" ht="14.1" hidden="1" customHeight="1" x14ac:dyDescent="0.2">
      <c r="B64" s="40" t="str">
        <f>IF(Lists!B36=0,"",Lists!B36)</f>
        <v/>
      </c>
      <c r="C64" s="42" t="str">
        <f>IFERROR(IF(COUNTIF(Schedule!$A$8:$A$107,Dashboard!$B64)&gt;0,INDEX(Schedule!$AU$8:$AZ$107,MATCH(Dashboard!$B64,Schedule!$A$8:$A$107,0),MATCH(Dashboard!C$32,Schedule!$AU$5:$AZ$5,0)),IF(COUNTIF(Schedule!$A$116:$A$215,Dashboard!$B64)&gt;0,INDEX(Schedule!$AU$116:$AZ$215,MATCH(Dashboard!$B64,Schedule!$A$116:$A$215,0),MATCH(Dashboard!C$32,Schedule!$AU$113:$AZ$113,0)),INDEX(Schedule!$AU$224:$AZ$323,MATCH(Dashboard!$B64,Schedule!$A$224:$A$323,0),MATCH(Dashboard!C$32,Schedule!$AU$221:$AZ$221,0)))),"")</f>
        <v/>
      </c>
      <c r="D64" s="42" t="str">
        <f>IFERROR(IF(COUNTIF(Schedule!$A$8:$A$107,Dashboard!$B64)&gt;0,INDEX(Schedule!$AU$8:$AZ$107,MATCH(Dashboard!$B64,Schedule!$A$8:$A$107,0),MATCH(Dashboard!D$32,Schedule!$AU$5:$AZ$5,0)),IF(COUNTIF(Schedule!$A$116:$A$215,Dashboard!$B64)&gt;0,INDEX(Schedule!$AU$116:$AZ$215,MATCH(Dashboard!$B64,Schedule!$A$116:$A$215,0),MATCH(Dashboard!D$32,Schedule!$AU$113:$AZ$113,0)),INDEX(Schedule!$AU$224:$AZ$323,MATCH(Dashboard!$B64,Schedule!$A$224:$A$323,0),MATCH(Dashboard!D$32,Schedule!$AU$221:$AZ$221,0)))),"")</f>
        <v/>
      </c>
      <c r="E64" s="42" t="str">
        <f>IFERROR(IF(COUNTIF(Schedule!$A$8:$A$107,Dashboard!$B64)&gt;0,INDEX(Schedule!$AU$8:$AZ$107,MATCH(Dashboard!$B64,Schedule!$A$8:$A$107,0),MATCH(Dashboard!E$32,Schedule!$AU$5:$AZ$5,0)),IF(COUNTIF(Schedule!$A$116:$A$215,Dashboard!$B64)&gt;0,INDEX(Schedule!$AU$116:$AZ$215,MATCH(Dashboard!$B64,Schedule!$A$116:$A$215,0),MATCH(Dashboard!E$32,Schedule!$AU$113:$AZ$113,0)),INDEX(Schedule!$AU$224:$AZ$323,MATCH(Dashboard!$B64,Schedule!$A$224:$A$323,0),MATCH(Dashboard!E$32,Schedule!$AU$221:$AZ$221,0)))),"")</f>
        <v/>
      </c>
      <c r="F64" s="42" t="str">
        <f>IFERROR(IF(COUNTIF(Schedule!$A$8:$A$107,Dashboard!$B64)&gt;0,INDEX(Schedule!$AU$8:$AZ$107,MATCH(Dashboard!$B64,Schedule!$A$8:$A$107,0),MATCH(Dashboard!F$32,Schedule!$AU$5:$AZ$5,0)),IF(COUNTIF(Schedule!$A$116:$A$215,Dashboard!$B64)&gt;0,INDEX(Schedule!$AU$116:$AZ$215,MATCH(Dashboard!$B64,Schedule!$A$116:$A$215,0),MATCH(Dashboard!F$32,Schedule!$AU$113:$AZ$113,0)),INDEX(Schedule!$AU$224:$AZ$323,MATCH(Dashboard!$B64,Schedule!$A$224:$A$323,0),MATCH(Dashboard!F$32,Schedule!$AU$221:$AZ$221,0)))),"")</f>
        <v/>
      </c>
      <c r="G64" s="42" t="str">
        <f>IFERROR(IF(COUNTIF(Schedule!$A$8:$A$107,Dashboard!$B64)&gt;0,INDEX(Schedule!$AU$8:$AZ$107,MATCH(Dashboard!$B64,Schedule!$A$8:$A$107,0),MATCH(Dashboard!G$32,Schedule!$AU$5:$AZ$5,0)),IF(COUNTIF(Schedule!$A$116:$A$215,Dashboard!$B64)&gt;0,INDEX(Schedule!$AU$116:$AZ$215,MATCH(Dashboard!$B64,Schedule!$A$116:$A$215,0),MATCH(Dashboard!G$32,Schedule!$AU$113:$AZ$113,0)),INDEX(Schedule!$AU$224:$AZ$323,MATCH(Dashboard!$B64,Schedule!$A$224:$A$323,0),MATCH(Dashboard!G$32,Schedule!$AU$221:$AZ$221,0)))),"")</f>
        <v/>
      </c>
      <c r="H64" s="42" t="str">
        <f>IFERROR(IF(COUNTIF(Schedule!$A$8:$A$107,Dashboard!$B64)&gt;0,INDEX(Schedule!$AU$8:$AZ$107,MATCH(Dashboard!$B64,Schedule!$A$8:$A$107,0),MATCH(Dashboard!H$32,Schedule!$AU$5:$AZ$5,0)),IF(COUNTIF(Schedule!$A$116:$A$215,Dashboard!$B64)&gt;0,INDEX(Schedule!$AU$116:$AZ$215,MATCH(Dashboard!$B64,Schedule!$A$116:$A$215,0),MATCH(Dashboard!H$32,Schedule!$AU$113:$AZ$113,0)),INDEX(Schedule!$AU$224:$AZ$323,MATCH(Dashboard!$B64,Schedule!$A$224:$A$323,0),MATCH(Dashboard!H$32,Schedule!$AU$221:$AZ$221,0)))),"")</f>
        <v/>
      </c>
    </row>
    <row r="65" spans="2:8" ht="14.1" hidden="1" customHeight="1" x14ac:dyDescent="0.2">
      <c r="B65" s="40" t="str">
        <f>IF(Lists!B37=0,"",Lists!B37)</f>
        <v/>
      </c>
      <c r="C65" s="42" t="str">
        <f>IFERROR(IF(COUNTIF(Schedule!$A$8:$A$107,Dashboard!$B65)&gt;0,INDEX(Schedule!$AU$8:$AZ$107,MATCH(Dashboard!$B65,Schedule!$A$8:$A$107,0),MATCH(Dashboard!C$32,Schedule!$AU$5:$AZ$5,0)),IF(COUNTIF(Schedule!$A$116:$A$215,Dashboard!$B65)&gt;0,INDEX(Schedule!$AU$116:$AZ$215,MATCH(Dashboard!$B65,Schedule!$A$116:$A$215,0),MATCH(Dashboard!C$32,Schedule!$AU$113:$AZ$113,0)),INDEX(Schedule!$AU$224:$AZ$323,MATCH(Dashboard!$B65,Schedule!$A$224:$A$323,0),MATCH(Dashboard!C$32,Schedule!$AU$221:$AZ$221,0)))),"")</f>
        <v/>
      </c>
      <c r="D65" s="42" t="str">
        <f>IFERROR(IF(COUNTIF(Schedule!$A$8:$A$107,Dashboard!$B65)&gt;0,INDEX(Schedule!$AU$8:$AZ$107,MATCH(Dashboard!$B65,Schedule!$A$8:$A$107,0),MATCH(Dashboard!D$32,Schedule!$AU$5:$AZ$5,0)),IF(COUNTIF(Schedule!$A$116:$A$215,Dashboard!$B65)&gt;0,INDEX(Schedule!$AU$116:$AZ$215,MATCH(Dashboard!$B65,Schedule!$A$116:$A$215,0),MATCH(Dashboard!D$32,Schedule!$AU$113:$AZ$113,0)),INDEX(Schedule!$AU$224:$AZ$323,MATCH(Dashboard!$B65,Schedule!$A$224:$A$323,0),MATCH(Dashboard!D$32,Schedule!$AU$221:$AZ$221,0)))),"")</f>
        <v/>
      </c>
      <c r="E65" s="42" t="str">
        <f>IFERROR(IF(COUNTIF(Schedule!$A$8:$A$107,Dashboard!$B65)&gt;0,INDEX(Schedule!$AU$8:$AZ$107,MATCH(Dashboard!$B65,Schedule!$A$8:$A$107,0),MATCH(Dashboard!E$32,Schedule!$AU$5:$AZ$5,0)),IF(COUNTIF(Schedule!$A$116:$A$215,Dashboard!$B65)&gt;0,INDEX(Schedule!$AU$116:$AZ$215,MATCH(Dashboard!$B65,Schedule!$A$116:$A$215,0),MATCH(Dashboard!E$32,Schedule!$AU$113:$AZ$113,0)),INDEX(Schedule!$AU$224:$AZ$323,MATCH(Dashboard!$B65,Schedule!$A$224:$A$323,0),MATCH(Dashboard!E$32,Schedule!$AU$221:$AZ$221,0)))),"")</f>
        <v/>
      </c>
      <c r="F65" s="42" t="str">
        <f>IFERROR(IF(COUNTIF(Schedule!$A$8:$A$107,Dashboard!$B65)&gt;0,INDEX(Schedule!$AU$8:$AZ$107,MATCH(Dashboard!$B65,Schedule!$A$8:$A$107,0),MATCH(Dashboard!F$32,Schedule!$AU$5:$AZ$5,0)),IF(COUNTIF(Schedule!$A$116:$A$215,Dashboard!$B65)&gt;0,INDEX(Schedule!$AU$116:$AZ$215,MATCH(Dashboard!$B65,Schedule!$A$116:$A$215,0),MATCH(Dashboard!F$32,Schedule!$AU$113:$AZ$113,0)),INDEX(Schedule!$AU$224:$AZ$323,MATCH(Dashboard!$B65,Schedule!$A$224:$A$323,0),MATCH(Dashboard!F$32,Schedule!$AU$221:$AZ$221,0)))),"")</f>
        <v/>
      </c>
      <c r="G65" s="42" t="str">
        <f>IFERROR(IF(COUNTIF(Schedule!$A$8:$A$107,Dashboard!$B65)&gt;0,INDEX(Schedule!$AU$8:$AZ$107,MATCH(Dashboard!$B65,Schedule!$A$8:$A$107,0),MATCH(Dashboard!G$32,Schedule!$AU$5:$AZ$5,0)),IF(COUNTIF(Schedule!$A$116:$A$215,Dashboard!$B65)&gt;0,INDEX(Schedule!$AU$116:$AZ$215,MATCH(Dashboard!$B65,Schedule!$A$116:$A$215,0),MATCH(Dashboard!G$32,Schedule!$AU$113:$AZ$113,0)),INDEX(Schedule!$AU$224:$AZ$323,MATCH(Dashboard!$B65,Schedule!$A$224:$A$323,0),MATCH(Dashboard!G$32,Schedule!$AU$221:$AZ$221,0)))),"")</f>
        <v/>
      </c>
      <c r="H65" s="42" t="str">
        <f>IFERROR(IF(COUNTIF(Schedule!$A$8:$A$107,Dashboard!$B65)&gt;0,INDEX(Schedule!$AU$8:$AZ$107,MATCH(Dashboard!$B65,Schedule!$A$8:$A$107,0),MATCH(Dashboard!H$32,Schedule!$AU$5:$AZ$5,0)),IF(COUNTIF(Schedule!$A$116:$A$215,Dashboard!$B65)&gt;0,INDEX(Schedule!$AU$116:$AZ$215,MATCH(Dashboard!$B65,Schedule!$A$116:$A$215,0),MATCH(Dashboard!H$32,Schedule!$AU$113:$AZ$113,0)),INDEX(Schedule!$AU$224:$AZ$323,MATCH(Dashboard!$B65,Schedule!$A$224:$A$323,0),MATCH(Dashboard!H$32,Schedule!$AU$221:$AZ$221,0)))),"")</f>
        <v/>
      </c>
    </row>
    <row r="66" spans="2:8" ht="14.1" hidden="1" customHeight="1" x14ac:dyDescent="0.2">
      <c r="B66" s="40" t="str">
        <f>IF(Lists!B38=0,"",Lists!B38)</f>
        <v/>
      </c>
      <c r="C66" s="42" t="str">
        <f>IFERROR(IF(COUNTIF(Schedule!$A$8:$A$107,Dashboard!$B66)&gt;0,INDEX(Schedule!$AU$8:$AZ$107,MATCH(Dashboard!$B66,Schedule!$A$8:$A$107,0),MATCH(Dashboard!C$32,Schedule!$AU$5:$AZ$5,0)),IF(COUNTIF(Schedule!$A$116:$A$215,Dashboard!$B66)&gt;0,INDEX(Schedule!$AU$116:$AZ$215,MATCH(Dashboard!$B66,Schedule!$A$116:$A$215,0),MATCH(Dashboard!C$32,Schedule!$AU$113:$AZ$113,0)),INDEX(Schedule!$AU$224:$AZ$323,MATCH(Dashboard!$B66,Schedule!$A$224:$A$323,0),MATCH(Dashboard!C$32,Schedule!$AU$221:$AZ$221,0)))),"")</f>
        <v/>
      </c>
      <c r="D66" s="42" t="str">
        <f>IFERROR(IF(COUNTIF(Schedule!$A$8:$A$107,Dashboard!$B66)&gt;0,INDEX(Schedule!$AU$8:$AZ$107,MATCH(Dashboard!$B66,Schedule!$A$8:$A$107,0),MATCH(Dashboard!D$32,Schedule!$AU$5:$AZ$5,0)),IF(COUNTIF(Schedule!$A$116:$A$215,Dashboard!$B66)&gt;0,INDEX(Schedule!$AU$116:$AZ$215,MATCH(Dashboard!$B66,Schedule!$A$116:$A$215,0),MATCH(Dashboard!D$32,Schedule!$AU$113:$AZ$113,0)),INDEX(Schedule!$AU$224:$AZ$323,MATCH(Dashboard!$B66,Schedule!$A$224:$A$323,0),MATCH(Dashboard!D$32,Schedule!$AU$221:$AZ$221,0)))),"")</f>
        <v/>
      </c>
      <c r="E66" s="42" t="str">
        <f>IFERROR(IF(COUNTIF(Schedule!$A$8:$A$107,Dashboard!$B66)&gt;0,INDEX(Schedule!$AU$8:$AZ$107,MATCH(Dashboard!$B66,Schedule!$A$8:$A$107,0),MATCH(Dashboard!E$32,Schedule!$AU$5:$AZ$5,0)),IF(COUNTIF(Schedule!$A$116:$A$215,Dashboard!$B66)&gt;0,INDEX(Schedule!$AU$116:$AZ$215,MATCH(Dashboard!$B66,Schedule!$A$116:$A$215,0),MATCH(Dashboard!E$32,Schedule!$AU$113:$AZ$113,0)),INDEX(Schedule!$AU$224:$AZ$323,MATCH(Dashboard!$B66,Schedule!$A$224:$A$323,0),MATCH(Dashboard!E$32,Schedule!$AU$221:$AZ$221,0)))),"")</f>
        <v/>
      </c>
      <c r="F66" s="42" t="str">
        <f>IFERROR(IF(COUNTIF(Schedule!$A$8:$A$107,Dashboard!$B66)&gt;0,INDEX(Schedule!$AU$8:$AZ$107,MATCH(Dashboard!$B66,Schedule!$A$8:$A$107,0),MATCH(Dashboard!F$32,Schedule!$AU$5:$AZ$5,0)),IF(COUNTIF(Schedule!$A$116:$A$215,Dashboard!$B66)&gt;0,INDEX(Schedule!$AU$116:$AZ$215,MATCH(Dashboard!$B66,Schedule!$A$116:$A$215,0),MATCH(Dashboard!F$32,Schedule!$AU$113:$AZ$113,0)),INDEX(Schedule!$AU$224:$AZ$323,MATCH(Dashboard!$B66,Schedule!$A$224:$A$323,0),MATCH(Dashboard!F$32,Schedule!$AU$221:$AZ$221,0)))),"")</f>
        <v/>
      </c>
      <c r="G66" s="42" t="str">
        <f>IFERROR(IF(COUNTIF(Schedule!$A$8:$A$107,Dashboard!$B66)&gt;0,INDEX(Schedule!$AU$8:$AZ$107,MATCH(Dashboard!$B66,Schedule!$A$8:$A$107,0),MATCH(Dashboard!G$32,Schedule!$AU$5:$AZ$5,0)),IF(COUNTIF(Schedule!$A$116:$A$215,Dashboard!$B66)&gt;0,INDEX(Schedule!$AU$116:$AZ$215,MATCH(Dashboard!$B66,Schedule!$A$116:$A$215,0),MATCH(Dashboard!G$32,Schedule!$AU$113:$AZ$113,0)),INDEX(Schedule!$AU$224:$AZ$323,MATCH(Dashboard!$B66,Schedule!$A$224:$A$323,0),MATCH(Dashboard!G$32,Schedule!$AU$221:$AZ$221,0)))),"")</f>
        <v/>
      </c>
      <c r="H66" s="42" t="str">
        <f>IFERROR(IF(COUNTIF(Schedule!$A$8:$A$107,Dashboard!$B66)&gt;0,INDEX(Schedule!$AU$8:$AZ$107,MATCH(Dashboard!$B66,Schedule!$A$8:$A$107,0),MATCH(Dashboard!H$32,Schedule!$AU$5:$AZ$5,0)),IF(COUNTIF(Schedule!$A$116:$A$215,Dashboard!$B66)&gt;0,INDEX(Schedule!$AU$116:$AZ$215,MATCH(Dashboard!$B66,Schedule!$A$116:$A$215,0),MATCH(Dashboard!H$32,Schedule!$AU$113:$AZ$113,0)),INDEX(Schedule!$AU$224:$AZ$323,MATCH(Dashboard!$B66,Schedule!$A$224:$A$323,0),MATCH(Dashboard!H$32,Schedule!$AU$221:$AZ$221,0)))),"")</f>
        <v/>
      </c>
    </row>
    <row r="67" spans="2:8" ht="14.1" hidden="1" customHeight="1" x14ac:dyDescent="0.2">
      <c r="B67" s="40" t="str">
        <f>IF(Lists!B39=0,"",Lists!B39)</f>
        <v/>
      </c>
      <c r="C67" s="42" t="str">
        <f>IFERROR(IF(COUNTIF(Schedule!$A$8:$A$107,Dashboard!$B67)&gt;0,INDEX(Schedule!$AU$8:$AZ$107,MATCH(Dashboard!$B67,Schedule!$A$8:$A$107,0),MATCH(Dashboard!C$32,Schedule!$AU$5:$AZ$5,0)),IF(COUNTIF(Schedule!$A$116:$A$215,Dashboard!$B67)&gt;0,INDEX(Schedule!$AU$116:$AZ$215,MATCH(Dashboard!$B67,Schedule!$A$116:$A$215,0),MATCH(Dashboard!C$32,Schedule!$AU$113:$AZ$113,0)),INDEX(Schedule!$AU$224:$AZ$323,MATCH(Dashboard!$B67,Schedule!$A$224:$A$323,0),MATCH(Dashboard!C$32,Schedule!$AU$221:$AZ$221,0)))),"")</f>
        <v/>
      </c>
      <c r="D67" s="42" t="str">
        <f>IFERROR(IF(COUNTIF(Schedule!$A$8:$A$107,Dashboard!$B67)&gt;0,INDEX(Schedule!$AU$8:$AZ$107,MATCH(Dashboard!$B67,Schedule!$A$8:$A$107,0),MATCH(Dashboard!D$32,Schedule!$AU$5:$AZ$5,0)),IF(COUNTIF(Schedule!$A$116:$A$215,Dashboard!$B67)&gt;0,INDEX(Schedule!$AU$116:$AZ$215,MATCH(Dashboard!$B67,Schedule!$A$116:$A$215,0),MATCH(Dashboard!D$32,Schedule!$AU$113:$AZ$113,0)),INDEX(Schedule!$AU$224:$AZ$323,MATCH(Dashboard!$B67,Schedule!$A$224:$A$323,0),MATCH(Dashboard!D$32,Schedule!$AU$221:$AZ$221,0)))),"")</f>
        <v/>
      </c>
      <c r="E67" s="42" t="str">
        <f>IFERROR(IF(COUNTIF(Schedule!$A$8:$A$107,Dashboard!$B67)&gt;0,INDEX(Schedule!$AU$8:$AZ$107,MATCH(Dashboard!$B67,Schedule!$A$8:$A$107,0),MATCH(Dashboard!E$32,Schedule!$AU$5:$AZ$5,0)),IF(COUNTIF(Schedule!$A$116:$A$215,Dashboard!$B67)&gt;0,INDEX(Schedule!$AU$116:$AZ$215,MATCH(Dashboard!$B67,Schedule!$A$116:$A$215,0),MATCH(Dashboard!E$32,Schedule!$AU$113:$AZ$113,0)),INDEX(Schedule!$AU$224:$AZ$323,MATCH(Dashboard!$B67,Schedule!$A$224:$A$323,0),MATCH(Dashboard!E$32,Schedule!$AU$221:$AZ$221,0)))),"")</f>
        <v/>
      </c>
      <c r="F67" s="42" t="str">
        <f>IFERROR(IF(COUNTIF(Schedule!$A$8:$A$107,Dashboard!$B67)&gt;0,INDEX(Schedule!$AU$8:$AZ$107,MATCH(Dashboard!$B67,Schedule!$A$8:$A$107,0),MATCH(Dashboard!F$32,Schedule!$AU$5:$AZ$5,0)),IF(COUNTIF(Schedule!$A$116:$A$215,Dashboard!$B67)&gt;0,INDEX(Schedule!$AU$116:$AZ$215,MATCH(Dashboard!$B67,Schedule!$A$116:$A$215,0),MATCH(Dashboard!F$32,Schedule!$AU$113:$AZ$113,0)),INDEX(Schedule!$AU$224:$AZ$323,MATCH(Dashboard!$B67,Schedule!$A$224:$A$323,0),MATCH(Dashboard!F$32,Schedule!$AU$221:$AZ$221,0)))),"")</f>
        <v/>
      </c>
      <c r="G67" s="42" t="str">
        <f>IFERROR(IF(COUNTIF(Schedule!$A$8:$A$107,Dashboard!$B67)&gt;0,INDEX(Schedule!$AU$8:$AZ$107,MATCH(Dashboard!$B67,Schedule!$A$8:$A$107,0),MATCH(Dashboard!G$32,Schedule!$AU$5:$AZ$5,0)),IF(COUNTIF(Schedule!$A$116:$A$215,Dashboard!$B67)&gt;0,INDEX(Schedule!$AU$116:$AZ$215,MATCH(Dashboard!$B67,Schedule!$A$116:$A$215,0),MATCH(Dashboard!G$32,Schedule!$AU$113:$AZ$113,0)),INDEX(Schedule!$AU$224:$AZ$323,MATCH(Dashboard!$B67,Schedule!$A$224:$A$323,0),MATCH(Dashboard!G$32,Schedule!$AU$221:$AZ$221,0)))),"")</f>
        <v/>
      </c>
      <c r="H67" s="42" t="str">
        <f>IFERROR(IF(COUNTIF(Schedule!$A$8:$A$107,Dashboard!$B67)&gt;0,INDEX(Schedule!$AU$8:$AZ$107,MATCH(Dashboard!$B67,Schedule!$A$8:$A$107,0),MATCH(Dashboard!H$32,Schedule!$AU$5:$AZ$5,0)),IF(COUNTIF(Schedule!$A$116:$A$215,Dashboard!$B67)&gt;0,INDEX(Schedule!$AU$116:$AZ$215,MATCH(Dashboard!$B67,Schedule!$A$116:$A$215,0),MATCH(Dashboard!H$32,Schedule!$AU$113:$AZ$113,0)),INDEX(Schedule!$AU$224:$AZ$323,MATCH(Dashboard!$B67,Schedule!$A$224:$A$323,0),MATCH(Dashboard!H$32,Schedule!$AU$221:$AZ$221,0)))),"")</f>
        <v/>
      </c>
    </row>
    <row r="68" spans="2:8" ht="14.1" hidden="1" customHeight="1" x14ac:dyDescent="0.2">
      <c r="B68" s="40" t="str">
        <f>IF(Lists!B40=0,"",Lists!B40)</f>
        <v/>
      </c>
      <c r="C68" s="42" t="str">
        <f>IFERROR(IF(COUNTIF(Schedule!$A$8:$A$107,Dashboard!$B68)&gt;0,INDEX(Schedule!$AU$8:$AZ$107,MATCH(Dashboard!$B68,Schedule!$A$8:$A$107,0),MATCH(Dashboard!C$32,Schedule!$AU$5:$AZ$5,0)),IF(COUNTIF(Schedule!$A$116:$A$215,Dashboard!$B68)&gt;0,INDEX(Schedule!$AU$116:$AZ$215,MATCH(Dashboard!$B68,Schedule!$A$116:$A$215,0),MATCH(Dashboard!C$32,Schedule!$AU$113:$AZ$113,0)),INDEX(Schedule!$AU$224:$AZ$323,MATCH(Dashboard!$B68,Schedule!$A$224:$A$323,0),MATCH(Dashboard!C$32,Schedule!$AU$221:$AZ$221,0)))),"")</f>
        <v/>
      </c>
      <c r="D68" s="42" t="str">
        <f>IFERROR(IF(COUNTIF(Schedule!$A$8:$A$107,Dashboard!$B68)&gt;0,INDEX(Schedule!$AU$8:$AZ$107,MATCH(Dashboard!$B68,Schedule!$A$8:$A$107,0),MATCH(Dashboard!D$32,Schedule!$AU$5:$AZ$5,0)),IF(COUNTIF(Schedule!$A$116:$A$215,Dashboard!$B68)&gt;0,INDEX(Schedule!$AU$116:$AZ$215,MATCH(Dashboard!$B68,Schedule!$A$116:$A$215,0),MATCH(Dashboard!D$32,Schedule!$AU$113:$AZ$113,0)),INDEX(Schedule!$AU$224:$AZ$323,MATCH(Dashboard!$B68,Schedule!$A$224:$A$323,0),MATCH(Dashboard!D$32,Schedule!$AU$221:$AZ$221,0)))),"")</f>
        <v/>
      </c>
      <c r="E68" s="42" t="str">
        <f>IFERROR(IF(COUNTIF(Schedule!$A$8:$A$107,Dashboard!$B68)&gt;0,INDEX(Schedule!$AU$8:$AZ$107,MATCH(Dashboard!$B68,Schedule!$A$8:$A$107,0),MATCH(Dashboard!E$32,Schedule!$AU$5:$AZ$5,0)),IF(COUNTIF(Schedule!$A$116:$A$215,Dashboard!$B68)&gt;0,INDEX(Schedule!$AU$116:$AZ$215,MATCH(Dashboard!$B68,Schedule!$A$116:$A$215,0),MATCH(Dashboard!E$32,Schedule!$AU$113:$AZ$113,0)),INDEX(Schedule!$AU$224:$AZ$323,MATCH(Dashboard!$B68,Schedule!$A$224:$A$323,0),MATCH(Dashboard!E$32,Schedule!$AU$221:$AZ$221,0)))),"")</f>
        <v/>
      </c>
      <c r="F68" s="42" t="str">
        <f>IFERROR(IF(COUNTIF(Schedule!$A$8:$A$107,Dashboard!$B68)&gt;0,INDEX(Schedule!$AU$8:$AZ$107,MATCH(Dashboard!$B68,Schedule!$A$8:$A$107,0),MATCH(Dashboard!F$32,Schedule!$AU$5:$AZ$5,0)),IF(COUNTIF(Schedule!$A$116:$A$215,Dashboard!$B68)&gt;0,INDEX(Schedule!$AU$116:$AZ$215,MATCH(Dashboard!$B68,Schedule!$A$116:$A$215,0),MATCH(Dashboard!F$32,Schedule!$AU$113:$AZ$113,0)),INDEX(Schedule!$AU$224:$AZ$323,MATCH(Dashboard!$B68,Schedule!$A$224:$A$323,0),MATCH(Dashboard!F$32,Schedule!$AU$221:$AZ$221,0)))),"")</f>
        <v/>
      </c>
      <c r="G68" s="42" t="str">
        <f>IFERROR(IF(COUNTIF(Schedule!$A$8:$A$107,Dashboard!$B68)&gt;0,INDEX(Schedule!$AU$8:$AZ$107,MATCH(Dashboard!$B68,Schedule!$A$8:$A$107,0),MATCH(Dashboard!G$32,Schedule!$AU$5:$AZ$5,0)),IF(COUNTIF(Schedule!$A$116:$A$215,Dashboard!$B68)&gt;0,INDEX(Schedule!$AU$116:$AZ$215,MATCH(Dashboard!$B68,Schedule!$A$116:$A$215,0),MATCH(Dashboard!G$32,Schedule!$AU$113:$AZ$113,0)),INDEX(Schedule!$AU$224:$AZ$323,MATCH(Dashboard!$B68,Schedule!$A$224:$A$323,0),MATCH(Dashboard!G$32,Schedule!$AU$221:$AZ$221,0)))),"")</f>
        <v/>
      </c>
      <c r="H68" s="42" t="str">
        <f>IFERROR(IF(COUNTIF(Schedule!$A$8:$A$107,Dashboard!$B68)&gt;0,INDEX(Schedule!$AU$8:$AZ$107,MATCH(Dashboard!$B68,Schedule!$A$8:$A$107,0),MATCH(Dashboard!H$32,Schedule!$AU$5:$AZ$5,0)),IF(COUNTIF(Schedule!$A$116:$A$215,Dashboard!$B68)&gt;0,INDEX(Schedule!$AU$116:$AZ$215,MATCH(Dashboard!$B68,Schedule!$A$116:$A$215,0),MATCH(Dashboard!H$32,Schedule!$AU$113:$AZ$113,0)),INDEX(Schedule!$AU$224:$AZ$323,MATCH(Dashboard!$B68,Schedule!$A$224:$A$323,0),MATCH(Dashboard!H$32,Schedule!$AU$221:$AZ$221,0)))),"")</f>
        <v/>
      </c>
    </row>
    <row r="69" spans="2:8" ht="14.1" hidden="1" customHeight="1" x14ac:dyDescent="0.2">
      <c r="B69" s="40" t="str">
        <f>IF(Lists!B41=0,"",Lists!B41)</f>
        <v/>
      </c>
      <c r="C69" s="42" t="str">
        <f>IFERROR(IF(COUNTIF(Schedule!$A$8:$A$107,Dashboard!$B69)&gt;0,INDEX(Schedule!$AU$8:$AZ$107,MATCH(Dashboard!$B69,Schedule!$A$8:$A$107,0),MATCH(Dashboard!C$32,Schedule!$AU$5:$AZ$5,0)),IF(COUNTIF(Schedule!$A$116:$A$215,Dashboard!$B69)&gt;0,INDEX(Schedule!$AU$116:$AZ$215,MATCH(Dashboard!$B69,Schedule!$A$116:$A$215,0),MATCH(Dashboard!C$32,Schedule!$AU$113:$AZ$113,0)),INDEX(Schedule!$AU$224:$AZ$323,MATCH(Dashboard!$B69,Schedule!$A$224:$A$323,0),MATCH(Dashboard!C$32,Schedule!$AU$221:$AZ$221,0)))),"")</f>
        <v/>
      </c>
      <c r="D69" s="42" t="str">
        <f>IFERROR(IF(COUNTIF(Schedule!$A$8:$A$107,Dashboard!$B69)&gt;0,INDEX(Schedule!$AU$8:$AZ$107,MATCH(Dashboard!$B69,Schedule!$A$8:$A$107,0),MATCH(Dashboard!D$32,Schedule!$AU$5:$AZ$5,0)),IF(COUNTIF(Schedule!$A$116:$A$215,Dashboard!$B69)&gt;0,INDEX(Schedule!$AU$116:$AZ$215,MATCH(Dashboard!$B69,Schedule!$A$116:$A$215,0),MATCH(Dashboard!D$32,Schedule!$AU$113:$AZ$113,0)),INDEX(Schedule!$AU$224:$AZ$323,MATCH(Dashboard!$B69,Schedule!$A$224:$A$323,0),MATCH(Dashboard!D$32,Schedule!$AU$221:$AZ$221,0)))),"")</f>
        <v/>
      </c>
      <c r="E69" s="42" t="str">
        <f>IFERROR(IF(COUNTIF(Schedule!$A$8:$A$107,Dashboard!$B69)&gt;0,INDEX(Schedule!$AU$8:$AZ$107,MATCH(Dashboard!$B69,Schedule!$A$8:$A$107,0),MATCH(Dashboard!E$32,Schedule!$AU$5:$AZ$5,0)),IF(COUNTIF(Schedule!$A$116:$A$215,Dashboard!$B69)&gt;0,INDEX(Schedule!$AU$116:$AZ$215,MATCH(Dashboard!$B69,Schedule!$A$116:$A$215,0),MATCH(Dashboard!E$32,Schedule!$AU$113:$AZ$113,0)),INDEX(Schedule!$AU$224:$AZ$323,MATCH(Dashboard!$B69,Schedule!$A$224:$A$323,0),MATCH(Dashboard!E$32,Schedule!$AU$221:$AZ$221,0)))),"")</f>
        <v/>
      </c>
      <c r="F69" s="42" t="str">
        <f>IFERROR(IF(COUNTIF(Schedule!$A$8:$A$107,Dashboard!$B69)&gt;0,INDEX(Schedule!$AU$8:$AZ$107,MATCH(Dashboard!$B69,Schedule!$A$8:$A$107,0),MATCH(Dashboard!F$32,Schedule!$AU$5:$AZ$5,0)),IF(COUNTIF(Schedule!$A$116:$A$215,Dashboard!$B69)&gt;0,INDEX(Schedule!$AU$116:$AZ$215,MATCH(Dashboard!$B69,Schedule!$A$116:$A$215,0),MATCH(Dashboard!F$32,Schedule!$AU$113:$AZ$113,0)),INDEX(Schedule!$AU$224:$AZ$323,MATCH(Dashboard!$B69,Schedule!$A$224:$A$323,0),MATCH(Dashboard!F$32,Schedule!$AU$221:$AZ$221,0)))),"")</f>
        <v/>
      </c>
      <c r="G69" s="42" t="str">
        <f>IFERROR(IF(COUNTIF(Schedule!$A$8:$A$107,Dashboard!$B69)&gt;0,INDEX(Schedule!$AU$8:$AZ$107,MATCH(Dashboard!$B69,Schedule!$A$8:$A$107,0),MATCH(Dashboard!G$32,Schedule!$AU$5:$AZ$5,0)),IF(COUNTIF(Schedule!$A$116:$A$215,Dashboard!$B69)&gt;0,INDEX(Schedule!$AU$116:$AZ$215,MATCH(Dashboard!$B69,Schedule!$A$116:$A$215,0),MATCH(Dashboard!G$32,Schedule!$AU$113:$AZ$113,0)),INDEX(Schedule!$AU$224:$AZ$323,MATCH(Dashboard!$B69,Schedule!$A$224:$A$323,0),MATCH(Dashboard!G$32,Schedule!$AU$221:$AZ$221,0)))),"")</f>
        <v/>
      </c>
      <c r="H69" s="42" t="str">
        <f>IFERROR(IF(COUNTIF(Schedule!$A$8:$A$107,Dashboard!$B69)&gt;0,INDEX(Schedule!$AU$8:$AZ$107,MATCH(Dashboard!$B69,Schedule!$A$8:$A$107,0),MATCH(Dashboard!H$32,Schedule!$AU$5:$AZ$5,0)),IF(COUNTIF(Schedule!$A$116:$A$215,Dashboard!$B69)&gt;0,INDEX(Schedule!$AU$116:$AZ$215,MATCH(Dashboard!$B69,Schedule!$A$116:$A$215,0),MATCH(Dashboard!H$32,Schedule!$AU$113:$AZ$113,0)),INDEX(Schedule!$AU$224:$AZ$323,MATCH(Dashboard!$B69,Schedule!$A$224:$A$323,0),MATCH(Dashboard!H$32,Schedule!$AU$221:$AZ$221,0)))),"")</f>
        <v/>
      </c>
    </row>
    <row r="70" spans="2:8" ht="14.1" hidden="1" customHeight="1" x14ac:dyDescent="0.2">
      <c r="B70" s="40" t="str">
        <f>IF(Lists!B42=0,"",Lists!B42)</f>
        <v/>
      </c>
      <c r="C70" s="42" t="str">
        <f>IFERROR(IF(COUNTIF(Schedule!$A$8:$A$107,Dashboard!$B70)&gt;0,INDEX(Schedule!$AU$8:$AZ$107,MATCH(Dashboard!$B70,Schedule!$A$8:$A$107,0),MATCH(Dashboard!C$32,Schedule!$AU$5:$AZ$5,0)),IF(COUNTIF(Schedule!$A$116:$A$215,Dashboard!$B70)&gt;0,INDEX(Schedule!$AU$116:$AZ$215,MATCH(Dashboard!$B70,Schedule!$A$116:$A$215,0),MATCH(Dashboard!C$32,Schedule!$AU$113:$AZ$113,0)),INDEX(Schedule!$AU$224:$AZ$323,MATCH(Dashboard!$B70,Schedule!$A$224:$A$323,0),MATCH(Dashboard!C$32,Schedule!$AU$221:$AZ$221,0)))),"")</f>
        <v/>
      </c>
      <c r="D70" s="42" t="str">
        <f>IFERROR(IF(COUNTIF(Schedule!$A$8:$A$107,Dashboard!$B70)&gt;0,INDEX(Schedule!$AU$8:$AZ$107,MATCH(Dashboard!$B70,Schedule!$A$8:$A$107,0),MATCH(Dashboard!D$32,Schedule!$AU$5:$AZ$5,0)),IF(COUNTIF(Schedule!$A$116:$A$215,Dashboard!$B70)&gt;0,INDEX(Schedule!$AU$116:$AZ$215,MATCH(Dashboard!$B70,Schedule!$A$116:$A$215,0),MATCH(Dashboard!D$32,Schedule!$AU$113:$AZ$113,0)),INDEX(Schedule!$AU$224:$AZ$323,MATCH(Dashboard!$B70,Schedule!$A$224:$A$323,0),MATCH(Dashboard!D$32,Schedule!$AU$221:$AZ$221,0)))),"")</f>
        <v/>
      </c>
      <c r="E70" s="42" t="str">
        <f>IFERROR(IF(COUNTIF(Schedule!$A$8:$A$107,Dashboard!$B70)&gt;0,INDEX(Schedule!$AU$8:$AZ$107,MATCH(Dashboard!$B70,Schedule!$A$8:$A$107,0),MATCH(Dashboard!E$32,Schedule!$AU$5:$AZ$5,0)),IF(COUNTIF(Schedule!$A$116:$A$215,Dashboard!$B70)&gt;0,INDEX(Schedule!$AU$116:$AZ$215,MATCH(Dashboard!$B70,Schedule!$A$116:$A$215,0),MATCH(Dashboard!E$32,Schedule!$AU$113:$AZ$113,0)),INDEX(Schedule!$AU$224:$AZ$323,MATCH(Dashboard!$B70,Schedule!$A$224:$A$323,0),MATCH(Dashboard!E$32,Schedule!$AU$221:$AZ$221,0)))),"")</f>
        <v/>
      </c>
      <c r="F70" s="42" t="str">
        <f>IFERROR(IF(COUNTIF(Schedule!$A$8:$A$107,Dashboard!$B70)&gt;0,INDEX(Schedule!$AU$8:$AZ$107,MATCH(Dashboard!$B70,Schedule!$A$8:$A$107,0),MATCH(Dashboard!F$32,Schedule!$AU$5:$AZ$5,0)),IF(COUNTIF(Schedule!$A$116:$A$215,Dashboard!$B70)&gt;0,INDEX(Schedule!$AU$116:$AZ$215,MATCH(Dashboard!$B70,Schedule!$A$116:$A$215,0),MATCH(Dashboard!F$32,Schedule!$AU$113:$AZ$113,0)),INDEX(Schedule!$AU$224:$AZ$323,MATCH(Dashboard!$B70,Schedule!$A$224:$A$323,0),MATCH(Dashboard!F$32,Schedule!$AU$221:$AZ$221,0)))),"")</f>
        <v/>
      </c>
      <c r="G70" s="42" t="str">
        <f>IFERROR(IF(COUNTIF(Schedule!$A$8:$A$107,Dashboard!$B70)&gt;0,INDEX(Schedule!$AU$8:$AZ$107,MATCH(Dashboard!$B70,Schedule!$A$8:$A$107,0),MATCH(Dashboard!G$32,Schedule!$AU$5:$AZ$5,0)),IF(COUNTIF(Schedule!$A$116:$A$215,Dashboard!$B70)&gt;0,INDEX(Schedule!$AU$116:$AZ$215,MATCH(Dashboard!$B70,Schedule!$A$116:$A$215,0),MATCH(Dashboard!G$32,Schedule!$AU$113:$AZ$113,0)),INDEX(Schedule!$AU$224:$AZ$323,MATCH(Dashboard!$B70,Schedule!$A$224:$A$323,0),MATCH(Dashboard!G$32,Schedule!$AU$221:$AZ$221,0)))),"")</f>
        <v/>
      </c>
      <c r="H70" s="42" t="str">
        <f>IFERROR(IF(COUNTIF(Schedule!$A$8:$A$107,Dashboard!$B70)&gt;0,INDEX(Schedule!$AU$8:$AZ$107,MATCH(Dashboard!$B70,Schedule!$A$8:$A$107,0),MATCH(Dashboard!H$32,Schedule!$AU$5:$AZ$5,0)),IF(COUNTIF(Schedule!$A$116:$A$215,Dashboard!$B70)&gt;0,INDEX(Schedule!$AU$116:$AZ$215,MATCH(Dashboard!$B70,Schedule!$A$116:$A$215,0),MATCH(Dashboard!H$32,Schedule!$AU$113:$AZ$113,0)),INDEX(Schedule!$AU$224:$AZ$323,MATCH(Dashboard!$B70,Schedule!$A$224:$A$323,0),MATCH(Dashboard!H$32,Schedule!$AU$221:$AZ$221,0)))),"")</f>
        <v/>
      </c>
    </row>
    <row r="71" spans="2:8" ht="14.1" hidden="1" customHeight="1" x14ac:dyDescent="0.2">
      <c r="B71" s="40" t="str">
        <f>IF(Lists!B43=0,"",Lists!B43)</f>
        <v/>
      </c>
      <c r="C71" s="42" t="str">
        <f>IFERROR(IF(COUNTIF(Schedule!$A$8:$A$107,Dashboard!$B71)&gt;0,INDEX(Schedule!$AU$8:$AZ$107,MATCH(Dashboard!$B71,Schedule!$A$8:$A$107,0),MATCH(Dashboard!C$32,Schedule!$AU$5:$AZ$5,0)),IF(COUNTIF(Schedule!$A$116:$A$215,Dashboard!$B71)&gt;0,INDEX(Schedule!$AU$116:$AZ$215,MATCH(Dashboard!$B71,Schedule!$A$116:$A$215,0),MATCH(Dashboard!C$32,Schedule!$AU$113:$AZ$113,0)),INDEX(Schedule!$AU$224:$AZ$323,MATCH(Dashboard!$B71,Schedule!$A$224:$A$323,0),MATCH(Dashboard!C$32,Schedule!$AU$221:$AZ$221,0)))),"")</f>
        <v/>
      </c>
      <c r="D71" s="42" t="str">
        <f>IFERROR(IF(COUNTIF(Schedule!$A$8:$A$107,Dashboard!$B71)&gt;0,INDEX(Schedule!$AU$8:$AZ$107,MATCH(Dashboard!$B71,Schedule!$A$8:$A$107,0),MATCH(Dashboard!D$32,Schedule!$AU$5:$AZ$5,0)),IF(COUNTIF(Schedule!$A$116:$A$215,Dashboard!$B71)&gt;0,INDEX(Schedule!$AU$116:$AZ$215,MATCH(Dashboard!$B71,Schedule!$A$116:$A$215,0),MATCH(Dashboard!D$32,Schedule!$AU$113:$AZ$113,0)),INDEX(Schedule!$AU$224:$AZ$323,MATCH(Dashboard!$B71,Schedule!$A$224:$A$323,0),MATCH(Dashboard!D$32,Schedule!$AU$221:$AZ$221,0)))),"")</f>
        <v/>
      </c>
      <c r="E71" s="42" t="str">
        <f>IFERROR(IF(COUNTIF(Schedule!$A$8:$A$107,Dashboard!$B71)&gt;0,INDEX(Schedule!$AU$8:$AZ$107,MATCH(Dashboard!$B71,Schedule!$A$8:$A$107,0),MATCH(Dashboard!E$32,Schedule!$AU$5:$AZ$5,0)),IF(COUNTIF(Schedule!$A$116:$A$215,Dashboard!$B71)&gt;0,INDEX(Schedule!$AU$116:$AZ$215,MATCH(Dashboard!$B71,Schedule!$A$116:$A$215,0),MATCH(Dashboard!E$32,Schedule!$AU$113:$AZ$113,0)),INDEX(Schedule!$AU$224:$AZ$323,MATCH(Dashboard!$B71,Schedule!$A$224:$A$323,0),MATCH(Dashboard!E$32,Schedule!$AU$221:$AZ$221,0)))),"")</f>
        <v/>
      </c>
      <c r="F71" s="42" t="str">
        <f>IFERROR(IF(COUNTIF(Schedule!$A$8:$A$107,Dashboard!$B71)&gt;0,INDEX(Schedule!$AU$8:$AZ$107,MATCH(Dashboard!$B71,Schedule!$A$8:$A$107,0),MATCH(Dashboard!F$32,Schedule!$AU$5:$AZ$5,0)),IF(COUNTIF(Schedule!$A$116:$A$215,Dashboard!$B71)&gt;0,INDEX(Schedule!$AU$116:$AZ$215,MATCH(Dashboard!$B71,Schedule!$A$116:$A$215,0),MATCH(Dashboard!F$32,Schedule!$AU$113:$AZ$113,0)),INDEX(Schedule!$AU$224:$AZ$323,MATCH(Dashboard!$B71,Schedule!$A$224:$A$323,0),MATCH(Dashboard!F$32,Schedule!$AU$221:$AZ$221,0)))),"")</f>
        <v/>
      </c>
      <c r="G71" s="42" t="str">
        <f>IFERROR(IF(COUNTIF(Schedule!$A$8:$A$107,Dashboard!$B71)&gt;0,INDEX(Schedule!$AU$8:$AZ$107,MATCH(Dashboard!$B71,Schedule!$A$8:$A$107,0),MATCH(Dashboard!G$32,Schedule!$AU$5:$AZ$5,0)),IF(COUNTIF(Schedule!$A$116:$A$215,Dashboard!$B71)&gt;0,INDEX(Schedule!$AU$116:$AZ$215,MATCH(Dashboard!$B71,Schedule!$A$116:$A$215,0),MATCH(Dashboard!G$32,Schedule!$AU$113:$AZ$113,0)),INDEX(Schedule!$AU$224:$AZ$323,MATCH(Dashboard!$B71,Schedule!$A$224:$A$323,0),MATCH(Dashboard!G$32,Schedule!$AU$221:$AZ$221,0)))),"")</f>
        <v/>
      </c>
      <c r="H71" s="42" t="str">
        <f>IFERROR(IF(COUNTIF(Schedule!$A$8:$A$107,Dashboard!$B71)&gt;0,INDEX(Schedule!$AU$8:$AZ$107,MATCH(Dashboard!$B71,Schedule!$A$8:$A$107,0),MATCH(Dashboard!H$32,Schedule!$AU$5:$AZ$5,0)),IF(COUNTIF(Schedule!$A$116:$A$215,Dashboard!$B71)&gt;0,INDEX(Schedule!$AU$116:$AZ$215,MATCH(Dashboard!$B71,Schedule!$A$116:$A$215,0),MATCH(Dashboard!H$32,Schedule!$AU$113:$AZ$113,0)),INDEX(Schedule!$AU$224:$AZ$323,MATCH(Dashboard!$B71,Schedule!$A$224:$A$323,0),MATCH(Dashboard!H$32,Schedule!$AU$221:$AZ$221,0)))),"")</f>
        <v/>
      </c>
    </row>
    <row r="72" spans="2:8" ht="14.1" hidden="1" customHeight="1" x14ac:dyDescent="0.2">
      <c r="B72" s="40" t="str">
        <f>IF(Lists!B44=0,"",Lists!B44)</f>
        <v/>
      </c>
      <c r="C72" s="42" t="str">
        <f>IFERROR(IF(COUNTIF(Schedule!$A$8:$A$107,Dashboard!$B72)&gt;0,INDEX(Schedule!$AU$8:$AZ$107,MATCH(Dashboard!$B72,Schedule!$A$8:$A$107,0),MATCH(Dashboard!C$32,Schedule!$AU$5:$AZ$5,0)),IF(COUNTIF(Schedule!$A$116:$A$215,Dashboard!$B72)&gt;0,INDEX(Schedule!$AU$116:$AZ$215,MATCH(Dashboard!$B72,Schedule!$A$116:$A$215,0),MATCH(Dashboard!C$32,Schedule!$AU$113:$AZ$113,0)),INDEX(Schedule!$AU$224:$AZ$323,MATCH(Dashboard!$B72,Schedule!$A$224:$A$323,0),MATCH(Dashboard!C$32,Schedule!$AU$221:$AZ$221,0)))),"")</f>
        <v/>
      </c>
      <c r="D72" s="42" t="str">
        <f>IFERROR(IF(COUNTIF(Schedule!$A$8:$A$107,Dashboard!$B72)&gt;0,INDEX(Schedule!$AU$8:$AZ$107,MATCH(Dashboard!$B72,Schedule!$A$8:$A$107,0),MATCH(Dashboard!D$32,Schedule!$AU$5:$AZ$5,0)),IF(COUNTIF(Schedule!$A$116:$A$215,Dashboard!$B72)&gt;0,INDEX(Schedule!$AU$116:$AZ$215,MATCH(Dashboard!$B72,Schedule!$A$116:$A$215,0),MATCH(Dashboard!D$32,Schedule!$AU$113:$AZ$113,0)),INDEX(Schedule!$AU$224:$AZ$323,MATCH(Dashboard!$B72,Schedule!$A$224:$A$323,0),MATCH(Dashboard!D$32,Schedule!$AU$221:$AZ$221,0)))),"")</f>
        <v/>
      </c>
      <c r="E72" s="42" t="str">
        <f>IFERROR(IF(COUNTIF(Schedule!$A$8:$A$107,Dashboard!$B72)&gt;0,INDEX(Schedule!$AU$8:$AZ$107,MATCH(Dashboard!$B72,Schedule!$A$8:$A$107,0),MATCH(Dashboard!E$32,Schedule!$AU$5:$AZ$5,0)),IF(COUNTIF(Schedule!$A$116:$A$215,Dashboard!$B72)&gt;0,INDEX(Schedule!$AU$116:$AZ$215,MATCH(Dashboard!$B72,Schedule!$A$116:$A$215,0),MATCH(Dashboard!E$32,Schedule!$AU$113:$AZ$113,0)),INDEX(Schedule!$AU$224:$AZ$323,MATCH(Dashboard!$B72,Schedule!$A$224:$A$323,0),MATCH(Dashboard!E$32,Schedule!$AU$221:$AZ$221,0)))),"")</f>
        <v/>
      </c>
      <c r="F72" s="42" t="str">
        <f>IFERROR(IF(COUNTIF(Schedule!$A$8:$A$107,Dashboard!$B72)&gt;0,INDEX(Schedule!$AU$8:$AZ$107,MATCH(Dashboard!$B72,Schedule!$A$8:$A$107,0),MATCH(Dashboard!F$32,Schedule!$AU$5:$AZ$5,0)),IF(COUNTIF(Schedule!$A$116:$A$215,Dashboard!$B72)&gt;0,INDEX(Schedule!$AU$116:$AZ$215,MATCH(Dashboard!$B72,Schedule!$A$116:$A$215,0),MATCH(Dashboard!F$32,Schedule!$AU$113:$AZ$113,0)),INDEX(Schedule!$AU$224:$AZ$323,MATCH(Dashboard!$B72,Schedule!$A$224:$A$323,0),MATCH(Dashboard!F$32,Schedule!$AU$221:$AZ$221,0)))),"")</f>
        <v/>
      </c>
      <c r="G72" s="42" t="str">
        <f>IFERROR(IF(COUNTIF(Schedule!$A$8:$A$107,Dashboard!$B72)&gt;0,INDEX(Schedule!$AU$8:$AZ$107,MATCH(Dashboard!$B72,Schedule!$A$8:$A$107,0),MATCH(Dashboard!G$32,Schedule!$AU$5:$AZ$5,0)),IF(COUNTIF(Schedule!$A$116:$A$215,Dashboard!$B72)&gt;0,INDEX(Schedule!$AU$116:$AZ$215,MATCH(Dashboard!$B72,Schedule!$A$116:$A$215,0),MATCH(Dashboard!G$32,Schedule!$AU$113:$AZ$113,0)),INDEX(Schedule!$AU$224:$AZ$323,MATCH(Dashboard!$B72,Schedule!$A$224:$A$323,0),MATCH(Dashboard!G$32,Schedule!$AU$221:$AZ$221,0)))),"")</f>
        <v/>
      </c>
      <c r="H72" s="42" t="str">
        <f>IFERROR(IF(COUNTIF(Schedule!$A$8:$A$107,Dashboard!$B72)&gt;0,INDEX(Schedule!$AU$8:$AZ$107,MATCH(Dashboard!$B72,Schedule!$A$8:$A$107,0),MATCH(Dashboard!H$32,Schedule!$AU$5:$AZ$5,0)),IF(COUNTIF(Schedule!$A$116:$A$215,Dashboard!$B72)&gt;0,INDEX(Schedule!$AU$116:$AZ$215,MATCH(Dashboard!$B72,Schedule!$A$116:$A$215,0),MATCH(Dashboard!H$32,Schedule!$AU$113:$AZ$113,0)),INDEX(Schedule!$AU$224:$AZ$323,MATCH(Dashboard!$B72,Schedule!$A$224:$A$323,0),MATCH(Dashboard!H$32,Schedule!$AU$221:$AZ$221,0)))),"")</f>
        <v/>
      </c>
    </row>
    <row r="73" spans="2:8" ht="14.1" hidden="1" customHeight="1" x14ac:dyDescent="0.2">
      <c r="B73" s="40" t="str">
        <f>IF(Lists!B45=0,"",Lists!B45)</f>
        <v/>
      </c>
      <c r="C73" s="42" t="str">
        <f>IFERROR(IF(COUNTIF(Schedule!$A$8:$A$107,Dashboard!$B73)&gt;0,INDEX(Schedule!$AU$8:$AZ$107,MATCH(Dashboard!$B73,Schedule!$A$8:$A$107,0),MATCH(Dashboard!C$32,Schedule!$AU$5:$AZ$5,0)),IF(COUNTIF(Schedule!$A$116:$A$215,Dashboard!$B73)&gt;0,INDEX(Schedule!$AU$116:$AZ$215,MATCH(Dashboard!$B73,Schedule!$A$116:$A$215,0),MATCH(Dashboard!C$32,Schedule!$AU$113:$AZ$113,0)),INDEX(Schedule!$AU$224:$AZ$323,MATCH(Dashboard!$B73,Schedule!$A$224:$A$323,0),MATCH(Dashboard!C$32,Schedule!$AU$221:$AZ$221,0)))),"")</f>
        <v/>
      </c>
      <c r="D73" s="42" t="str">
        <f>IFERROR(IF(COUNTIF(Schedule!$A$8:$A$107,Dashboard!$B73)&gt;0,INDEX(Schedule!$AU$8:$AZ$107,MATCH(Dashboard!$B73,Schedule!$A$8:$A$107,0),MATCH(Dashboard!D$32,Schedule!$AU$5:$AZ$5,0)),IF(COUNTIF(Schedule!$A$116:$A$215,Dashboard!$B73)&gt;0,INDEX(Schedule!$AU$116:$AZ$215,MATCH(Dashboard!$B73,Schedule!$A$116:$A$215,0),MATCH(Dashboard!D$32,Schedule!$AU$113:$AZ$113,0)),INDEX(Schedule!$AU$224:$AZ$323,MATCH(Dashboard!$B73,Schedule!$A$224:$A$323,0),MATCH(Dashboard!D$32,Schedule!$AU$221:$AZ$221,0)))),"")</f>
        <v/>
      </c>
      <c r="E73" s="42" t="str">
        <f>IFERROR(IF(COUNTIF(Schedule!$A$8:$A$107,Dashboard!$B73)&gt;0,INDEX(Schedule!$AU$8:$AZ$107,MATCH(Dashboard!$B73,Schedule!$A$8:$A$107,0),MATCH(Dashboard!E$32,Schedule!$AU$5:$AZ$5,0)),IF(COUNTIF(Schedule!$A$116:$A$215,Dashboard!$B73)&gt;0,INDEX(Schedule!$AU$116:$AZ$215,MATCH(Dashboard!$B73,Schedule!$A$116:$A$215,0),MATCH(Dashboard!E$32,Schedule!$AU$113:$AZ$113,0)),INDEX(Schedule!$AU$224:$AZ$323,MATCH(Dashboard!$B73,Schedule!$A$224:$A$323,0),MATCH(Dashboard!E$32,Schedule!$AU$221:$AZ$221,0)))),"")</f>
        <v/>
      </c>
      <c r="F73" s="42" t="str">
        <f>IFERROR(IF(COUNTIF(Schedule!$A$8:$A$107,Dashboard!$B73)&gt;0,INDEX(Schedule!$AU$8:$AZ$107,MATCH(Dashboard!$B73,Schedule!$A$8:$A$107,0),MATCH(Dashboard!F$32,Schedule!$AU$5:$AZ$5,0)),IF(COUNTIF(Schedule!$A$116:$A$215,Dashboard!$B73)&gt;0,INDEX(Schedule!$AU$116:$AZ$215,MATCH(Dashboard!$B73,Schedule!$A$116:$A$215,0),MATCH(Dashboard!F$32,Schedule!$AU$113:$AZ$113,0)),INDEX(Schedule!$AU$224:$AZ$323,MATCH(Dashboard!$B73,Schedule!$A$224:$A$323,0),MATCH(Dashboard!F$32,Schedule!$AU$221:$AZ$221,0)))),"")</f>
        <v/>
      </c>
      <c r="G73" s="42" t="str">
        <f>IFERROR(IF(COUNTIF(Schedule!$A$8:$A$107,Dashboard!$B73)&gt;0,INDEX(Schedule!$AU$8:$AZ$107,MATCH(Dashboard!$B73,Schedule!$A$8:$A$107,0),MATCH(Dashboard!G$32,Schedule!$AU$5:$AZ$5,0)),IF(COUNTIF(Schedule!$A$116:$A$215,Dashboard!$B73)&gt;0,INDEX(Schedule!$AU$116:$AZ$215,MATCH(Dashboard!$B73,Schedule!$A$116:$A$215,0),MATCH(Dashboard!G$32,Schedule!$AU$113:$AZ$113,0)),INDEX(Schedule!$AU$224:$AZ$323,MATCH(Dashboard!$B73,Schedule!$A$224:$A$323,0),MATCH(Dashboard!G$32,Schedule!$AU$221:$AZ$221,0)))),"")</f>
        <v/>
      </c>
      <c r="H73" s="42" t="str">
        <f>IFERROR(IF(COUNTIF(Schedule!$A$8:$A$107,Dashboard!$B73)&gt;0,INDEX(Schedule!$AU$8:$AZ$107,MATCH(Dashboard!$B73,Schedule!$A$8:$A$107,0),MATCH(Dashboard!H$32,Schedule!$AU$5:$AZ$5,0)),IF(COUNTIF(Schedule!$A$116:$A$215,Dashboard!$B73)&gt;0,INDEX(Schedule!$AU$116:$AZ$215,MATCH(Dashboard!$B73,Schedule!$A$116:$A$215,0),MATCH(Dashboard!H$32,Schedule!$AU$113:$AZ$113,0)),INDEX(Schedule!$AU$224:$AZ$323,MATCH(Dashboard!$B73,Schedule!$A$224:$A$323,0),MATCH(Dashboard!H$32,Schedule!$AU$221:$AZ$221,0)))),"")</f>
        <v/>
      </c>
    </row>
    <row r="74" spans="2:8" ht="14.1" hidden="1" customHeight="1" x14ac:dyDescent="0.2">
      <c r="B74" s="40" t="str">
        <f>IF(Lists!B46=0,"",Lists!B46)</f>
        <v/>
      </c>
      <c r="C74" s="42" t="str">
        <f>IFERROR(IF(COUNTIF(Schedule!$A$8:$A$107,Dashboard!$B74)&gt;0,INDEX(Schedule!$AU$8:$AZ$107,MATCH(Dashboard!$B74,Schedule!$A$8:$A$107,0),MATCH(Dashboard!C$32,Schedule!$AU$5:$AZ$5,0)),IF(COUNTIF(Schedule!$A$116:$A$215,Dashboard!$B74)&gt;0,INDEX(Schedule!$AU$116:$AZ$215,MATCH(Dashboard!$B74,Schedule!$A$116:$A$215,0),MATCH(Dashboard!C$32,Schedule!$AU$113:$AZ$113,0)),INDEX(Schedule!$AU$224:$AZ$323,MATCH(Dashboard!$B74,Schedule!$A$224:$A$323,0),MATCH(Dashboard!C$32,Schedule!$AU$221:$AZ$221,0)))),"")</f>
        <v/>
      </c>
      <c r="D74" s="42" t="str">
        <f>IFERROR(IF(COUNTIF(Schedule!$A$8:$A$107,Dashboard!$B74)&gt;0,INDEX(Schedule!$AU$8:$AZ$107,MATCH(Dashboard!$B74,Schedule!$A$8:$A$107,0),MATCH(Dashboard!D$32,Schedule!$AU$5:$AZ$5,0)),IF(COUNTIF(Schedule!$A$116:$A$215,Dashboard!$B74)&gt;0,INDEX(Schedule!$AU$116:$AZ$215,MATCH(Dashboard!$B74,Schedule!$A$116:$A$215,0),MATCH(Dashboard!D$32,Schedule!$AU$113:$AZ$113,0)),INDEX(Schedule!$AU$224:$AZ$323,MATCH(Dashboard!$B74,Schedule!$A$224:$A$323,0),MATCH(Dashboard!D$32,Schedule!$AU$221:$AZ$221,0)))),"")</f>
        <v/>
      </c>
      <c r="E74" s="42" t="str">
        <f>IFERROR(IF(COUNTIF(Schedule!$A$8:$A$107,Dashboard!$B74)&gt;0,INDEX(Schedule!$AU$8:$AZ$107,MATCH(Dashboard!$B74,Schedule!$A$8:$A$107,0),MATCH(Dashboard!E$32,Schedule!$AU$5:$AZ$5,0)),IF(COUNTIF(Schedule!$A$116:$A$215,Dashboard!$B74)&gt;0,INDEX(Schedule!$AU$116:$AZ$215,MATCH(Dashboard!$B74,Schedule!$A$116:$A$215,0),MATCH(Dashboard!E$32,Schedule!$AU$113:$AZ$113,0)),INDEX(Schedule!$AU$224:$AZ$323,MATCH(Dashboard!$B74,Schedule!$A$224:$A$323,0),MATCH(Dashboard!E$32,Schedule!$AU$221:$AZ$221,0)))),"")</f>
        <v/>
      </c>
      <c r="F74" s="42" t="str">
        <f>IFERROR(IF(COUNTIF(Schedule!$A$8:$A$107,Dashboard!$B74)&gt;0,INDEX(Schedule!$AU$8:$AZ$107,MATCH(Dashboard!$B74,Schedule!$A$8:$A$107,0),MATCH(Dashboard!F$32,Schedule!$AU$5:$AZ$5,0)),IF(COUNTIF(Schedule!$A$116:$A$215,Dashboard!$B74)&gt;0,INDEX(Schedule!$AU$116:$AZ$215,MATCH(Dashboard!$B74,Schedule!$A$116:$A$215,0),MATCH(Dashboard!F$32,Schedule!$AU$113:$AZ$113,0)),INDEX(Schedule!$AU$224:$AZ$323,MATCH(Dashboard!$B74,Schedule!$A$224:$A$323,0),MATCH(Dashboard!F$32,Schedule!$AU$221:$AZ$221,0)))),"")</f>
        <v/>
      </c>
      <c r="G74" s="42" t="str">
        <f>IFERROR(IF(COUNTIF(Schedule!$A$8:$A$107,Dashboard!$B74)&gt;0,INDEX(Schedule!$AU$8:$AZ$107,MATCH(Dashboard!$B74,Schedule!$A$8:$A$107,0),MATCH(Dashboard!G$32,Schedule!$AU$5:$AZ$5,0)),IF(COUNTIF(Schedule!$A$116:$A$215,Dashboard!$B74)&gt;0,INDEX(Schedule!$AU$116:$AZ$215,MATCH(Dashboard!$B74,Schedule!$A$116:$A$215,0),MATCH(Dashboard!G$32,Schedule!$AU$113:$AZ$113,0)),INDEX(Schedule!$AU$224:$AZ$323,MATCH(Dashboard!$B74,Schedule!$A$224:$A$323,0),MATCH(Dashboard!G$32,Schedule!$AU$221:$AZ$221,0)))),"")</f>
        <v/>
      </c>
      <c r="H74" s="42" t="str">
        <f>IFERROR(IF(COUNTIF(Schedule!$A$8:$A$107,Dashboard!$B74)&gt;0,INDEX(Schedule!$AU$8:$AZ$107,MATCH(Dashboard!$B74,Schedule!$A$8:$A$107,0),MATCH(Dashboard!H$32,Schedule!$AU$5:$AZ$5,0)),IF(COUNTIF(Schedule!$A$116:$A$215,Dashboard!$B74)&gt;0,INDEX(Schedule!$AU$116:$AZ$215,MATCH(Dashboard!$B74,Schedule!$A$116:$A$215,0),MATCH(Dashboard!H$32,Schedule!$AU$113:$AZ$113,0)),INDEX(Schedule!$AU$224:$AZ$323,MATCH(Dashboard!$B74,Schedule!$A$224:$A$323,0),MATCH(Dashboard!H$32,Schedule!$AU$221:$AZ$221,0)))),"")</f>
        <v/>
      </c>
    </row>
    <row r="75" spans="2:8" ht="14.1" hidden="1" customHeight="1" x14ac:dyDescent="0.2">
      <c r="B75" s="40" t="str">
        <f>IF(Lists!B47=0,"",Lists!B47)</f>
        <v/>
      </c>
      <c r="C75" s="42" t="str">
        <f>IFERROR(IF(COUNTIF(Schedule!$A$8:$A$107,Dashboard!$B75)&gt;0,INDEX(Schedule!$AU$8:$AZ$107,MATCH(Dashboard!$B75,Schedule!$A$8:$A$107,0),MATCH(Dashboard!C$32,Schedule!$AU$5:$AZ$5,0)),IF(COUNTIF(Schedule!$A$116:$A$215,Dashboard!$B75)&gt;0,INDEX(Schedule!$AU$116:$AZ$215,MATCH(Dashboard!$B75,Schedule!$A$116:$A$215,0),MATCH(Dashboard!C$32,Schedule!$AU$113:$AZ$113,0)),INDEX(Schedule!$AU$224:$AZ$323,MATCH(Dashboard!$B75,Schedule!$A$224:$A$323,0),MATCH(Dashboard!C$32,Schedule!$AU$221:$AZ$221,0)))),"")</f>
        <v/>
      </c>
      <c r="D75" s="42" t="str">
        <f>IFERROR(IF(COUNTIF(Schedule!$A$8:$A$107,Dashboard!$B75)&gt;0,INDEX(Schedule!$AU$8:$AZ$107,MATCH(Dashboard!$B75,Schedule!$A$8:$A$107,0),MATCH(Dashboard!D$32,Schedule!$AU$5:$AZ$5,0)),IF(COUNTIF(Schedule!$A$116:$A$215,Dashboard!$B75)&gt;0,INDEX(Schedule!$AU$116:$AZ$215,MATCH(Dashboard!$B75,Schedule!$A$116:$A$215,0),MATCH(Dashboard!D$32,Schedule!$AU$113:$AZ$113,0)),INDEX(Schedule!$AU$224:$AZ$323,MATCH(Dashboard!$B75,Schedule!$A$224:$A$323,0),MATCH(Dashboard!D$32,Schedule!$AU$221:$AZ$221,0)))),"")</f>
        <v/>
      </c>
      <c r="E75" s="42" t="str">
        <f>IFERROR(IF(COUNTIF(Schedule!$A$8:$A$107,Dashboard!$B75)&gt;0,INDEX(Schedule!$AU$8:$AZ$107,MATCH(Dashboard!$B75,Schedule!$A$8:$A$107,0),MATCH(Dashboard!E$32,Schedule!$AU$5:$AZ$5,0)),IF(COUNTIF(Schedule!$A$116:$A$215,Dashboard!$B75)&gt;0,INDEX(Schedule!$AU$116:$AZ$215,MATCH(Dashboard!$B75,Schedule!$A$116:$A$215,0),MATCH(Dashboard!E$32,Schedule!$AU$113:$AZ$113,0)),INDEX(Schedule!$AU$224:$AZ$323,MATCH(Dashboard!$B75,Schedule!$A$224:$A$323,0),MATCH(Dashboard!E$32,Schedule!$AU$221:$AZ$221,0)))),"")</f>
        <v/>
      </c>
      <c r="F75" s="42" t="str">
        <f>IFERROR(IF(COUNTIF(Schedule!$A$8:$A$107,Dashboard!$B75)&gt;0,INDEX(Schedule!$AU$8:$AZ$107,MATCH(Dashboard!$B75,Schedule!$A$8:$A$107,0),MATCH(Dashboard!F$32,Schedule!$AU$5:$AZ$5,0)),IF(COUNTIF(Schedule!$A$116:$A$215,Dashboard!$B75)&gt;0,INDEX(Schedule!$AU$116:$AZ$215,MATCH(Dashboard!$B75,Schedule!$A$116:$A$215,0),MATCH(Dashboard!F$32,Schedule!$AU$113:$AZ$113,0)),INDEX(Schedule!$AU$224:$AZ$323,MATCH(Dashboard!$B75,Schedule!$A$224:$A$323,0),MATCH(Dashboard!F$32,Schedule!$AU$221:$AZ$221,0)))),"")</f>
        <v/>
      </c>
      <c r="G75" s="42" t="str">
        <f>IFERROR(IF(COUNTIF(Schedule!$A$8:$A$107,Dashboard!$B75)&gt;0,INDEX(Schedule!$AU$8:$AZ$107,MATCH(Dashboard!$B75,Schedule!$A$8:$A$107,0),MATCH(Dashboard!G$32,Schedule!$AU$5:$AZ$5,0)),IF(COUNTIF(Schedule!$A$116:$A$215,Dashboard!$B75)&gt;0,INDEX(Schedule!$AU$116:$AZ$215,MATCH(Dashboard!$B75,Schedule!$A$116:$A$215,0),MATCH(Dashboard!G$32,Schedule!$AU$113:$AZ$113,0)),INDEX(Schedule!$AU$224:$AZ$323,MATCH(Dashboard!$B75,Schedule!$A$224:$A$323,0),MATCH(Dashboard!G$32,Schedule!$AU$221:$AZ$221,0)))),"")</f>
        <v/>
      </c>
      <c r="H75" s="42" t="str">
        <f>IFERROR(IF(COUNTIF(Schedule!$A$8:$A$107,Dashboard!$B75)&gt;0,INDEX(Schedule!$AU$8:$AZ$107,MATCH(Dashboard!$B75,Schedule!$A$8:$A$107,0),MATCH(Dashboard!H$32,Schedule!$AU$5:$AZ$5,0)),IF(COUNTIF(Schedule!$A$116:$A$215,Dashboard!$B75)&gt;0,INDEX(Schedule!$AU$116:$AZ$215,MATCH(Dashboard!$B75,Schedule!$A$116:$A$215,0),MATCH(Dashboard!H$32,Schedule!$AU$113:$AZ$113,0)),INDEX(Schedule!$AU$224:$AZ$323,MATCH(Dashboard!$B75,Schedule!$A$224:$A$323,0),MATCH(Dashboard!H$32,Schedule!$AU$221:$AZ$221,0)))),"")</f>
        <v/>
      </c>
    </row>
    <row r="76" spans="2:8" ht="14.1" hidden="1" customHeight="1" x14ac:dyDescent="0.2">
      <c r="B76" s="40" t="str">
        <f>IF(Lists!B48=0,"",Lists!B48)</f>
        <v/>
      </c>
      <c r="C76" s="42" t="str">
        <f>IFERROR(IF(COUNTIF(Schedule!$A$8:$A$107,Dashboard!$B76)&gt;0,INDEX(Schedule!$AU$8:$AZ$107,MATCH(Dashboard!$B76,Schedule!$A$8:$A$107,0),MATCH(Dashboard!C$32,Schedule!$AU$5:$AZ$5,0)),IF(COUNTIF(Schedule!$A$116:$A$215,Dashboard!$B76)&gt;0,INDEX(Schedule!$AU$116:$AZ$215,MATCH(Dashboard!$B76,Schedule!$A$116:$A$215,0),MATCH(Dashboard!C$32,Schedule!$AU$113:$AZ$113,0)),INDEX(Schedule!$AU$224:$AZ$323,MATCH(Dashboard!$B76,Schedule!$A$224:$A$323,0),MATCH(Dashboard!C$32,Schedule!$AU$221:$AZ$221,0)))),"")</f>
        <v/>
      </c>
      <c r="D76" s="42" t="str">
        <f>IFERROR(IF(COUNTIF(Schedule!$A$8:$A$107,Dashboard!$B76)&gt;0,INDEX(Schedule!$AU$8:$AZ$107,MATCH(Dashboard!$B76,Schedule!$A$8:$A$107,0),MATCH(Dashboard!D$32,Schedule!$AU$5:$AZ$5,0)),IF(COUNTIF(Schedule!$A$116:$A$215,Dashboard!$B76)&gt;0,INDEX(Schedule!$AU$116:$AZ$215,MATCH(Dashboard!$B76,Schedule!$A$116:$A$215,0),MATCH(Dashboard!D$32,Schedule!$AU$113:$AZ$113,0)),INDEX(Schedule!$AU$224:$AZ$323,MATCH(Dashboard!$B76,Schedule!$A$224:$A$323,0),MATCH(Dashboard!D$32,Schedule!$AU$221:$AZ$221,0)))),"")</f>
        <v/>
      </c>
      <c r="E76" s="42" t="str">
        <f>IFERROR(IF(COUNTIF(Schedule!$A$8:$A$107,Dashboard!$B76)&gt;0,INDEX(Schedule!$AU$8:$AZ$107,MATCH(Dashboard!$B76,Schedule!$A$8:$A$107,0),MATCH(Dashboard!E$32,Schedule!$AU$5:$AZ$5,0)),IF(COUNTIF(Schedule!$A$116:$A$215,Dashboard!$B76)&gt;0,INDEX(Schedule!$AU$116:$AZ$215,MATCH(Dashboard!$B76,Schedule!$A$116:$A$215,0),MATCH(Dashboard!E$32,Schedule!$AU$113:$AZ$113,0)),INDEX(Schedule!$AU$224:$AZ$323,MATCH(Dashboard!$B76,Schedule!$A$224:$A$323,0),MATCH(Dashboard!E$32,Schedule!$AU$221:$AZ$221,0)))),"")</f>
        <v/>
      </c>
      <c r="F76" s="42" t="str">
        <f>IFERROR(IF(COUNTIF(Schedule!$A$8:$A$107,Dashboard!$B76)&gt;0,INDEX(Schedule!$AU$8:$AZ$107,MATCH(Dashboard!$B76,Schedule!$A$8:$A$107,0),MATCH(Dashboard!F$32,Schedule!$AU$5:$AZ$5,0)),IF(COUNTIF(Schedule!$A$116:$A$215,Dashboard!$B76)&gt;0,INDEX(Schedule!$AU$116:$AZ$215,MATCH(Dashboard!$B76,Schedule!$A$116:$A$215,0),MATCH(Dashboard!F$32,Schedule!$AU$113:$AZ$113,0)),INDEX(Schedule!$AU$224:$AZ$323,MATCH(Dashboard!$B76,Schedule!$A$224:$A$323,0),MATCH(Dashboard!F$32,Schedule!$AU$221:$AZ$221,0)))),"")</f>
        <v/>
      </c>
      <c r="G76" s="42" t="str">
        <f>IFERROR(IF(COUNTIF(Schedule!$A$8:$A$107,Dashboard!$B76)&gt;0,INDEX(Schedule!$AU$8:$AZ$107,MATCH(Dashboard!$B76,Schedule!$A$8:$A$107,0),MATCH(Dashboard!G$32,Schedule!$AU$5:$AZ$5,0)),IF(COUNTIF(Schedule!$A$116:$A$215,Dashboard!$B76)&gt;0,INDEX(Schedule!$AU$116:$AZ$215,MATCH(Dashboard!$B76,Schedule!$A$116:$A$215,0),MATCH(Dashboard!G$32,Schedule!$AU$113:$AZ$113,0)),INDEX(Schedule!$AU$224:$AZ$323,MATCH(Dashboard!$B76,Schedule!$A$224:$A$323,0),MATCH(Dashboard!G$32,Schedule!$AU$221:$AZ$221,0)))),"")</f>
        <v/>
      </c>
      <c r="H76" s="42" t="str">
        <f>IFERROR(IF(COUNTIF(Schedule!$A$8:$A$107,Dashboard!$B76)&gt;0,INDEX(Schedule!$AU$8:$AZ$107,MATCH(Dashboard!$B76,Schedule!$A$8:$A$107,0),MATCH(Dashboard!H$32,Schedule!$AU$5:$AZ$5,0)),IF(COUNTIF(Schedule!$A$116:$A$215,Dashboard!$B76)&gt;0,INDEX(Schedule!$AU$116:$AZ$215,MATCH(Dashboard!$B76,Schedule!$A$116:$A$215,0),MATCH(Dashboard!H$32,Schedule!$AU$113:$AZ$113,0)),INDEX(Schedule!$AU$224:$AZ$323,MATCH(Dashboard!$B76,Schedule!$A$224:$A$323,0),MATCH(Dashboard!H$32,Schedule!$AU$221:$AZ$221,0)))),"")</f>
        <v/>
      </c>
    </row>
    <row r="77" spans="2:8" ht="14.1" hidden="1" customHeight="1" x14ac:dyDescent="0.2">
      <c r="B77" s="40" t="str">
        <f>IF(Lists!B49=0,"",Lists!B49)</f>
        <v/>
      </c>
      <c r="C77" s="42" t="str">
        <f>IFERROR(IF(COUNTIF(Schedule!$A$8:$A$107,Dashboard!$B77)&gt;0,INDEX(Schedule!$AU$8:$AZ$107,MATCH(Dashboard!$B77,Schedule!$A$8:$A$107,0),MATCH(Dashboard!C$32,Schedule!$AU$5:$AZ$5,0)),IF(COUNTIF(Schedule!$A$116:$A$215,Dashboard!$B77)&gt;0,INDEX(Schedule!$AU$116:$AZ$215,MATCH(Dashboard!$B77,Schedule!$A$116:$A$215,0),MATCH(Dashboard!C$32,Schedule!$AU$113:$AZ$113,0)),INDEX(Schedule!$AU$224:$AZ$323,MATCH(Dashboard!$B77,Schedule!$A$224:$A$323,0),MATCH(Dashboard!C$32,Schedule!$AU$221:$AZ$221,0)))),"")</f>
        <v/>
      </c>
      <c r="D77" s="42" t="str">
        <f>IFERROR(IF(COUNTIF(Schedule!$A$8:$A$107,Dashboard!$B77)&gt;0,INDEX(Schedule!$AU$8:$AZ$107,MATCH(Dashboard!$B77,Schedule!$A$8:$A$107,0),MATCH(Dashboard!D$32,Schedule!$AU$5:$AZ$5,0)),IF(COUNTIF(Schedule!$A$116:$A$215,Dashboard!$B77)&gt;0,INDEX(Schedule!$AU$116:$AZ$215,MATCH(Dashboard!$B77,Schedule!$A$116:$A$215,0),MATCH(Dashboard!D$32,Schedule!$AU$113:$AZ$113,0)),INDEX(Schedule!$AU$224:$AZ$323,MATCH(Dashboard!$B77,Schedule!$A$224:$A$323,0),MATCH(Dashboard!D$32,Schedule!$AU$221:$AZ$221,0)))),"")</f>
        <v/>
      </c>
      <c r="E77" s="42" t="str">
        <f>IFERROR(IF(COUNTIF(Schedule!$A$8:$A$107,Dashboard!$B77)&gt;0,INDEX(Schedule!$AU$8:$AZ$107,MATCH(Dashboard!$B77,Schedule!$A$8:$A$107,0),MATCH(Dashboard!E$32,Schedule!$AU$5:$AZ$5,0)),IF(COUNTIF(Schedule!$A$116:$A$215,Dashboard!$B77)&gt;0,INDEX(Schedule!$AU$116:$AZ$215,MATCH(Dashboard!$B77,Schedule!$A$116:$A$215,0),MATCH(Dashboard!E$32,Schedule!$AU$113:$AZ$113,0)),INDEX(Schedule!$AU$224:$AZ$323,MATCH(Dashboard!$B77,Schedule!$A$224:$A$323,0),MATCH(Dashboard!E$32,Schedule!$AU$221:$AZ$221,0)))),"")</f>
        <v/>
      </c>
      <c r="F77" s="42" t="str">
        <f>IFERROR(IF(COUNTIF(Schedule!$A$8:$A$107,Dashboard!$B77)&gt;0,INDEX(Schedule!$AU$8:$AZ$107,MATCH(Dashboard!$B77,Schedule!$A$8:$A$107,0),MATCH(Dashboard!F$32,Schedule!$AU$5:$AZ$5,0)),IF(COUNTIF(Schedule!$A$116:$A$215,Dashboard!$B77)&gt;0,INDEX(Schedule!$AU$116:$AZ$215,MATCH(Dashboard!$B77,Schedule!$A$116:$A$215,0),MATCH(Dashboard!F$32,Schedule!$AU$113:$AZ$113,0)),INDEX(Schedule!$AU$224:$AZ$323,MATCH(Dashboard!$B77,Schedule!$A$224:$A$323,0),MATCH(Dashboard!F$32,Schedule!$AU$221:$AZ$221,0)))),"")</f>
        <v/>
      </c>
      <c r="G77" s="42" t="str">
        <f>IFERROR(IF(COUNTIF(Schedule!$A$8:$A$107,Dashboard!$B77)&gt;0,INDEX(Schedule!$AU$8:$AZ$107,MATCH(Dashboard!$B77,Schedule!$A$8:$A$107,0),MATCH(Dashboard!G$32,Schedule!$AU$5:$AZ$5,0)),IF(COUNTIF(Schedule!$A$116:$A$215,Dashboard!$B77)&gt;0,INDEX(Schedule!$AU$116:$AZ$215,MATCH(Dashboard!$B77,Schedule!$A$116:$A$215,0),MATCH(Dashboard!G$32,Schedule!$AU$113:$AZ$113,0)),INDEX(Schedule!$AU$224:$AZ$323,MATCH(Dashboard!$B77,Schedule!$A$224:$A$323,0),MATCH(Dashboard!G$32,Schedule!$AU$221:$AZ$221,0)))),"")</f>
        <v/>
      </c>
      <c r="H77" s="42" t="str">
        <f>IFERROR(IF(COUNTIF(Schedule!$A$8:$A$107,Dashboard!$B77)&gt;0,INDEX(Schedule!$AU$8:$AZ$107,MATCH(Dashboard!$B77,Schedule!$A$8:$A$107,0),MATCH(Dashboard!H$32,Schedule!$AU$5:$AZ$5,0)),IF(COUNTIF(Schedule!$A$116:$A$215,Dashboard!$B77)&gt;0,INDEX(Schedule!$AU$116:$AZ$215,MATCH(Dashboard!$B77,Schedule!$A$116:$A$215,0),MATCH(Dashboard!H$32,Schedule!$AU$113:$AZ$113,0)),INDEX(Schedule!$AU$224:$AZ$323,MATCH(Dashboard!$B77,Schedule!$A$224:$A$323,0),MATCH(Dashboard!H$32,Schedule!$AU$221:$AZ$221,0)))),"")</f>
        <v/>
      </c>
    </row>
    <row r="78" spans="2:8" ht="14.1" hidden="1" customHeight="1" x14ac:dyDescent="0.2">
      <c r="B78" s="40" t="str">
        <f>IF(Lists!B50=0,"",Lists!B50)</f>
        <v/>
      </c>
      <c r="C78" s="42" t="str">
        <f>IFERROR(IF(COUNTIF(Schedule!$A$8:$A$107,Dashboard!$B78)&gt;0,INDEX(Schedule!$AU$8:$AZ$107,MATCH(Dashboard!$B78,Schedule!$A$8:$A$107,0),MATCH(Dashboard!C$32,Schedule!$AU$5:$AZ$5,0)),IF(COUNTIF(Schedule!$A$116:$A$215,Dashboard!$B78)&gt;0,INDEX(Schedule!$AU$116:$AZ$215,MATCH(Dashboard!$B78,Schedule!$A$116:$A$215,0),MATCH(Dashboard!C$32,Schedule!$AU$113:$AZ$113,0)),INDEX(Schedule!$AU$224:$AZ$323,MATCH(Dashboard!$B78,Schedule!$A$224:$A$323,0),MATCH(Dashboard!C$32,Schedule!$AU$221:$AZ$221,0)))),"")</f>
        <v/>
      </c>
      <c r="D78" s="42" t="str">
        <f>IFERROR(IF(COUNTIF(Schedule!$A$8:$A$107,Dashboard!$B78)&gt;0,INDEX(Schedule!$AU$8:$AZ$107,MATCH(Dashboard!$B78,Schedule!$A$8:$A$107,0),MATCH(Dashboard!D$32,Schedule!$AU$5:$AZ$5,0)),IF(COUNTIF(Schedule!$A$116:$A$215,Dashboard!$B78)&gt;0,INDEX(Schedule!$AU$116:$AZ$215,MATCH(Dashboard!$B78,Schedule!$A$116:$A$215,0),MATCH(Dashboard!D$32,Schedule!$AU$113:$AZ$113,0)),INDEX(Schedule!$AU$224:$AZ$323,MATCH(Dashboard!$B78,Schedule!$A$224:$A$323,0),MATCH(Dashboard!D$32,Schedule!$AU$221:$AZ$221,0)))),"")</f>
        <v/>
      </c>
      <c r="E78" s="42" t="str">
        <f>IFERROR(IF(COUNTIF(Schedule!$A$8:$A$107,Dashboard!$B78)&gt;0,INDEX(Schedule!$AU$8:$AZ$107,MATCH(Dashboard!$B78,Schedule!$A$8:$A$107,0),MATCH(Dashboard!E$32,Schedule!$AU$5:$AZ$5,0)),IF(COUNTIF(Schedule!$A$116:$A$215,Dashboard!$B78)&gt;0,INDEX(Schedule!$AU$116:$AZ$215,MATCH(Dashboard!$B78,Schedule!$A$116:$A$215,0),MATCH(Dashboard!E$32,Schedule!$AU$113:$AZ$113,0)),INDEX(Schedule!$AU$224:$AZ$323,MATCH(Dashboard!$B78,Schedule!$A$224:$A$323,0),MATCH(Dashboard!E$32,Schedule!$AU$221:$AZ$221,0)))),"")</f>
        <v/>
      </c>
      <c r="F78" s="42" t="str">
        <f>IFERROR(IF(COUNTIF(Schedule!$A$8:$A$107,Dashboard!$B78)&gt;0,INDEX(Schedule!$AU$8:$AZ$107,MATCH(Dashboard!$B78,Schedule!$A$8:$A$107,0),MATCH(Dashboard!F$32,Schedule!$AU$5:$AZ$5,0)),IF(COUNTIF(Schedule!$A$116:$A$215,Dashboard!$B78)&gt;0,INDEX(Schedule!$AU$116:$AZ$215,MATCH(Dashboard!$B78,Schedule!$A$116:$A$215,0),MATCH(Dashboard!F$32,Schedule!$AU$113:$AZ$113,0)),INDEX(Schedule!$AU$224:$AZ$323,MATCH(Dashboard!$B78,Schedule!$A$224:$A$323,0),MATCH(Dashboard!F$32,Schedule!$AU$221:$AZ$221,0)))),"")</f>
        <v/>
      </c>
      <c r="G78" s="42" t="str">
        <f>IFERROR(IF(COUNTIF(Schedule!$A$8:$A$107,Dashboard!$B78)&gt;0,INDEX(Schedule!$AU$8:$AZ$107,MATCH(Dashboard!$B78,Schedule!$A$8:$A$107,0),MATCH(Dashboard!G$32,Schedule!$AU$5:$AZ$5,0)),IF(COUNTIF(Schedule!$A$116:$A$215,Dashboard!$B78)&gt;0,INDEX(Schedule!$AU$116:$AZ$215,MATCH(Dashboard!$B78,Schedule!$A$116:$A$215,0),MATCH(Dashboard!G$32,Schedule!$AU$113:$AZ$113,0)),INDEX(Schedule!$AU$224:$AZ$323,MATCH(Dashboard!$B78,Schedule!$A$224:$A$323,0),MATCH(Dashboard!G$32,Schedule!$AU$221:$AZ$221,0)))),"")</f>
        <v/>
      </c>
      <c r="H78" s="42" t="str">
        <f>IFERROR(IF(COUNTIF(Schedule!$A$8:$A$107,Dashboard!$B78)&gt;0,INDEX(Schedule!$AU$8:$AZ$107,MATCH(Dashboard!$B78,Schedule!$A$8:$A$107,0),MATCH(Dashboard!H$32,Schedule!$AU$5:$AZ$5,0)),IF(COUNTIF(Schedule!$A$116:$A$215,Dashboard!$B78)&gt;0,INDEX(Schedule!$AU$116:$AZ$215,MATCH(Dashboard!$B78,Schedule!$A$116:$A$215,0),MATCH(Dashboard!H$32,Schedule!$AU$113:$AZ$113,0)),INDEX(Schedule!$AU$224:$AZ$323,MATCH(Dashboard!$B78,Schedule!$A$224:$A$323,0),MATCH(Dashboard!H$32,Schedule!$AU$221:$AZ$221,0)))),"")</f>
        <v/>
      </c>
    </row>
    <row r="79" spans="2:8" ht="14.1" hidden="1" customHeight="1" x14ac:dyDescent="0.2">
      <c r="B79" s="40" t="str">
        <f>IF(Lists!B51=0,"",Lists!B51)</f>
        <v/>
      </c>
      <c r="C79" s="42" t="str">
        <f>IFERROR(IF(COUNTIF(Schedule!$A$8:$A$107,Dashboard!$B79)&gt;0,INDEX(Schedule!$AU$8:$AZ$107,MATCH(Dashboard!$B79,Schedule!$A$8:$A$107,0),MATCH(Dashboard!C$32,Schedule!$AU$5:$AZ$5,0)),IF(COUNTIF(Schedule!$A$116:$A$215,Dashboard!$B79)&gt;0,INDEX(Schedule!$AU$116:$AZ$215,MATCH(Dashboard!$B79,Schedule!$A$116:$A$215,0),MATCH(Dashboard!C$32,Schedule!$AU$113:$AZ$113,0)),INDEX(Schedule!$AU$224:$AZ$323,MATCH(Dashboard!$B79,Schedule!$A$224:$A$323,0),MATCH(Dashboard!C$32,Schedule!$AU$221:$AZ$221,0)))),"")</f>
        <v/>
      </c>
      <c r="D79" s="42" t="str">
        <f>IFERROR(IF(COUNTIF(Schedule!$A$8:$A$107,Dashboard!$B79)&gt;0,INDEX(Schedule!$AU$8:$AZ$107,MATCH(Dashboard!$B79,Schedule!$A$8:$A$107,0),MATCH(Dashboard!D$32,Schedule!$AU$5:$AZ$5,0)),IF(COUNTIF(Schedule!$A$116:$A$215,Dashboard!$B79)&gt;0,INDEX(Schedule!$AU$116:$AZ$215,MATCH(Dashboard!$B79,Schedule!$A$116:$A$215,0),MATCH(Dashboard!D$32,Schedule!$AU$113:$AZ$113,0)),INDEX(Schedule!$AU$224:$AZ$323,MATCH(Dashboard!$B79,Schedule!$A$224:$A$323,0),MATCH(Dashboard!D$32,Schedule!$AU$221:$AZ$221,0)))),"")</f>
        <v/>
      </c>
      <c r="E79" s="42" t="str">
        <f>IFERROR(IF(COUNTIF(Schedule!$A$8:$A$107,Dashboard!$B79)&gt;0,INDEX(Schedule!$AU$8:$AZ$107,MATCH(Dashboard!$B79,Schedule!$A$8:$A$107,0),MATCH(Dashboard!E$32,Schedule!$AU$5:$AZ$5,0)),IF(COUNTIF(Schedule!$A$116:$A$215,Dashboard!$B79)&gt;0,INDEX(Schedule!$AU$116:$AZ$215,MATCH(Dashboard!$B79,Schedule!$A$116:$A$215,0),MATCH(Dashboard!E$32,Schedule!$AU$113:$AZ$113,0)),INDEX(Schedule!$AU$224:$AZ$323,MATCH(Dashboard!$B79,Schedule!$A$224:$A$323,0),MATCH(Dashboard!E$32,Schedule!$AU$221:$AZ$221,0)))),"")</f>
        <v/>
      </c>
      <c r="F79" s="42" t="str">
        <f>IFERROR(IF(COUNTIF(Schedule!$A$8:$A$107,Dashboard!$B79)&gt;0,INDEX(Schedule!$AU$8:$AZ$107,MATCH(Dashboard!$B79,Schedule!$A$8:$A$107,0),MATCH(Dashboard!F$32,Schedule!$AU$5:$AZ$5,0)),IF(COUNTIF(Schedule!$A$116:$A$215,Dashboard!$B79)&gt;0,INDEX(Schedule!$AU$116:$AZ$215,MATCH(Dashboard!$B79,Schedule!$A$116:$A$215,0),MATCH(Dashboard!F$32,Schedule!$AU$113:$AZ$113,0)),INDEX(Schedule!$AU$224:$AZ$323,MATCH(Dashboard!$B79,Schedule!$A$224:$A$323,0),MATCH(Dashboard!F$32,Schedule!$AU$221:$AZ$221,0)))),"")</f>
        <v/>
      </c>
      <c r="G79" s="42" t="str">
        <f>IFERROR(IF(COUNTIF(Schedule!$A$8:$A$107,Dashboard!$B79)&gt;0,INDEX(Schedule!$AU$8:$AZ$107,MATCH(Dashboard!$B79,Schedule!$A$8:$A$107,0),MATCH(Dashboard!G$32,Schedule!$AU$5:$AZ$5,0)),IF(COUNTIF(Schedule!$A$116:$A$215,Dashboard!$B79)&gt;0,INDEX(Schedule!$AU$116:$AZ$215,MATCH(Dashboard!$B79,Schedule!$A$116:$A$215,0),MATCH(Dashboard!G$32,Schedule!$AU$113:$AZ$113,0)),INDEX(Schedule!$AU$224:$AZ$323,MATCH(Dashboard!$B79,Schedule!$A$224:$A$323,0),MATCH(Dashboard!G$32,Schedule!$AU$221:$AZ$221,0)))),"")</f>
        <v/>
      </c>
      <c r="H79" s="42" t="str">
        <f>IFERROR(IF(COUNTIF(Schedule!$A$8:$A$107,Dashboard!$B79)&gt;0,INDEX(Schedule!$AU$8:$AZ$107,MATCH(Dashboard!$B79,Schedule!$A$8:$A$107,0),MATCH(Dashboard!H$32,Schedule!$AU$5:$AZ$5,0)),IF(COUNTIF(Schedule!$A$116:$A$215,Dashboard!$B79)&gt;0,INDEX(Schedule!$AU$116:$AZ$215,MATCH(Dashboard!$B79,Schedule!$A$116:$A$215,0),MATCH(Dashboard!H$32,Schedule!$AU$113:$AZ$113,0)),INDEX(Schedule!$AU$224:$AZ$323,MATCH(Dashboard!$B79,Schedule!$A$224:$A$323,0),MATCH(Dashboard!H$32,Schedule!$AU$221:$AZ$221,0)))),"")</f>
        <v/>
      </c>
    </row>
    <row r="80" spans="2:8" ht="14.1" hidden="1" customHeight="1" x14ac:dyDescent="0.2">
      <c r="B80" s="40" t="str">
        <f>IF(Lists!B52=0,"",Lists!B52)</f>
        <v/>
      </c>
      <c r="C80" s="42" t="str">
        <f>IFERROR(IF(COUNTIF(Schedule!$A$8:$A$107,Dashboard!$B80)&gt;0,INDEX(Schedule!$AU$8:$AZ$107,MATCH(Dashboard!$B80,Schedule!$A$8:$A$107,0),MATCH(Dashboard!C$32,Schedule!$AU$5:$AZ$5,0)),IF(COUNTIF(Schedule!$A$116:$A$215,Dashboard!$B80)&gt;0,INDEX(Schedule!$AU$116:$AZ$215,MATCH(Dashboard!$B80,Schedule!$A$116:$A$215,0),MATCH(Dashboard!C$32,Schedule!$AU$113:$AZ$113,0)),INDEX(Schedule!$AU$224:$AZ$323,MATCH(Dashboard!$B80,Schedule!$A$224:$A$323,0),MATCH(Dashboard!C$32,Schedule!$AU$221:$AZ$221,0)))),"")</f>
        <v/>
      </c>
      <c r="D80" s="42" t="str">
        <f>IFERROR(IF(COUNTIF(Schedule!$A$8:$A$107,Dashboard!$B80)&gt;0,INDEX(Schedule!$AU$8:$AZ$107,MATCH(Dashboard!$B80,Schedule!$A$8:$A$107,0),MATCH(Dashboard!D$32,Schedule!$AU$5:$AZ$5,0)),IF(COUNTIF(Schedule!$A$116:$A$215,Dashboard!$B80)&gt;0,INDEX(Schedule!$AU$116:$AZ$215,MATCH(Dashboard!$B80,Schedule!$A$116:$A$215,0),MATCH(Dashboard!D$32,Schedule!$AU$113:$AZ$113,0)),INDEX(Schedule!$AU$224:$AZ$323,MATCH(Dashboard!$B80,Schedule!$A$224:$A$323,0),MATCH(Dashboard!D$32,Schedule!$AU$221:$AZ$221,0)))),"")</f>
        <v/>
      </c>
      <c r="E80" s="42" t="str">
        <f>IFERROR(IF(COUNTIF(Schedule!$A$8:$A$107,Dashboard!$B80)&gt;0,INDEX(Schedule!$AU$8:$AZ$107,MATCH(Dashboard!$B80,Schedule!$A$8:$A$107,0),MATCH(Dashboard!E$32,Schedule!$AU$5:$AZ$5,0)),IF(COUNTIF(Schedule!$A$116:$A$215,Dashboard!$B80)&gt;0,INDEX(Schedule!$AU$116:$AZ$215,MATCH(Dashboard!$B80,Schedule!$A$116:$A$215,0),MATCH(Dashboard!E$32,Schedule!$AU$113:$AZ$113,0)),INDEX(Schedule!$AU$224:$AZ$323,MATCH(Dashboard!$B80,Schedule!$A$224:$A$323,0),MATCH(Dashboard!E$32,Schedule!$AU$221:$AZ$221,0)))),"")</f>
        <v/>
      </c>
      <c r="F80" s="42" t="str">
        <f>IFERROR(IF(COUNTIF(Schedule!$A$8:$A$107,Dashboard!$B80)&gt;0,INDEX(Schedule!$AU$8:$AZ$107,MATCH(Dashboard!$B80,Schedule!$A$8:$A$107,0),MATCH(Dashboard!F$32,Schedule!$AU$5:$AZ$5,0)),IF(COUNTIF(Schedule!$A$116:$A$215,Dashboard!$B80)&gt;0,INDEX(Schedule!$AU$116:$AZ$215,MATCH(Dashboard!$B80,Schedule!$A$116:$A$215,0),MATCH(Dashboard!F$32,Schedule!$AU$113:$AZ$113,0)),INDEX(Schedule!$AU$224:$AZ$323,MATCH(Dashboard!$B80,Schedule!$A$224:$A$323,0),MATCH(Dashboard!F$32,Schedule!$AU$221:$AZ$221,0)))),"")</f>
        <v/>
      </c>
      <c r="G80" s="42" t="str">
        <f>IFERROR(IF(COUNTIF(Schedule!$A$8:$A$107,Dashboard!$B80)&gt;0,INDEX(Schedule!$AU$8:$AZ$107,MATCH(Dashboard!$B80,Schedule!$A$8:$A$107,0),MATCH(Dashboard!G$32,Schedule!$AU$5:$AZ$5,0)),IF(COUNTIF(Schedule!$A$116:$A$215,Dashboard!$B80)&gt;0,INDEX(Schedule!$AU$116:$AZ$215,MATCH(Dashboard!$B80,Schedule!$A$116:$A$215,0),MATCH(Dashboard!G$32,Schedule!$AU$113:$AZ$113,0)),INDEX(Schedule!$AU$224:$AZ$323,MATCH(Dashboard!$B80,Schedule!$A$224:$A$323,0),MATCH(Dashboard!G$32,Schedule!$AU$221:$AZ$221,0)))),"")</f>
        <v/>
      </c>
      <c r="H80" s="42" t="str">
        <f>IFERROR(IF(COUNTIF(Schedule!$A$8:$A$107,Dashboard!$B80)&gt;0,INDEX(Schedule!$AU$8:$AZ$107,MATCH(Dashboard!$B80,Schedule!$A$8:$A$107,0),MATCH(Dashboard!H$32,Schedule!$AU$5:$AZ$5,0)),IF(COUNTIF(Schedule!$A$116:$A$215,Dashboard!$B80)&gt;0,INDEX(Schedule!$AU$116:$AZ$215,MATCH(Dashboard!$B80,Schedule!$A$116:$A$215,0),MATCH(Dashboard!H$32,Schedule!$AU$113:$AZ$113,0)),INDEX(Schedule!$AU$224:$AZ$323,MATCH(Dashboard!$B80,Schedule!$A$224:$A$323,0),MATCH(Dashboard!H$32,Schedule!$AU$221:$AZ$221,0)))),"")</f>
        <v/>
      </c>
    </row>
    <row r="81" spans="2:8" ht="14.1" hidden="1" customHeight="1" x14ac:dyDescent="0.2">
      <c r="B81" s="40" t="str">
        <f>IF(Lists!B53=0,"",Lists!B53)</f>
        <v/>
      </c>
      <c r="C81" s="42" t="str">
        <f>IFERROR(IF(COUNTIF(Schedule!$A$8:$A$107,Dashboard!$B81)&gt;0,INDEX(Schedule!$AU$8:$AZ$107,MATCH(Dashboard!$B81,Schedule!$A$8:$A$107,0),MATCH(Dashboard!C$32,Schedule!$AU$5:$AZ$5,0)),IF(COUNTIF(Schedule!$A$116:$A$215,Dashboard!$B81)&gt;0,INDEX(Schedule!$AU$116:$AZ$215,MATCH(Dashboard!$B81,Schedule!$A$116:$A$215,0),MATCH(Dashboard!C$32,Schedule!$AU$113:$AZ$113,0)),INDEX(Schedule!$AU$224:$AZ$323,MATCH(Dashboard!$B81,Schedule!$A$224:$A$323,0),MATCH(Dashboard!C$32,Schedule!$AU$221:$AZ$221,0)))),"")</f>
        <v/>
      </c>
      <c r="D81" s="42" t="str">
        <f>IFERROR(IF(COUNTIF(Schedule!$A$8:$A$107,Dashboard!$B81)&gt;0,INDEX(Schedule!$AU$8:$AZ$107,MATCH(Dashboard!$B81,Schedule!$A$8:$A$107,0),MATCH(Dashboard!D$32,Schedule!$AU$5:$AZ$5,0)),IF(COUNTIF(Schedule!$A$116:$A$215,Dashboard!$B81)&gt;0,INDEX(Schedule!$AU$116:$AZ$215,MATCH(Dashboard!$B81,Schedule!$A$116:$A$215,0),MATCH(Dashboard!D$32,Schedule!$AU$113:$AZ$113,0)),INDEX(Schedule!$AU$224:$AZ$323,MATCH(Dashboard!$B81,Schedule!$A$224:$A$323,0),MATCH(Dashboard!D$32,Schedule!$AU$221:$AZ$221,0)))),"")</f>
        <v/>
      </c>
      <c r="E81" s="42" t="str">
        <f>IFERROR(IF(COUNTIF(Schedule!$A$8:$A$107,Dashboard!$B81)&gt;0,INDEX(Schedule!$AU$8:$AZ$107,MATCH(Dashboard!$B81,Schedule!$A$8:$A$107,0),MATCH(Dashboard!E$32,Schedule!$AU$5:$AZ$5,0)),IF(COUNTIF(Schedule!$A$116:$A$215,Dashboard!$B81)&gt;0,INDEX(Schedule!$AU$116:$AZ$215,MATCH(Dashboard!$B81,Schedule!$A$116:$A$215,0),MATCH(Dashboard!E$32,Schedule!$AU$113:$AZ$113,0)),INDEX(Schedule!$AU$224:$AZ$323,MATCH(Dashboard!$B81,Schedule!$A$224:$A$323,0),MATCH(Dashboard!E$32,Schedule!$AU$221:$AZ$221,0)))),"")</f>
        <v/>
      </c>
      <c r="F81" s="42" t="str">
        <f>IFERROR(IF(COUNTIF(Schedule!$A$8:$A$107,Dashboard!$B81)&gt;0,INDEX(Schedule!$AU$8:$AZ$107,MATCH(Dashboard!$B81,Schedule!$A$8:$A$107,0),MATCH(Dashboard!F$32,Schedule!$AU$5:$AZ$5,0)),IF(COUNTIF(Schedule!$A$116:$A$215,Dashboard!$B81)&gt;0,INDEX(Schedule!$AU$116:$AZ$215,MATCH(Dashboard!$B81,Schedule!$A$116:$A$215,0),MATCH(Dashboard!F$32,Schedule!$AU$113:$AZ$113,0)),INDEX(Schedule!$AU$224:$AZ$323,MATCH(Dashboard!$B81,Schedule!$A$224:$A$323,0),MATCH(Dashboard!F$32,Schedule!$AU$221:$AZ$221,0)))),"")</f>
        <v/>
      </c>
      <c r="G81" s="42" t="str">
        <f>IFERROR(IF(COUNTIF(Schedule!$A$8:$A$107,Dashboard!$B81)&gt;0,INDEX(Schedule!$AU$8:$AZ$107,MATCH(Dashboard!$B81,Schedule!$A$8:$A$107,0),MATCH(Dashboard!G$32,Schedule!$AU$5:$AZ$5,0)),IF(COUNTIF(Schedule!$A$116:$A$215,Dashboard!$B81)&gt;0,INDEX(Schedule!$AU$116:$AZ$215,MATCH(Dashboard!$B81,Schedule!$A$116:$A$215,0),MATCH(Dashboard!G$32,Schedule!$AU$113:$AZ$113,0)),INDEX(Schedule!$AU$224:$AZ$323,MATCH(Dashboard!$B81,Schedule!$A$224:$A$323,0),MATCH(Dashboard!G$32,Schedule!$AU$221:$AZ$221,0)))),"")</f>
        <v/>
      </c>
      <c r="H81" s="42" t="str">
        <f>IFERROR(IF(COUNTIF(Schedule!$A$8:$A$107,Dashboard!$B81)&gt;0,INDEX(Schedule!$AU$8:$AZ$107,MATCH(Dashboard!$B81,Schedule!$A$8:$A$107,0),MATCH(Dashboard!H$32,Schedule!$AU$5:$AZ$5,0)),IF(COUNTIF(Schedule!$A$116:$A$215,Dashboard!$B81)&gt;0,INDEX(Schedule!$AU$116:$AZ$215,MATCH(Dashboard!$B81,Schedule!$A$116:$A$215,0),MATCH(Dashboard!H$32,Schedule!$AU$113:$AZ$113,0)),INDEX(Schedule!$AU$224:$AZ$323,MATCH(Dashboard!$B81,Schedule!$A$224:$A$323,0),MATCH(Dashboard!H$32,Schedule!$AU$221:$AZ$221,0)))),"")</f>
        <v/>
      </c>
    </row>
    <row r="82" spans="2:8" ht="14.1" hidden="1" customHeight="1" x14ac:dyDescent="0.2">
      <c r="B82" s="40" t="str">
        <f>IF(Lists!B54=0,"",Lists!B54)</f>
        <v/>
      </c>
      <c r="C82" s="42" t="str">
        <f>IFERROR(IF(COUNTIF(Schedule!$A$8:$A$107,Dashboard!$B82)&gt;0,INDEX(Schedule!$AU$8:$AZ$107,MATCH(Dashboard!$B82,Schedule!$A$8:$A$107,0),MATCH(Dashboard!C$32,Schedule!$AU$5:$AZ$5,0)),IF(COUNTIF(Schedule!$A$116:$A$215,Dashboard!$B82)&gt;0,INDEX(Schedule!$AU$116:$AZ$215,MATCH(Dashboard!$B82,Schedule!$A$116:$A$215,0),MATCH(Dashboard!C$32,Schedule!$AU$113:$AZ$113,0)),INDEX(Schedule!$AU$224:$AZ$323,MATCH(Dashboard!$B82,Schedule!$A$224:$A$323,0),MATCH(Dashboard!C$32,Schedule!$AU$221:$AZ$221,0)))),"")</f>
        <v/>
      </c>
      <c r="D82" s="42" t="str">
        <f>IFERROR(IF(COUNTIF(Schedule!$A$8:$A$107,Dashboard!$B82)&gt;0,INDEX(Schedule!$AU$8:$AZ$107,MATCH(Dashboard!$B82,Schedule!$A$8:$A$107,0),MATCH(Dashboard!D$32,Schedule!$AU$5:$AZ$5,0)),IF(COUNTIF(Schedule!$A$116:$A$215,Dashboard!$B82)&gt;0,INDEX(Schedule!$AU$116:$AZ$215,MATCH(Dashboard!$B82,Schedule!$A$116:$A$215,0),MATCH(Dashboard!D$32,Schedule!$AU$113:$AZ$113,0)),INDEX(Schedule!$AU$224:$AZ$323,MATCH(Dashboard!$B82,Schedule!$A$224:$A$323,0),MATCH(Dashboard!D$32,Schedule!$AU$221:$AZ$221,0)))),"")</f>
        <v/>
      </c>
      <c r="E82" s="42" t="str">
        <f>IFERROR(IF(COUNTIF(Schedule!$A$8:$A$107,Dashboard!$B82)&gt;0,INDEX(Schedule!$AU$8:$AZ$107,MATCH(Dashboard!$B82,Schedule!$A$8:$A$107,0),MATCH(Dashboard!E$32,Schedule!$AU$5:$AZ$5,0)),IF(COUNTIF(Schedule!$A$116:$A$215,Dashboard!$B82)&gt;0,INDEX(Schedule!$AU$116:$AZ$215,MATCH(Dashboard!$B82,Schedule!$A$116:$A$215,0),MATCH(Dashboard!E$32,Schedule!$AU$113:$AZ$113,0)),INDEX(Schedule!$AU$224:$AZ$323,MATCH(Dashboard!$B82,Schedule!$A$224:$A$323,0),MATCH(Dashboard!E$32,Schedule!$AU$221:$AZ$221,0)))),"")</f>
        <v/>
      </c>
      <c r="F82" s="42" t="str">
        <f>IFERROR(IF(COUNTIF(Schedule!$A$8:$A$107,Dashboard!$B82)&gt;0,INDEX(Schedule!$AU$8:$AZ$107,MATCH(Dashboard!$B82,Schedule!$A$8:$A$107,0),MATCH(Dashboard!F$32,Schedule!$AU$5:$AZ$5,0)),IF(COUNTIF(Schedule!$A$116:$A$215,Dashboard!$B82)&gt;0,INDEX(Schedule!$AU$116:$AZ$215,MATCH(Dashboard!$B82,Schedule!$A$116:$A$215,0),MATCH(Dashboard!F$32,Schedule!$AU$113:$AZ$113,0)),INDEX(Schedule!$AU$224:$AZ$323,MATCH(Dashboard!$B82,Schedule!$A$224:$A$323,0),MATCH(Dashboard!F$32,Schedule!$AU$221:$AZ$221,0)))),"")</f>
        <v/>
      </c>
      <c r="G82" s="42" t="str">
        <f>IFERROR(IF(COUNTIF(Schedule!$A$8:$A$107,Dashboard!$B82)&gt;0,INDEX(Schedule!$AU$8:$AZ$107,MATCH(Dashboard!$B82,Schedule!$A$8:$A$107,0),MATCH(Dashboard!G$32,Schedule!$AU$5:$AZ$5,0)),IF(COUNTIF(Schedule!$A$116:$A$215,Dashboard!$B82)&gt;0,INDEX(Schedule!$AU$116:$AZ$215,MATCH(Dashboard!$B82,Schedule!$A$116:$A$215,0),MATCH(Dashboard!G$32,Schedule!$AU$113:$AZ$113,0)),INDEX(Schedule!$AU$224:$AZ$323,MATCH(Dashboard!$B82,Schedule!$A$224:$A$323,0),MATCH(Dashboard!G$32,Schedule!$AU$221:$AZ$221,0)))),"")</f>
        <v/>
      </c>
      <c r="H82" s="42" t="str">
        <f>IFERROR(IF(COUNTIF(Schedule!$A$8:$A$107,Dashboard!$B82)&gt;0,INDEX(Schedule!$AU$8:$AZ$107,MATCH(Dashboard!$B82,Schedule!$A$8:$A$107,0),MATCH(Dashboard!H$32,Schedule!$AU$5:$AZ$5,0)),IF(COUNTIF(Schedule!$A$116:$A$215,Dashboard!$B82)&gt;0,INDEX(Schedule!$AU$116:$AZ$215,MATCH(Dashboard!$B82,Schedule!$A$116:$A$215,0),MATCH(Dashboard!H$32,Schedule!$AU$113:$AZ$113,0)),INDEX(Schedule!$AU$224:$AZ$323,MATCH(Dashboard!$B82,Schedule!$A$224:$A$323,0),MATCH(Dashboard!H$32,Schedule!$AU$221:$AZ$221,0)))),"")</f>
        <v/>
      </c>
    </row>
    <row r="83" spans="2:8" ht="14.1" hidden="1" customHeight="1" x14ac:dyDescent="0.2">
      <c r="B83" s="40" t="str">
        <f>IF(Lists!B55=0,"",Lists!B55)</f>
        <v/>
      </c>
      <c r="C83" s="42" t="str">
        <f>IFERROR(IF(COUNTIF(Schedule!$A$8:$A$107,Dashboard!$B83)&gt;0,INDEX(Schedule!$AU$8:$AZ$107,MATCH(Dashboard!$B83,Schedule!$A$8:$A$107,0),MATCH(Dashboard!C$32,Schedule!$AU$5:$AZ$5,0)),IF(COUNTIF(Schedule!$A$116:$A$215,Dashboard!$B83)&gt;0,INDEX(Schedule!$AU$116:$AZ$215,MATCH(Dashboard!$B83,Schedule!$A$116:$A$215,0),MATCH(Dashboard!C$32,Schedule!$AU$113:$AZ$113,0)),INDEX(Schedule!$AU$224:$AZ$323,MATCH(Dashboard!$B83,Schedule!$A$224:$A$323,0),MATCH(Dashboard!C$32,Schedule!$AU$221:$AZ$221,0)))),"")</f>
        <v/>
      </c>
      <c r="D83" s="42" t="str">
        <f>IFERROR(IF(COUNTIF(Schedule!$A$8:$A$107,Dashboard!$B83)&gt;0,INDEX(Schedule!$AU$8:$AZ$107,MATCH(Dashboard!$B83,Schedule!$A$8:$A$107,0),MATCH(Dashboard!D$32,Schedule!$AU$5:$AZ$5,0)),IF(COUNTIF(Schedule!$A$116:$A$215,Dashboard!$B83)&gt;0,INDEX(Schedule!$AU$116:$AZ$215,MATCH(Dashboard!$B83,Schedule!$A$116:$A$215,0),MATCH(Dashboard!D$32,Schedule!$AU$113:$AZ$113,0)),INDEX(Schedule!$AU$224:$AZ$323,MATCH(Dashboard!$B83,Schedule!$A$224:$A$323,0),MATCH(Dashboard!D$32,Schedule!$AU$221:$AZ$221,0)))),"")</f>
        <v/>
      </c>
      <c r="E83" s="42" t="str">
        <f>IFERROR(IF(COUNTIF(Schedule!$A$8:$A$107,Dashboard!$B83)&gt;0,INDEX(Schedule!$AU$8:$AZ$107,MATCH(Dashboard!$B83,Schedule!$A$8:$A$107,0),MATCH(Dashboard!E$32,Schedule!$AU$5:$AZ$5,0)),IF(COUNTIF(Schedule!$A$116:$A$215,Dashboard!$B83)&gt;0,INDEX(Schedule!$AU$116:$AZ$215,MATCH(Dashboard!$B83,Schedule!$A$116:$A$215,0),MATCH(Dashboard!E$32,Schedule!$AU$113:$AZ$113,0)),INDEX(Schedule!$AU$224:$AZ$323,MATCH(Dashboard!$B83,Schedule!$A$224:$A$323,0),MATCH(Dashboard!E$32,Schedule!$AU$221:$AZ$221,0)))),"")</f>
        <v/>
      </c>
      <c r="F83" s="42" t="str">
        <f>IFERROR(IF(COUNTIF(Schedule!$A$8:$A$107,Dashboard!$B83)&gt;0,INDEX(Schedule!$AU$8:$AZ$107,MATCH(Dashboard!$B83,Schedule!$A$8:$A$107,0),MATCH(Dashboard!F$32,Schedule!$AU$5:$AZ$5,0)),IF(COUNTIF(Schedule!$A$116:$A$215,Dashboard!$B83)&gt;0,INDEX(Schedule!$AU$116:$AZ$215,MATCH(Dashboard!$B83,Schedule!$A$116:$A$215,0),MATCH(Dashboard!F$32,Schedule!$AU$113:$AZ$113,0)),INDEX(Schedule!$AU$224:$AZ$323,MATCH(Dashboard!$B83,Schedule!$A$224:$A$323,0),MATCH(Dashboard!F$32,Schedule!$AU$221:$AZ$221,0)))),"")</f>
        <v/>
      </c>
      <c r="G83" s="42" t="str">
        <f>IFERROR(IF(COUNTIF(Schedule!$A$8:$A$107,Dashboard!$B83)&gt;0,INDEX(Schedule!$AU$8:$AZ$107,MATCH(Dashboard!$B83,Schedule!$A$8:$A$107,0),MATCH(Dashboard!G$32,Schedule!$AU$5:$AZ$5,0)),IF(COUNTIF(Schedule!$A$116:$A$215,Dashboard!$B83)&gt;0,INDEX(Schedule!$AU$116:$AZ$215,MATCH(Dashboard!$B83,Schedule!$A$116:$A$215,0),MATCH(Dashboard!G$32,Schedule!$AU$113:$AZ$113,0)),INDEX(Schedule!$AU$224:$AZ$323,MATCH(Dashboard!$B83,Schedule!$A$224:$A$323,0),MATCH(Dashboard!G$32,Schedule!$AU$221:$AZ$221,0)))),"")</f>
        <v/>
      </c>
      <c r="H83" s="42" t="str">
        <f>IFERROR(IF(COUNTIF(Schedule!$A$8:$A$107,Dashboard!$B83)&gt;0,INDEX(Schedule!$AU$8:$AZ$107,MATCH(Dashboard!$B83,Schedule!$A$8:$A$107,0),MATCH(Dashboard!H$32,Schedule!$AU$5:$AZ$5,0)),IF(COUNTIF(Schedule!$A$116:$A$215,Dashboard!$B83)&gt;0,INDEX(Schedule!$AU$116:$AZ$215,MATCH(Dashboard!$B83,Schedule!$A$116:$A$215,0),MATCH(Dashboard!H$32,Schedule!$AU$113:$AZ$113,0)),INDEX(Schedule!$AU$224:$AZ$323,MATCH(Dashboard!$B83,Schedule!$A$224:$A$323,0),MATCH(Dashboard!H$32,Schedule!$AU$221:$AZ$221,0)))),"")</f>
        <v/>
      </c>
    </row>
    <row r="84" spans="2:8" ht="14.1" hidden="1" customHeight="1" x14ac:dyDescent="0.2">
      <c r="B84" s="40" t="str">
        <f>IF(Lists!B56=0,"",Lists!B56)</f>
        <v/>
      </c>
      <c r="C84" s="42" t="str">
        <f>IFERROR(IF(COUNTIF(Schedule!$A$8:$A$107,Dashboard!$B84)&gt;0,INDEX(Schedule!$AU$8:$AZ$107,MATCH(Dashboard!$B84,Schedule!$A$8:$A$107,0),MATCH(Dashboard!C$32,Schedule!$AU$5:$AZ$5,0)),IF(COUNTIF(Schedule!$A$116:$A$215,Dashboard!$B84)&gt;0,INDEX(Schedule!$AU$116:$AZ$215,MATCH(Dashboard!$B84,Schedule!$A$116:$A$215,0),MATCH(Dashboard!C$32,Schedule!$AU$113:$AZ$113,0)),INDEX(Schedule!$AU$224:$AZ$323,MATCH(Dashboard!$B84,Schedule!$A$224:$A$323,0),MATCH(Dashboard!C$32,Schedule!$AU$221:$AZ$221,0)))),"")</f>
        <v/>
      </c>
      <c r="D84" s="42" t="str">
        <f>IFERROR(IF(COUNTIF(Schedule!$A$8:$A$107,Dashboard!$B84)&gt;0,INDEX(Schedule!$AU$8:$AZ$107,MATCH(Dashboard!$B84,Schedule!$A$8:$A$107,0),MATCH(Dashboard!D$32,Schedule!$AU$5:$AZ$5,0)),IF(COUNTIF(Schedule!$A$116:$A$215,Dashboard!$B84)&gt;0,INDEX(Schedule!$AU$116:$AZ$215,MATCH(Dashboard!$B84,Schedule!$A$116:$A$215,0),MATCH(Dashboard!D$32,Schedule!$AU$113:$AZ$113,0)),INDEX(Schedule!$AU$224:$AZ$323,MATCH(Dashboard!$B84,Schedule!$A$224:$A$323,0),MATCH(Dashboard!D$32,Schedule!$AU$221:$AZ$221,0)))),"")</f>
        <v/>
      </c>
      <c r="E84" s="42" t="str">
        <f>IFERROR(IF(COUNTIF(Schedule!$A$8:$A$107,Dashboard!$B84)&gt;0,INDEX(Schedule!$AU$8:$AZ$107,MATCH(Dashboard!$B84,Schedule!$A$8:$A$107,0),MATCH(Dashboard!E$32,Schedule!$AU$5:$AZ$5,0)),IF(COUNTIF(Schedule!$A$116:$A$215,Dashboard!$B84)&gt;0,INDEX(Schedule!$AU$116:$AZ$215,MATCH(Dashboard!$B84,Schedule!$A$116:$A$215,0),MATCH(Dashboard!E$32,Schedule!$AU$113:$AZ$113,0)),INDEX(Schedule!$AU$224:$AZ$323,MATCH(Dashboard!$B84,Schedule!$A$224:$A$323,0),MATCH(Dashboard!E$32,Schedule!$AU$221:$AZ$221,0)))),"")</f>
        <v/>
      </c>
      <c r="F84" s="42" t="str">
        <f>IFERROR(IF(COUNTIF(Schedule!$A$8:$A$107,Dashboard!$B84)&gt;0,INDEX(Schedule!$AU$8:$AZ$107,MATCH(Dashboard!$B84,Schedule!$A$8:$A$107,0),MATCH(Dashboard!F$32,Schedule!$AU$5:$AZ$5,0)),IF(COUNTIF(Schedule!$A$116:$A$215,Dashboard!$B84)&gt;0,INDEX(Schedule!$AU$116:$AZ$215,MATCH(Dashboard!$B84,Schedule!$A$116:$A$215,0),MATCH(Dashboard!F$32,Schedule!$AU$113:$AZ$113,0)),INDEX(Schedule!$AU$224:$AZ$323,MATCH(Dashboard!$B84,Schedule!$A$224:$A$323,0),MATCH(Dashboard!F$32,Schedule!$AU$221:$AZ$221,0)))),"")</f>
        <v/>
      </c>
      <c r="G84" s="42" t="str">
        <f>IFERROR(IF(COUNTIF(Schedule!$A$8:$A$107,Dashboard!$B84)&gt;0,INDEX(Schedule!$AU$8:$AZ$107,MATCH(Dashboard!$B84,Schedule!$A$8:$A$107,0),MATCH(Dashboard!G$32,Schedule!$AU$5:$AZ$5,0)),IF(COUNTIF(Schedule!$A$116:$A$215,Dashboard!$B84)&gt;0,INDEX(Schedule!$AU$116:$AZ$215,MATCH(Dashboard!$B84,Schedule!$A$116:$A$215,0),MATCH(Dashboard!G$32,Schedule!$AU$113:$AZ$113,0)),INDEX(Schedule!$AU$224:$AZ$323,MATCH(Dashboard!$B84,Schedule!$A$224:$A$323,0),MATCH(Dashboard!G$32,Schedule!$AU$221:$AZ$221,0)))),"")</f>
        <v/>
      </c>
      <c r="H84" s="42" t="str">
        <f>IFERROR(IF(COUNTIF(Schedule!$A$8:$A$107,Dashboard!$B84)&gt;0,INDEX(Schedule!$AU$8:$AZ$107,MATCH(Dashboard!$B84,Schedule!$A$8:$A$107,0),MATCH(Dashboard!H$32,Schedule!$AU$5:$AZ$5,0)),IF(COUNTIF(Schedule!$A$116:$A$215,Dashboard!$B84)&gt;0,INDEX(Schedule!$AU$116:$AZ$215,MATCH(Dashboard!$B84,Schedule!$A$116:$A$215,0),MATCH(Dashboard!H$32,Schedule!$AU$113:$AZ$113,0)),INDEX(Schedule!$AU$224:$AZ$323,MATCH(Dashboard!$B84,Schedule!$A$224:$A$323,0),MATCH(Dashboard!H$32,Schedule!$AU$221:$AZ$221,0)))),"")</f>
        <v/>
      </c>
    </row>
    <row r="85" spans="2:8" ht="14.1" hidden="1" customHeight="1" x14ac:dyDescent="0.2">
      <c r="B85" s="40" t="str">
        <f>IF(Lists!B57=0,"",Lists!B57)</f>
        <v/>
      </c>
      <c r="C85" s="42" t="str">
        <f>IFERROR(IF(COUNTIF(Schedule!$A$8:$A$107,Dashboard!$B85)&gt;0,INDEX(Schedule!$AU$8:$AZ$107,MATCH(Dashboard!$B85,Schedule!$A$8:$A$107,0),MATCH(Dashboard!C$32,Schedule!$AU$5:$AZ$5,0)),IF(COUNTIF(Schedule!$A$116:$A$215,Dashboard!$B85)&gt;0,INDEX(Schedule!$AU$116:$AZ$215,MATCH(Dashboard!$B85,Schedule!$A$116:$A$215,0),MATCH(Dashboard!C$32,Schedule!$AU$113:$AZ$113,0)),INDEX(Schedule!$AU$224:$AZ$323,MATCH(Dashboard!$B85,Schedule!$A$224:$A$323,0),MATCH(Dashboard!C$32,Schedule!$AU$221:$AZ$221,0)))),"")</f>
        <v/>
      </c>
      <c r="D85" s="42" t="str">
        <f>IFERROR(IF(COUNTIF(Schedule!$A$8:$A$107,Dashboard!$B85)&gt;0,INDEX(Schedule!$AU$8:$AZ$107,MATCH(Dashboard!$B85,Schedule!$A$8:$A$107,0),MATCH(Dashboard!D$32,Schedule!$AU$5:$AZ$5,0)),IF(COUNTIF(Schedule!$A$116:$A$215,Dashboard!$B85)&gt;0,INDEX(Schedule!$AU$116:$AZ$215,MATCH(Dashboard!$B85,Schedule!$A$116:$A$215,0),MATCH(Dashboard!D$32,Schedule!$AU$113:$AZ$113,0)),INDEX(Schedule!$AU$224:$AZ$323,MATCH(Dashboard!$B85,Schedule!$A$224:$A$323,0),MATCH(Dashboard!D$32,Schedule!$AU$221:$AZ$221,0)))),"")</f>
        <v/>
      </c>
      <c r="E85" s="42" t="str">
        <f>IFERROR(IF(COUNTIF(Schedule!$A$8:$A$107,Dashboard!$B85)&gt;0,INDEX(Schedule!$AU$8:$AZ$107,MATCH(Dashboard!$B85,Schedule!$A$8:$A$107,0),MATCH(Dashboard!E$32,Schedule!$AU$5:$AZ$5,0)),IF(COUNTIF(Schedule!$A$116:$A$215,Dashboard!$B85)&gt;0,INDEX(Schedule!$AU$116:$AZ$215,MATCH(Dashboard!$B85,Schedule!$A$116:$A$215,0),MATCH(Dashboard!E$32,Schedule!$AU$113:$AZ$113,0)),INDEX(Schedule!$AU$224:$AZ$323,MATCH(Dashboard!$B85,Schedule!$A$224:$A$323,0),MATCH(Dashboard!E$32,Schedule!$AU$221:$AZ$221,0)))),"")</f>
        <v/>
      </c>
      <c r="F85" s="42" t="str">
        <f>IFERROR(IF(COUNTIF(Schedule!$A$8:$A$107,Dashboard!$B85)&gt;0,INDEX(Schedule!$AU$8:$AZ$107,MATCH(Dashboard!$B85,Schedule!$A$8:$A$107,0),MATCH(Dashboard!F$32,Schedule!$AU$5:$AZ$5,0)),IF(COUNTIF(Schedule!$A$116:$A$215,Dashboard!$B85)&gt;0,INDEX(Schedule!$AU$116:$AZ$215,MATCH(Dashboard!$B85,Schedule!$A$116:$A$215,0),MATCH(Dashboard!F$32,Schedule!$AU$113:$AZ$113,0)),INDEX(Schedule!$AU$224:$AZ$323,MATCH(Dashboard!$B85,Schedule!$A$224:$A$323,0),MATCH(Dashboard!F$32,Schedule!$AU$221:$AZ$221,0)))),"")</f>
        <v/>
      </c>
      <c r="G85" s="42" t="str">
        <f>IFERROR(IF(COUNTIF(Schedule!$A$8:$A$107,Dashboard!$B85)&gt;0,INDEX(Schedule!$AU$8:$AZ$107,MATCH(Dashboard!$B85,Schedule!$A$8:$A$107,0),MATCH(Dashboard!G$32,Schedule!$AU$5:$AZ$5,0)),IF(COUNTIF(Schedule!$A$116:$A$215,Dashboard!$B85)&gt;0,INDEX(Schedule!$AU$116:$AZ$215,MATCH(Dashboard!$B85,Schedule!$A$116:$A$215,0),MATCH(Dashboard!G$32,Schedule!$AU$113:$AZ$113,0)),INDEX(Schedule!$AU$224:$AZ$323,MATCH(Dashboard!$B85,Schedule!$A$224:$A$323,0),MATCH(Dashboard!G$32,Schedule!$AU$221:$AZ$221,0)))),"")</f>
        <v/>
      </c>
      <c r="H85" s="42" t="str">
        <f>IFERROR(IF(COUNTIF(Schedule!$A$8:$A$107,Dashboard!$B85)&gt;0,INDEX(Schedule!$AU$8:$AZ$107,MATCH(Dashboard!$B85,Schedule!$A$8:$A$107,0),MATCH(Dashboard!H$32,Schedule!$AU$5:$AZ$5,0)),IF(COUNTIF(Schedule!$A$116:$A$215,Dashboard!$B85)&gt;0,INDEX(Schedule!$AU$116:$AZ$215,MATCH(Dashboard!$B85,Schedule!$A$116:$A$215,0),MATCH(Dashboard!H$32,Schedule!$AU$113:$AZ$113,0)),INDEX(Schedule!$AU$224:$AZ$323,MATCH(Dashboard!$B85,Schedule!$A$224:$A$323,0),MATCH(Dashboard!H$32,Schedule!$AU$221:$AZ$221,0)))),"")</f>
        <v/>
      </c>
    </row>
    <row r="86" spans="2:8" ht="14.1" hidden="1" customHeight="1" x14ac:dyDescent="0.2">
      <c r="B86" s="40" t="str">
        <f>IF(Lists!B58=0,"",Lists!B58)</f>
        <v/>
      </c>
      <c r="C86" s="42" t="str">
        <f>IFERROR(IF(COUNTIF(Schedule!$A$8:$A$107,Dashboard!$B86)&gt;0,INDEX(Schedule!$AU$8:$AZ$107,MATCH(Dashboard!$B86,Schedule!$A$8:$A$107,0),MATCH(Dashboard!C$32,Schedule!$AU$5:$AZ$5,0)),IF(COUNTIF(Schedule!$A$116:$A$215,Dashboard!$B86)&gt;0,INDEX(Schedule!$AU$116:$AZ$215,MATCH(Dashboard!$B86,Schedule!$A$116:$A$215,0),MATCH(Dashboard!C$32,Schedule!$AU$113:$AZ$113,0)),INDEX(Schedule!$AU$224:$AZ$323,MATCH(Dashboard!$B86,Schedule!$A$224:$A$323,0),MATCH(Dashboard!C$32,Schedule!$AU$221:$AZ$221,0)))),"")</f>
        <v/>
      </c>
      <c r="D86" s="42" t="str">
        <f>IFERROR(IF(COUNTIF(Schedule!$A$8:$A$107,Dashboard!$B86)&gt;0,INDEX(Schedule!$AU$8:$AZ$107,MATCH(Dashboard!$B86,Schedule!$A$8:$A$107,0),MATCH(Dashboard!D$32,Schedule!$AU$5:$AZ$5,0)),IF(COUNTIF(Schedule!$A$116:$A$215,Dashboard!$B86)&gt;0,INDEX(Schedule!$AU$116:$AZ$215,MATCH(Dashboard!$B86,Schedule!$A$116:$A$215,0),MATCH(Dashboard!D$32,Schedule!$AU$113:$AZ$113,0)),INDEX(Schedule!$AU$224:$AZ$323,MATCH(Dashboard!$B86,Schedule!$A$224:$A$323,0),MATCH(Dashboard!D$32,Schedule!$AU$221:$AZ$221,0)))),"")</f>
        <v/>
      </c>
      <c r="E86" s="42" t="str">
        <f>IFERROR(IF(COUNTIF(Schedule!$A$8:$A$107,Dashboard!$B86)&gt;0,INDEX(Schedule!$AU$8:$AZ$107,MATCH(Dashboard!$B86,Schedule!$A$8:$A$107,0),MATCH(Dashboard!E$32,Schedule!$AU$5:$AZ$5,0)),IF(COUNTIF(Schedule!$A$116:$A$215,Dashboard!$B86)&gt;0,INDEX(Schedule!$AU$116:$AZ$215,MATCH(Dashboard!$B86,Schedule!$A$116:$A$215,0),MATCH(Dashboard!E$32,Schedule!$AU$113:$AZ$113,0)),INDEX(Schedule!$AU$224:$AZ$323,MATCH(Dashboard!$B86,Schedule!$A$224:$A$323,0),MATCH(Dashboard!E$32,Schedule!$AU$221:$AZ$221,0)))),"")</f>
        <v/>
      </c>
      <c r="F86" s="42" t="str">
        <f>IFERROR(IF(COUNTIF(Schedule!$A$8:$A$107,Dashboard!$B86)&gt;0,INDEX(Schedule!$AU$8:$AZ$107,MATCH(Dashboard!$B86,Schedule!$A$8:$A$107,0),MATCH(Dashboard!F$32,Schedule!$AU$5:$AZ$5,0)),IF(COUNTIF(Schedule!$A$116:$A$215,Dashboard!$B86)&gt;0,INDEX(Schedule!$AU$116:$AZ$215,MATCH(Dashboard!$B86,Schedule!$A$116:$A$215,0),MATCH(Dashboard!F$32,Schedule!$AU$113:$AZ$113,0)),INDEX(Schedule!$AU$224:$AZ$323,MATCH(Dashboard!$B86,Schedule!$A$224:$A$323,0),MATCH(Dashboard!F$32,Schedule!$AU$221:$AZ$221,0)))),"")</f>
        <v/>
      </c>
      <c r="G86" s="42" t="str">
        <f>IFERROR(IF(COUNTIF(Schedule!$A$8:$A$107,Dashboard!$B86)&gt;0,INDEX(Schedule!$AU$8:$AZ$107,MATCH(Dashboard!$B86,Schedule!$A$8:$A$107,0),MATCH(Dashboard!G$32,Schedule!$AU$5:$AZ$5,0)),IF(COUNTIF(Schedule!$A$116:$A$215,Dashboard!$B86)&gt;0,INDEX(Schedule!$AU$116:$AZ$215,MATCH(Dashboard!$B86,Schedule!$A$116:$A$215,0),MATCH(Dashboard!G$32,Schedule!$AU$113:$AZ$113,0)),INDEX(Schedule!$AU$224:$AZ$323,MATCH(Dashboard!$B86,Schedule!$A$224:$A$323,0),MATCH(Dashboard!G$32,Schedule!$AU$221:$AZ$221,0)))),"")</f>
        <v/>
      </c>
      <c r="H86" s="42" t="str">
        <f>IFERROR(IF(COUNTIF(Schedule!$A$8:$A$107,Dashboard!$B86)&gt;0,INDEX(Schedule!$AU$8:$AZ$107,MATCH(Dashboard!$B86,Schedule!$A$8:$A$107,0),MATCH(Dashboard!H$32,Schedule!$AU$5:$AZ$5,0)),IF(COUNTIF(Schedule!$A$116:$A$215,Dashboard!$B86)&gt;0,INDEX(Schedule!$AU$116:$AZ$215,MATCH(Dashboard!$B86,Schedule!$A$116:$A$215,0),MATCH(Dashboard!H$32,Schedule!$AU$113:$AZ$113,0)),INDEX(Schedule!$AU$224:$AZ$323,MATCH(Dashboard!$B86,Schedule!$A$224:$A$323,0),MATCH(Dashboard!H$32,Schedule!$AU$221:$AZ$221,0)))),"")</f>
        <v/>
      </c>
    </row>
    <row r="87" spans="2:8" ht="14.1" hidden="1" customHeight="1" x14ac:dyDescent="0.2">
      <c r="B87" s="40" t="str">
        <f>IF(Lists!B59=0,"",Lists!B59)</f>
        <v/>
      </c>
      <c r="C87" s="42" t="str">
        <f>IFERROR(IF(COUNTIF(Schedule!$A$8:$A$107,Dashboard!$B87)&gt;0,INDEX(Schedule!$AU$8:$AZ$107,MATCH(Dashboard!$B87,Schedule!$A$8:$A$107,0),MATCH(Dashboard!C$32,Schedule!$AU$5:$AZ$5,0)),IF(COUNTIF(Schedule!$A$116:$A$215,Dashboard!$B87)&gt;0,INDEX(Schedule!$AU$116:$AZ$215,MATCH(Dashboard!$B87,Schedule!$A$116:$A$215,0),MATCH(Dashboard!C$32,Schedule!$AU$113:$AZ$113,0)),INDEX(Schedule!$AU$224:$AZ$323,MATCH(Dashboard!$B87,Schedule!$A$224:$A$323,0),MATCH(Dashboard!C$32,Schedule!$AU$221:$AZ$221,0)))),"")</f>
        <v/>
      </c>
      <c r="D87" s="42" t="str">
        <f>IFERROR(IF(COUNTIF(Schedule!$A$8:$A$107,Dashboard!$B87)&gt;0,INDEX(Schedule!$AU$8:$AZ$107,MATCH(Dashboard!$B87,Schedule!$A$8:$A$107,0),MATCH(Dashboard!D$32,Schedule!$AU$5:$AZ$5,0)),IF(COUNTIF(Schedule!$A$116:$A$215,Dashboard!$B87)&gt;0,INDEX(Schedule!$AU$116:$AZ$215,MATCH(Dashboard!$B87,Schedule!$A$116:$A$215,0),MATCH(Dashboard!D$32,Schedule!$AU$113:$AZ$113,0)),INDEX(Schedule!$AU$224:$AZ$323,MATCH(Dashboard!$B87,Schedule!$A$224:$A$323,0),MATCH(Dashboard!D$32,Schedule!$AU$221:$AZ$221,0)))),"")</f>
        <v/>
      </c>
      <c r="E87" s="42" t="str">
        <f>IFERROR(IF(COUNTIF(Schedule!$A$8:$A$107,Dashboard!$B87)&gt;0,INDEX(Schedule!$AU$8:$AZ$107,MATCH(Dashboard!$B87,Schedule!$A$8:$A$107,0),MATCH(Dashboard!E$32,Schedule!$AU$5:$AZ$5,0)),IF(COUNTIF(Schedule!$A$116:$A$215,Dashboard!$B87)&gt;0,INDEX(Schedule!$AU$116:$AZ$215,MATCH(Dashboard!$B87,Schedule!$A$116:$A$215,0),MATCH(Dashboard!E$32,Schedule!$AU$113:$AZ$113,0)),INDEX(Schedule!$AU$224:$AZ$323,MATCH(Dashboard!$B87,Schedule!$A$224:$A$323,0),MATCH(Dashboard!E$32,Schedule!$AU$221:$AZ$221,0)))),"")</f>
        <v/>
      </c>
      <c r="F87" s="42" t="str">
        <f>IFERROR(IF(COUNTIF(Schedule!$A$8:$A$107,Dashboard!$B87)&gt;0,INDEX(Schedule!$AU$8:$AZ$107,MATCH(Dashboard!$B87,Schedule!$A$8:$A$107,0),MATCH(Dashboard!F$32,Schedule!$AU$5:$AZ$5,0)),IF(COUNTIF(Schedule!$A$116:$A$215,Dashboard!$B87)&gt;0,INDEX(Schedule!$AU$116:$AZ$215,MATCH(Dashboard!$B87,Schedule!$A$116:$A$215,0),MATCH(Dashboard!F$32,Schedule!$AU$113:$AZ$113,0)),INDEX(Schedule!$AU$224:$AZ$323,MATCH(Dashboard!$B87,Schedule!$A$224:$A$323,0),MATCH(Dashboard!F$32,Schedule!$AU$221:$AZ$221,0)))),"")</f>
        <v/>
      </c>
      <c r="G87" s="42" t="str">
        <f>IFERROR(IF(COUNTIF(Schedule!$A$8:$A$107,Dashboard!$B87)&gt;0,INDEX(Schedule!$AU$8:$AZ$107,MATCH(Dashboard!$B87,Schedule!$A$8:$A$107,0),MATCH(Dashboard!G$32,Schedule!$AU$5:$AZ$5,0)),IF(COUNTIF(Schedule!$A$116:$A$215,Dashboard!$B87)&gt;0,INDEX(Schedule!$AU$116:$AZ$215,MATCH(Dashboard!$B87,Schedule!$A$116:$A$215,0),MATCH(Dashboard!G$32,Schedule!$AU$113:$AZ$113,0)),INDEX(Schedule!$AU$224:$AZ$323,MATCH(Dashboard!$B87,Schedule!$A$224:$A$323,0),MATCH(Dashboard!G$32,Schedule!$AU$221:$AZ$221,0)))),"")</f>
        <v/>
      </c>
      <c r="H87" s="42" t="str">
        <f>IFERROR(IF(COUNTIF(Schedule!$A$8:$A$107,Dashboard!$B87)&gt;0,INDEX(Schedule!$AU$8:$AZ$107,MATCH(Dashboard!$B87,Schedule!$A$8:$A$107,0),MATCH(Dashboard!H$32,Schedule!$AU$5:$AZ$5,0)),IF(COUNTIF(Schedule!$A$116:$A$215,Dashboard!$B87)&gt;0,INDEX(Schedule!$AU$116:$AZ$215,MATCH(Dashboard!$B87,Schedule!$A$116:$A$215,0),MATCH(Dashboard!H$32,Schedule!$AU$113:$AZ$113,0)),INDEX(Schedule!$AU$224:$AZ$323,MATCH(Dashboard!$B87,Schedule!$A$224:$A$323,0),MATCH(Dashboard!H$32,Schedule!$AU$221:$AZ$221,0)))),"")</f>
        <v/>
      </c>
    </row>
    <row r="88" spans="2:8" ht="14.1" hidden="1" customHeight="1" x14ac:dyDescent="0.2">
      <c r="B88" s="40" t="str">
        <f>IF(Lists!B60=0,"",Lists!B60)</f>
        <v/>
      </c>
      <c r="C88" s="42" t="str">
        <f>IFERROR(IF(COUNTIF(Schedule!$A$8:$A$107,Dashboard!$B88)&gt;0,INDEX(Schedule!$AU$8:$AZ$107,MATCH(Dashboard!$B88,Schedule!$A$8:$A$107,0),MATCH(Dashboard!C$32,Schedule!$AU$5:$AZ$5,0)),IF(COUNTIF(Schedule!$A$116:$A$215,Dashboard!$B88)&gt;0,INDEX(Schedule!$AU$116:$AZ$215,MATCH(Dashboard!$B88,Schedule!$A$116:$A$215,0),MATCH(Dashboard!C$32,Schedule!$AU$113:$AZ$113,0)),INDEX(Schedule!$AU$224:$AZ$323,MATCH(Dashboard!$B88,Schedule!$A$224:$A$323,0),MATCH(Dashboard!C$32,Schedule!$AU$221:$AZ$221,0)))),"")</f>
        <v/>
      </c>
      <c r="D88" s="42" t="str">
        <f>IFERROR(IF(COUNTIF(Schedule!$A$8:$A$107,Dashboard!$B88)&gt;0,INDEX(Schedule!$AU$8:$AZ$107,MATCH(Dashboard!$B88,Schedule!$A$8:$A$107,0),MATCH(Dashboard!D$32,Schedule!$AU$5:$AZ$5,0)),IF(COUNTIF(Schedule!$A$116:$A$215,Dashboard!$B88)&gt;0,INDEX(Schedule!$AU$116:$AZ$215,MATCH(Dashboard!$B88,Schedule!$A$116:$A$215,0),MATCH(Dashboard!D$32,Schedule!$AU$113:$AZ$113,0)),INDEX(Schedule!$AU$224:$AZ$323,MATCH(Dashboard!$B88,Schedule!$A$224:$A$323,0),MATCH(Dashboard!D$32,Schedule!$AU$221:$AZ$221,0)))),"")</f>
        <v/>
      </c>
      <c r="E88" s="42" t="str">
        <f>IFERROR(IF(COUNTIF(Schedule!$A$8:$A$107,Dashboard!$B88)&gt;0,INDEX(Schedule!$AU$8:$AZ$107,MATCH(Dashboard!$B88,Schedule!$A$8:$A$107,0),MATCH(Dashboard!E$32,Schedule!$AU$5:$AZ$5,0)),IF(COUNTIF(Schedule!$A$116:$A$215,Dashboard!$B88)&gt;0,INDEX(Schedule!$AU$116:$AZ$215,MATCH(Dashboard!$B88,Schedule!$A$116:$A$215,0),MATCH(Dashboard!E$32,Schedule!$AU$113:$AZ$113,0)),INDEX(Schedule!$AU$224:$AZ$323,MATCH(Dashboard!$B88,Schedule!$A$224:$A$323,0),MATCH(Dashboard!E$32,Schedule!$AU$221:$AZ$221,0)))),"")</f>
        <v/>
      </c>
      <c r="F88" s="42" t="str">
        <f>IFERROR(IF(COUNTIF(Schedule!$A$8:$A$107,Dashboard!$B88)&gt;0,INDEX(Schedule!$AU$8:$AZ$107,MATCH(Dashboard!$B88,Schedule!$A$8:$A$107,0),MATCH(Dashboard!F$32,Schedule!$AU$5:$AZ$5,0)),IF(COUNTIF(Schedule!$A$116:$A$215,Dashboard!$B88)&gt;0,INDEX(Schedule!$AU$116:$AZ$215,MATCH(Dashboard!$B88,Schedule!$A$116:$A$215,0),MATCH(Dashboard!F$32,Schedule!$AU$113:$AZ$113,0)),INDEX(Schedule!$AU$224:$AZ$323,MATCH(Dashboard!$B88,Schedule!$A$224:$A$323,0),MATCH(Dashboard!F$32,Schedule!$AU$221:$AZ$221,0)))),"")</f>
        <v/>
      </c>
      <c r="G88" s="42" t="str">
        <f>IFERROR(IF(COUNTIF(Schedule!$A$8:$A$107,Dashboard!$B88)&gt;0,INDEX(Schedule!$AU$8:$AZ$107,MATCH(Dashboard!$B88,Schedule!$A$8:$A$107,0),MATCH(Dashboard!G$32,Schedule!$AU$5:$AZ$5,0)),IF(COUNTIF(Schedule!$A$116:$A$215,Dashboard!$B88)&gt;0,INDEX(Schedule!$AU$116:$AZ$215,MATCH(Dashboard!$B88,Schedule!$A$116:$A$215,0),MATCH(Dashboard!G$32,Schedule!$AU$113:$AZ$113,0)),INDEX(Schedule!$AU$224:$AZ$323,MATCH(Dashboard!$B88,Schedule!$A$224:$A$323,0),MATCH(Dashboard!G$32,Schedule!$AU$221:$AZ$221,0)))),"")</f>
        <v/>
      </c>
      <c r="H88" s="42" t="str">
        <f>IFERROR(IF(COUNTIF(Schedule!$A$8:$A$107,Dashboard!$B88)&gt;0,INDEX(Schedule!$AU$8:$AZ$107,MATCH(Dashboard!$B88,Schedule!$A$8:$A$107,0),MATCH(Dashboard!H$32,Schedule!$AU$5:$AZ$5,0)),IF(COUNTIF(Schedule!$A$116:$A$215,Dashboard!$B88)&gt;0,INDEX(Schedule!$AU$116:$AZ$215,MATCH(Dashboard!$B88,Schedule!$A$116:$A$215,0),MATCH(Dashboard!H$32,Schedule!$AU$113:$AZ$113,0)),INDEX(Schedule!$AU$224:$AZ$323,MATCH(Dashboard!$B88,Schedule!$A$224:$A$323,0),MATCH(Dashboard!H$32,Schedule!$AU$221:$AZ$221,0)))),"")</f>
        <v/>
      </c>
    </row>
    <row r="89" spans="2:8" ht="14.1" hidden="1" customHeight="1" x14ac:dyDescent="0.2">
      <c r="B89" s="40" t="str">
        <f>IF(Lists!B61=0,"",Lists!B61)</f>
        <v/>
      </c>
      <c r="C89" s="42" t="str">
        <f>IFERROR(IF(COUNTIF(Schedule!$A$8:$A$107,Dashboard!$B89)&gt;0,INDEX(Schedule!$AU$8:$AZ$107,MATCH(Dashboard!$B89,Schedule!$A$8:$A$107,0),MATCH(Dashboard!C$32,Schedule!$AU$5:$AZ$5,0)),IF(COUNTIF(Schedule!$A$116:$A$215,Dashboard!$B89)&gt;0,INDEX(Schedule!$AU$116:$AZ$215,MATCH(Dashboard!$B89,Schedule!$A$116:$A$215,0),MATCH(Dashboard!C$32,Schedule!$AU$113:$AZ$113,0)),INDEX(Schedule!$AU$224:$AZ$323,MATCH(Dashboard!$B89,Schedule!$A$224:$A$323,0),MATCH(Dashboard!C$32,Schedule!$AU$221:$AZ$221,0)))),"")</f>
        <v/>
      </c>
      <c r="D89" s="42" t="str">
        <f>IFERROR(IF(COUNTIF(Schedule!$A$8:$A$107,Dashboard!$B89)&gt;0,INDEX(Schedule!$AU$8:$AZ$107,MATCH(Dashboard!$B89,Schedule!$A$8:$A$107,0),MATCH(Dashboard!D$32,Schedule!$AU$5:$AZ$5,0)),IF(COUNTIF(Schedule!$A$116:$A$215,Dashboard!$B89)&gt;0,INDEX(Schedule!$AU$116:$AZ$215,MATCH(Dashboard!$B89,Schedule!$A$116:$A$215,0),MATCH(Dashboard!D$32,Schedule!$AU$113:$AZ$113,0)),INDEX(Schedule!$AU$224:$AZ$323,MATCH(Dashboard!$B89,Schedule!$A$224:$A$323,0),MATCH(Dashboard!D$32,Schedule!$AU$221:$AZ$221,0)))),"")</f>
        <v/>
      </c>
      <c r="E89" s="42" t="str">
        <f>IFERROR(IF(COUNTIF(Schedule!$A$8:$A$107,Dashboard!$B89)&gt;0,INDEX(Schedule!$AU$8:$AZ$107,MATCH(Dashboard!$B89,Schedule!$A$8:$A$107,0),MATCH(Dashboard!E$32,Schedule!$AU$5:$AZ$5,0)),IF(COUNTIF(Schedule!$A$116:$A$215,Dashboard!$B89)&gt;0,INDEX(Schedule!$AU$116:$AZ$215,MATCH(Dashboard!$B89,Schedule!$A$116:$A$215,0),MATCH(Dashboard!E$32,Schedule!$AU$113:$AZ$113,0)),INDEX(Schedule!$AU$224:$AZ$323,MATCH(Dashboard!$B89,Schedule!$A$224:$A$323,0),MATCH(Dashboard!E$32,Schedule!$AU$221:$AZ$221,0)))),"")</f>
        <v/>
      </c>
      <c r="F89" s="42" t="str">
        <f>IFERROR(IF(COUNTIF(Schedule!$A$8:$A$107,Dashboard!$B89)&gt;0,INDEX(Schedule!$AU$8:$AZ$107,MATCH(Dashboard!$B89,Schedule!$A$8:$A$107,0),MATCH(Dashboard!F$32,Schedule!$AU$5:$AZ$5,0)),IF(COUNTIF(Schedule!$A$116:$A$215,Dashboard!$B89)&gt;0,INDEX(Schedule!$AU$116:$AZ$215,MATCH(Dashboard!$B89,Schedule!$A$116:$A$215,0),MATCH(Dashboard!F$32,Schedule!$AU$113:$AZ$113,0)),INDEX(Schedule!$AU$224:$AZ$323,MATCH(Dashboard!$B89,Schedule!$A$224:$A$323,0),MATCH(Dashboard!F$32,Schedule!$AU$221:$AZ$221,0)))),"")</f>
        <v/>
      </c>
      <c r="G89" s="42" t="str">
        <f>IFERROR(IF(COUNTIF(Schedule!$A$8:$A$107,Dashboard!$B89)&gt;0,INDEX(Schedule!$AU$8:$AZ$107,MATCH(Dashboard!$B89,Schedule!$A$8:$A$107,0),MATCH(Dashboard!G$32,Schedule!$AU$5:$AZ$5,0)),IF(COUNTIF(Schedule!$A$116:$A$215,Dashboard!$B89)&gt;0,INDEX(Schedule!$AU$116:$AZ$215,MATCH(Dashboard!$B89,Schedule!$A$116:$A$215,0),MATCH(Dashboard!G$32,Schedule!$AU$113:$AZ$113,0)),INDEX(Schedule!$AU$224:$AZ$323,MATCH(Dashboard!$B89,Schedule!$A$224:$A$323,0),MATCH(Dashboard!G$32,Schedule!$AU$221:$AZ$221,0)))),"")</f>
        <v/>
      </c>
      <c r="H89" s="42" t="str">
        <f>IFERROR(IF(COUNTIF(Schedule!$A$8:$A$107,Dashboard!$B89)&gt;0,INDEX(Schedule!$AU$8:$AZ$107,MATCH(Dashboard!$B89,Schedule!$A$8:$A$107,0),MATCH(Dashboard!H$32,Schedule!$AU$5:$AZ$5,0)),IF(COUNTIF(Schedule!$A$116:$A$215,Dashboard!$B89)&gt;0,INDEX(Schedule!$AU$116:$AZ$215,MATCH(Dashboard!$B89,Schedule!$A$116:$A$215,0),MATCH(Dashboard!H$32,Schedule!$AU$113:$AZ$113,0)),INDEX(Schedule!$AU$224:$AZ$323,MATCH(Dashboard!$B89,Schedule!$A$224:$A$323,0),MATCH(Dashboard!H$32,Schedule!$AU$221:$AZ$221,0)))),"")</f>
        <v/>
      </c>
    </row>
    <row r="90" spans="2:8" ht="14.1" hidden="1" customHeight="1" x14ac:dyDescent="0.2">
      <c r="B90" s="40" t="str">
        <f>IF(Lists!B62=0,"",Lists!B62)</f>
        <v/>
      </c>
      <c r="C90" s="42" t="str">
        <f>IFERROR(IF(COUNTIF(Schedule!$A$8:$A$107,Dashboard!$B90)&gt;0,INDEX(Schedule!$AU$8:$AZ$107,MATCH(Dashboard!$B90,Schedule!$A$8:$A$107,0),MATCH(Dashboard!C$32,Schedule!$AU$5:$AZ$5,0)),IF(COUNTIF(Schedule!$A$116:$A$215,Dashboard!$B90)&gt;0,INDEX(Schedule!$AU$116:$AZ$215,MATCH(Dashboard!$B90,Schedule!$A$116:$A$215,0),MATCH(Dashboard!C$32,Schedule!$AU$113:$AZ$113,0)),INDEX(Schedule!$AU$224:$AZ$323,MATCH(Dashboard!$B90,Schedule!$A$224:$A$323,0),MATCH(Dashboard!C$32,Schedule!$AU$221:$AZ$221,0)))),"")</f>
        <v/>
      </c>
      <c r="D90" s="42" t="str">
        <f>IFERROR(IF(COUNTIF(Schedule!$A$8:$A$107,Dashboard!$B90)&gt;0,INDEX(Schedule!$AU$8:$AZ$107,MATCH(Dashboard!$B90,Schedule!$A$8:$A$107,0),MATCH(Dashboard!D$32,Schedule!$AU$5:$AZ$5,0)),IF(COUNTIF(Schedule!$A$116:$A$215,Dashboard!$B90)&gt;0,INDEX(Schedule!$AU$116:$AZ$215,MATCH(Dashboard!$B90,Schedule!$A$116:$A$215,0),MATCH(Dashboard!D$32,Schedule!$AU$113:$AZ$113,0)),INDEX(Schedule!$AU$224:$AZ$323,MATCH(Dashboard!$B90,Schedule!$A$224:$A$323,0),MATCH(Dashboard!D$32,Schedule!$AU$221:$AZ$221,0)))),"")</f>
        <v/>
      </c>
      <c r="E90" s="42" t="str">
        <f>IFERROR(IF(COUNTIF(Schedule!$A$8:$A$107,Dashboard!$B90)&gt;0,INDEX(Schedule!$AU$8:$AZ$107,MATCH(Dashboard!$B90,Schedule!$A$8:$A$107,0),MATCH(Dashboard!E$32,Schedule!$AU$5:$AZ$5,0)),IF(COUNTIF(Schedule!$A$116:$A$215,Dashboard!$B90)&gt;0,INDEX(Schedule!$AU$116:$AZ$215,MATCH(Dashboard!$B90,Schedule!$A$116:$A$215,0),MATCH(Dashboard!E$32,Schedule!$AU$113:$AZ$113,0)),INDEX(Schedule!$AU$224:$AZ$323,MATCH(Dashboard!$B90,Schedule!$A$224:$A$323,0),MATCH(Dashboard!E$32,Schedule!$AU$221:$AZ$221,0)))),"")</f>
        <v/>
      </c>
      <c r="F90" s="42" t="str">
        <f>IFERROR(IF(COUNTIF(Schedule!$A$8:$A$107,Dashboard!$B90)&gt;0,INDEX(Schedule!$AU$8:$AZ$107,MATCH(Dashboard!$B90,Schedule!$A$8:$A$107,0),MATCH(Dashboard!F$32,Schedule!$AU$5:$AZ$5,0)),IF(COUNTIF(Schedule!$A$116:$A$215,Dashboard!$B90)&gt;0,INDEX(Schedule!$AU$116:$AZ$215,MATCH(Dashboard!$B90,Schedule!$A$116:$A$215,0),MATCH(Dashboard!F$32,Schedule!$AU$113:$AZ$113,0)),INDEX(Schedule!$AU$224:$AZ$323,MATCH(Dashboard!$B90,Schedule!$A$224:$A$323,0),MATCH(Dashboard!F$32,Schedule!$AU$221:$AZ$221,0)))),"")</f>
        <v/>
      </c>
      <c r="G90" s="42" t="str">
        <f>IFERROR(IF(COUNTIF(Schedule!$A$8:$A$107,Dashboard!$B90)&gt;0,INDEX(Schedule!$AU$8:$AZ$107,MATCH(Dashboard!$B90,Schedule!$A$8:$A$107,0),MATCH(Dashboard!G$32,Schedule!$AU$5:$AZ$5,0)),IF(COUNTIF(Schedule!$A$116:$A$215,Dashboard!$B90)&gt;0,INDEX(Schedule!$AU$116:$AZ$215,MATCH(Dashboard!$B90,Schedule!$A$116:$A$215,0),MATCH(Dashboard!G$32,Schedule!$AU$113:$AZ$113,0)),INDEX(Schedule!$AU$224:$AZ$323,MATCH(Dashboard!$B90,Schedule!$A$224:$A$323,0),MATCH(Dashboard!G$32,Schedule!$AU$221:$AZ$221,0)))),"")</f>
        <v/>
      </c>
      <c r="H90" s="42" t="str">
        <f>IFERROR(IF(COUNTIF(Schedule!$A$8:$A$107,Dashboard!$B90)&gt;0,INDEX(Schedule!$AU$8:$AZ$107,MATCH(Dashboard!$B90,Schedule!$A$8:$A$107,0),MATCH(Dashboard!H$32,Schedule!$AU$5:$AZ$5,0)),IF(COUNTIF(Schedule!$A$116:$A$215,Dashboard!$B90)&gt;0,INDEX(Schedule!$AU$116:$AZ$215,MATCH(Dashboard!$B90,Schedule!$A$116:$A$215,0),MATCH(Dashboard!H$32,Schedule!$AU$113:$AZ$113,0)),INDEX(Schedule!$AU$224:$AZ$323,MATCH(Dashboard!$B90,Schedule!$A$224:$A$323,0),MATCH(Dashboard!H$32,Schedule!$AU$221:$AZ$221,0)))),"")</f>
        <v/>
      </c>
    </row>
    <row r="91" spans="2:8" ht="14.1" hidden="1" customHeight="1" x14ac:dyDescent="0.2">
      <c r="B91" s="40" t="str">
        <f>IF(Lists!B63=0,"",Lists!B63)</f>
        <v/>
      </c>
      <c r="C91" s="42" t="str">
        <f>IFERROR(IF(COUNTIF(Schedule!$A$8:$A$107,Dashboard!$B91)&gt;0,INDEX(Schedule!$AU$8:$AZ$107,MATCH(Dashboard!$B91,Schedule!$A$8:$A$107,0),MATCH(Dashboard!C$32,Schedule!$AU$5:$AZ$5,0)),IF(COUNTIF(Schedule!$A$116:$A$215,Dashboard!$B91)&gt;0,INDEX(Schedule!$AU$116:$AZ$215,MATCH(Dashboard!$B91,Schedule!$A$116:$A$215,0),MATCH(Dashboard!C$32,Schedule!$AU$113:$AZ$113,0)),INDEX(Schedule!$AU$224:$AZ$323,MATCH(Dashboard!$B91,Schedule!$A$224:$A$323,0),MATCH(Dashboard!C$32,Schedule!$AU$221:$AZ$221,0)))),"")</f>
        <v/>
      </c>
      <c r="D91" s="42" t="str">
        <f>IFERROR(IF(COUNTIF(Schedule!$A$8:$A$107,Dashboard!$B91)&gt;0,INDEX(Schedule!$AU$8:$AZ$107,MATCH(Dashboard!$B91,Schedule!$A$8:$A$107,0),MATCH(Dashboard!D$32,Schedule!$AU$5:$AZ$5,0)),IF(COUNTIF(Schedule!$A$116:$A$215,Dashboard!$B91)&gt;0,INDEX(Schedule!$AU$116:$AZ$215,MATCH(Dashboard!$B91,Schedule!$A$116:$A$215,0),MATCH(Dashboard!D$32,Schedule!$AU$113:$AZ$113,0)),INDEX(Schedule!$AU$224:$AZ$323,MATCH(Dashboard!$B91,Schedule!$A$224:$A$323,0),MATCH(Dashboard!D$32,Schedule!$AU$221:$AZ$221,0)))),"")</f>
        <v/>
      </c>
      <c r="E91" s="42" t="str">
        <f>IFERROR(IF(COUNTIF(Schedule!$A$8:$A$107,Dashboard!$B91)&gt;0,INDEX(Schedule!$AU$8:$AZ$107,MATCH(Dashboard!$B91,Schedule!$A$8:$A$107,0),MATCH(Dashboard!E$32,Schedule!$AU$5:$AZ$5,0)),IF(COUNTIF(Schedule!$A$116:$A$215,Dashboard!$B91)&gt;0,INDEX(Schedule!$AU$116:$AZ$215,MATCH(Dashboard!$B91,Schedule!$A$116:$A$215,0),MATCH(Dashboard!E$32,Schedule!$AU$113:$AZ$113,0)),INDEX(Schedule!$AU$224:$AZ$323,MATCH(Dashboard!$B91,Schedule!$A$224:$A$323,0),MATCH(Dashboard!E$32,Schedule!$AU$221:$AZ$221,0)))),"")</f>
        <v/>
      </c>
      <c r="F91" s="42" t="str">
        <f>IFERROR(IF(COUNTIF(Schedule!$A$8:$A$107,Dashboard!$B91)&gt;0,INDEX(Schedule!$AU$8:$AZ$107,MATCH(Dashboard!$B91,Schedule!$A$8:$A$107,0),MATCH(Dashboard!F$32,Schedule!$AU$5:$AZ$5,0)),IF(COUNTIF(Schedule!$A$116:$A$215,Dashboard!$B91)&gt;0,INDEX(Schedule!$AU$116:$AZ$215,MATCH(Dashboard!$B91,Schedule!$A$116:$A$215,0),MATCH(Dashboard!F$32,Schedule!$AU$113:$AZ$113,0)),INDEX(Schedule!$AU$224:$AZ$323,MATCH(Dashboard!$B91,Schedule!$A$224:$A$323,0),MATCH(Dashboard!F$32,Schedule!$AU$221:$AZ$221,0)))),"")</f>
        <v/>
      </c>
      <c r="G91" s="42" t="str">
        <f>IFERROR(IF(COUNTIF(Schedule!$A$8:$A$107,Dashboard!$B91)&gt;0,INDEX(Schedule!$AU$8:$AZ$107,MATCH(Dashboard!$B91,Schedule!$A$8:$A$107,0),MATCH(Dashboard!G$32,Schedule!$AU$5:$AZ$5,0)),IF(COUNTIF(Schedule!$A$116:$A$215,Dashboard!$B91)&gt;0,INDEX(Schedule!$AU$116:$AZ$215,MATCH(Dashboard!$B91,Schedule!$A$116:$A$215,0),MATCH(Dashboard!G$32,Schedule!$AU$113:$AZ$113,0)),INDEX(Schedule!$AU$224:$AZ$323,MATCH(Dashboard!$B91,Schedule!$A$224:$A$323,0),MATCH(Dashboard!G$32,Schedule!$AU$221:$AZ$221,0)))),"")</f>
        <v/>
      </c>
      <c r="H91" s="42" t="str">
        <f>IFERROR(IF(COUNTIF(Schedule!$A$8:$A$107,Dashboard!$B91)&gt;0,INDEX(Schedule!$AU$8:$AZ$107,MATCH(Dashboard!$B91,Schedule!$A$8:$A$107,0),MATCH(Dashboard!H$32,Schedule!$AU$5:$AZ$5,0)),IF(COUNTIF(Schedule!$A$116:$A$215,Dashboard!$B91)&gt;0,INDEX(Schedule!$AU$116:$AZ$215,MATCH(Dashboard!$B91,Schedule!$A$116:$A$215,0),MATCH(Dashboard!H$32,Schedule!$AU$113:$AZ$113,0)),INDEX(Schedule!$AU$224:$AZ$323,MATCH(Dashboard!$B91,Schedule!$A$224:$A$323,0),MATCH(Dashboard!H$32,Schedule!$AU$221:$AZ$221,0)))),"")</f>
        <v/>
      </c>
    </row>
    <row r="92" spans="2:8" ht="14.1" hidden="1" customHeight="1" x14ac:dyDescent="0.2">
      <c r="B92" s="40" t="str">
        <f>IF(Lists!B64=0,"",Lists!B64)</f>
        <v/>
      </c>
      <c r="C92" s="42" t="str">
        <f>IFERROR(IF(COUNTIF(Schedule!$A$8:$A$107,Dashboard!$B92)&gt;0,INDEX(Schedule!$AU$8:$AZ$107,MATCH(Dashboard!$B92,Schedule!$A$8:$A$107,0),MATCH(Dashboard!C$32,Schedule!$AU$5:$AZ$5,0)),IF(COUNTIF(Schedule!$A$116:$A$215,Dashboard!$B92)&gt;0,INDEX(Schedule!$AU$116:$AZ$215,MATCH(Dashboard!$B92,Schedule!$A$116:$A$215,0),MATCH(Dashboard!C$32,Schedule!$AU$113:$AZ$113,0)),INDEX(Schedule!$AU$224:$AZ$323,MATCH(Dashboard!$B92,Schedule!$A$224:$A$323,0),MATCH(Dashboard!C$32,Schedule!$AU$221:$AZ$221,0)))),"")</f>
        <v/>
      </c>
      <c r="D92" s="42" t="str">
        <f>IFERROR(IF(COUNTIF(Schedule!$A$8:$A$107,Dashboard!$B92)&gt;0,INDEX(Schedule!$AU$8:$AZ$107,MATCH(Dashboard!$B92,Schedule!$A$8:$A$107,0),MATCH(Dashboard!D$32,Schedule!$AU$5:$AZ$5,0)),IF(COUNTIF(Schedule!$A$116:$A$215,Dashboard!$B92)&gt;0,INDEX(Schedule!$AU$116:$AZ$215,MATCH(Dashboard!$B92,Schedule!$A$116:$A$215,0),MATCH(Dashboard!D$32,Schedule!$AU$113:$AZ$113,0)),INDEX(Schedule!$AU$224:$AZ$323,MATCH(Dashboard!$B92,Schedule!$A$224:$A$323,0),MATCH(Dashboard!D$32,Schedule!$AU$221:$AZ$221,0)))),"")</f>
        <v/>
      </c>
      <c r="E92" s="42" t="str">
        <f>IFERROR(IF(COUNTIF(Schedule!$A$8:$A$107,Dashboard!$B92)&gt;0,INDEX(Schedule!$AU$8:$AZ$107,MATCH(Dashboard!$B92,Schedule!$A$8:$A$107,0),MATCH(Dashboard!E$32,Schedule!$AU$5:$AZ$5,0)),IF(COUNTIF(Schedule!$A$116:$A$215,Dashboard!$B92)&gt;0,INDEX(Schedule!$AU$116:$AZ$215,MATCH(Dashboard!$B92,Schedule!$A$116:$A$215,0),MATCH(Dashboard!E$32,Schedule!$AU$113:$AZ$113,0)),INDEX(Schedule!$AU$224:$AZ$323,MATCH(Dashboard!$B92,Schedule!$A$224:$A$323,0),MATCH(Dashboard!E$32,Schedule!$AU$221:$AZ$221,0)))),"")</f>
        <v/>
      </c>
      <c r="F92" s="42" t="str">
        <f>IFERROR(IF(COUNTIF(Schedule!$A$8:$A$107,Dashboard!$B92)&gt;0,INDEX(Schedule!$AU$8:$AZ$107,MATCH(Dashboard!$B92,Schedule!$A$8:$A$107,0),MATCH(Dashboard!F$32,Schedule!$AU$5:$AZ$5,0)),IF(COUNTIF(Schedule!$A$116:$A$215,Dashboard!$B92)&gt;0,INDEX(Schedule!$AU$116:$AZ$215,MATCH(Dashboard!$B92,Schedule!$A$116:$A$215,0),MATCH(Dashboard!F$32,Schedule!$AU$113:$AZ$113,0)),INDEX(Schedule!$AU$224:$AZ$323,MATCH(Dashboard!$B92,Schedule!$A$224:$A$323,0),MATCH(Dashboard!F$32,Schedule!$AU$221:$AZ$221,0)))),"")</f>
        <v/>
      </c>
      <c r="G92" s="42" t="str">
        <f>IFERROR(IF(COUNTIF(Schedule!$A$8:$A$107,Dashboard!$B92)&gt;0,INDEX(Schedule!$AU$8:$AZ$107,MATCH(Dashboard!$B92,Schedule!$A$8:$A$107,0),MATCH(Dashboard!G$32,Schedule!$AU$5:$AZ$5,0)),IF(COUNTIF(Schedule!$A$116:$A$215,Dashboard!$B92)&gt;0,INDEX(Schedule!$AU$116:$AZ$215,MATCH(Dashboard!$B92,Schedule!$A$116:$A$215,0),MATCH(Dashboard!G$32,Schedule!$AU$113:$AZ$113,0)),INDEX(Schedule!$AU$224:$AZ$323,MATCH(Dashboard!$B92,Schedule!$A$224:$A$323,0),MATCH(Dashboard!G$32,Schedule!$AU$221:$AZ$221,0)))),"")</f>
        <v/>
      </c>
      <c r="H92" s="42" t="str">
        <f>IFERROR(IF(COUNTIF(Schedule!$A$8:$A$107,Dashboard!$B92)&gt;0,INDEX(Schedule!$AU$8:$AZ$107,MATCH(Dashboard!$B92,Schedule!$A$8:$A$107,0),MATCH(Dashboard!H$32,Schedule!$AU$5:$AZ$5,0)),IF(COUNTIF(Schedule!$A$116:$A$215,Dashboard!$B92)&gt;0,INDEX(Schedule!$AU$116:$AZ$215,MATCH(Dashboard!$B92,Schedule!$A$116:$A$215,0),MATCH(Dashboard!H$32,Schedule!$AU$113:$AZ$113,0)),INDEX(Schedule!$AU$224:$AZ$323,MATCH(Dashboard!$B92,Schedule!$A$224:$A$323,0),MATCH(Dashboard!H$32,Schedule!$AU$221:$AZ$221,0)))),"")</f>
        <v/>
      </c>
    </row>
    <row r="93" spans="2:8" ht="14.1" hidden="1" customHeight="1" x14ac:dyDescent="0.2">
      <c r="B93" s="40" t="str">
        <f>IF(Lists!B65=0,"",Lists!B65)</f>
        <v/>
      </c>
      <c r="C93" s="42" t="str">
        <f>IFERROR(IF(COUNTIF(Schedule!$A$8:$A$107,Dashboard!$B93)&gt;0,INDEX(Schedule!$AU$8:$AZ$107,MATCH(Dashboard!$B93,Schedule!$A$8:$A$107,0),MATCH(Dashboard!C$32,Schedule!$AU$5:$AZ$5,0)),IF(COUNTIF(Schedule!$A$116:$A$215,Dashboard!$B93)&gt;0,INDEX(Schedule!$AU$116:$AZ$215,MATCH(Dashboard!$B93,Schedule!$A$116:$A$215,0),MATCH(Dashboard!C$32,Schedule!$AU$113:$AZ$113,0)),INDEX(Schedule!$AU$224:$AZ$323,MATCH(Dashboard!$B93,Schedule!$A$224:$A$323,0),MATCH(Dashboard!C$32,Schedule!$AU$221:$AZ$221,0)))),"")</f>
        <v/>
      </c>
      <c r="D93" s="42" t="str">
        <f>IFERROR(IF(COUNTIF(Schedule!$A$8:$A$107,Dashboard!$B93)&gt;0,INDEX(Schedule!$AU$8:$AZ$107,MATCH(Dashboard!$B93,Schedule!$A$8:$A$107,0),MATCH(Dashboard!D$32,Schedule!$AU$5:$AZ$5,0)),IF(COUNTIF(Schedule!$A$116:$A$215,Dashboard!$B93)&gt;0,INDEX(Schedule!$AU$116:$AZ$215,MATCH(Dashboard!$B93,Schedule!$A$116:$A$215,0),MATCH(Dashboard!D$32,Schedule!$AU$113:$AZ$113,0)),INDEX(Schedule!$AU$224:$AZ$323,MATCH(Dashboard!$B93,Schedule!$A$224:$A$323,0),MATCH(Dashboard!D$32,Schedule!$AU$221:$AZ$221,0)))),"")</f>
        <v/>
      </c>
      <c r="E93" s="42" t="str">
        <f>IFERROR(IF(COUNTIF(Schedule!$A$8:$A$107,Dashboard!$B93)&gt;0,INDEX(Schedule!$AU$8:$AZ$107,MATCH(Dashboard!$B93,Schedule!$A$8:$A$107,0),MATCH(Dashboard!E$32,Schedule!$AU$5:$AZ$5,0)),IF(COUNTIF(Schedule!$A$116:$A$215,Dashboard!$B93)&gt;0,INDEX(Schedule!$AU$116:$AZ$215,MATCH(Dashboard!$B93,Schedule!$A$116:$A$215,0),MATCH(Dashboard!E$32,Schedule!$AU$113:$AZ$113,0)),INDEX(Schedule!$AU$224:$AZ$323,MATCH(Dashboard!$B93,Schedule!$A$224:$A$323,0),MATCH(Dashboard!E$32,Schedule!$AU$221:$AZ$221,0)))),"")</f>
        <v/>
      </c>
      <c r="F93" s="42" t="str">
        <f>IFERROR(IF(COUNTIF(Schedule!$A$8:$A$107,Dashboard!$B93)&gt;0,INDEX(Schedule!$AU$8:$AZ$107,MATCH(Dashboard!$B93,Schedule!$A$8:$A$107,0),MATCH(Dashboard!F$32,Schedule!$AU$5:$AZ$5,0)),IF(COUNTIF(Schedule!$A$116:$A$215,Dashboard!$B93)&gt;0,INDEX(Schedule!$AU$116:$AZ$215,MATCH(Dashboard!$B93,Schedule!$A$116:$A$215,0),MATCH(Dashboard!F$32,Schedule!$AU$113:$AZ$113,0)),INDEX(Schedule!$AU$224:$AZ$323,MATCH(Dashboard!$B93,Schedule!$A$224:$A$323,0),MATCH(Dashboard!F$32,Schedule!$AU$221:$AZ$221,0)))),"")</f>
        <v/>
      </c>
      <c r="G93" s="42" t="str">
        <f>IFERROR(IF(COUNTIF(Schedule!$A$8:$A$107,Dashboard!$B93)&gt;0,INDEX(Schedule!$AU$8:$AZ$107,MATCH(Dashboard!$B93,Schedule!$A$8:$A$107,0),MATCH(Dashboard!G$32,Schedule!$AU$5:$AZ$5,0)),IF(COUNTIF(Schedule!$A$116:$A$215,Dashboard!$B93)&gt;0,INDEX(Schedule!$AU$116:$AZ$215,MATCH(Dashboard!$B93,Schedule!$A$116:$A$215,0),MATCH(Dashboard!G$32,Schedule!$AU$113:$AZ$113,0)),INDEX(Schedule!$AU$224:$AZ$323,MATCH(Dashboard!$B93,Schedule!$A$224:$A$323,0),MATCH(Dashboard!G$32,Schedule!$AU$221:$AZ$221,0)))),"")</f>
        <v/>
      </c>
      <c r="H93" s="42" t="str">
        <f>IFERROR(IF(COUNTIF(Schedule!$A$8:$A$107,Dashboard!$B93)&gt;0,INDEX(Schedule!$AU$8:$AZ$107,MATCH(Dashboard!$B93,Schedule!$A$8:$A$107,0),MATCH(Dashboard!H$32,Schedule!$AU$5:$AZ$5,0)),IF(COUNTIF(Schedule!$A$116:$A$215,Dashboard!$B93)&gt;0,INDEX(Schedule!$AU$116:$AZ$215,MATCH(Dashboard!$B93,Schedule!$A$116:$A$215,0),MATCH(Dashboard!H$32,Schedule!$AU$113:$AZ$113,0)),INDEX(Schedule!$AU$224:$AZ$323,MATCH(Dashboard!$B93,Schedule!$A$224:$A$323,0),MATCH(Dashboard!H$32,Schedule!$AU$221:$AZ$221,0)))),"")</f>
        <v/>
      </c>
    </row>
    <row r="94" spans="2:8" ht="14.1" hidden="1" customHeight="1" x14ac:dyDescent="0.2">
      <c r="B94" s="40" t="str">
        <f>IF(Lists!B66=0,"",Lists!B66)</f>
        <v/>
      </c>
      <c r="C94" s="42" t="str">
        <f>IFERROR(IF(COUNTIF(Schedule!$A$8:$A$107,Dashboard!$B94)&gt;0,INDEX(Schedule!$AU$8:$AZ$107,MATCH(Dashboard!$B94,Schedule!$A$8:$A$107,0),MATCH(Dashboard!C$32,Schedule!$AU$5:$AZ$5,0)),IF(COUNTIF(Schedule!$A$116:$A$215,Dashboard!$B94)&gt;0,INDEX(Schedule!$AU$116:$AZ$215,MATCH(Dashboard!$B94,Schedule!$A$116:$A$215,0),MATCH(Dashboard!C$32,Schedule!$AU$113:$AZ$113,0)),INDEX(Schedule!$AU$224:$AZ$323,MATCH(Dashboard!$B94,Schedule!$A$224:$A$323,0),MATCH(Dashboard!C$32,Schedule!$AU$221:$AZ$221,0)))),"")</f>
        <v/>
      </c>
      <c r="D94" s="42" t="str">
        <f>IFERROR(IF(COUNTIF(Schedule!$A$8:$A$107,Dashboard!$B94)&gt;0,INDEX(Schedule!$AU$8:$AZ$107,MATCH(Dashboard!$B94,Schedule!$A$8:$A$107,0),MATCH(Dashboard!D$32,Schedule!$AU$5:$AZ$5,0)),IF(COUNTIF(Schedule!$A$116:$A$215,Dashboard!$B94)&gt;0,INDEX(Schedule!$AU$116:$AZ$215,MATCH(Dashboard!$B94,Schedule!$A$116:$A$215,0),MATCH(Dashboard!D$32,Schedule!$AU$113:$AZ$113,0)),INDEX(Schedule!$AU$224:$AZ$323,MATCH(Dashboard!$B94,Schedule!$A$224:$A$323,0),MATCH(Dashboard!D$32,Schedule!$AU$221:$AZ$221,0)))),"")</f>
        <v/>
      </c>
      <c r="E94" s="42" t="str">
        <f>IFERROR(IF(COUNTIF(Schedule!$A$8:$A$107,Dashboard!$B94)&gt;0,INDEX(Schedule!$AU$8:$AZ$107,MATCH(Dashboard!$B94,Schedule!$A$8:$A$107,0),MATCH(Dashboard!E$32,Schedule!$AU$5:$AZ$5,0)),IF(COUNTIF(Schedule!$A$116:$A$215,Dashboard!$B94)&gt;0,INDEX(Schedule!$AU$116:$AZ$215,MATCH(Dashboard!$B94,Schedule!$A$116:$A$215,0),MATCH(Dashboard!E$32,Schedule!$AU$113:$AZ$113,0)),INDEX(Schedule!$AU$224:$AZ$323,MATCH(Dashboard!$B94,Schedule!$A$224:$A$323,0),MATCH(Dashboard!E$32,Schedule!$AU$221:$AZ$221,0)))),"")</f>
        <v/>
      </c>
      <c r="F94" s="42" t="str">
        <f>IFERROR(IF(COUNTIF(Schedule!$A$8:$A$107,Dashboard!$B94)&gt;0,INDEX(Schedule!$AU$8:$AZ$107,MATCH(Dashboard!$B94,Schedule!$A$8:$A$107,0),MATCH(Dashboard!F$32,Schedule!$AU$5:$AZ$5,0)),IF(COUNTIF(Schedule!$A$116:$A$215,Dashboard!$B94)&gt;0,INDEX(Schedule!$AU$116:$AZ$215,MATCH(Dashboard!$B94,Schedule!$A$116:$A$215,0),MATCH(Dashboard!F$32,Schedule!$AU$113:$AZ$113,0)),INDEX(Schedule!$AU$224:$AZ$323,MATCH(Dashboard!$B94,Schedule!$A$224:$A$323,0),MATCH(Dashboard!F$32,Schedule!$AU$221:$AZ$221,0)))),"")</f>
        <v/>
      </c>
      <c r="G94" s="42" t="str">
        <f>IFERROR(IF(COUNTIF(Schedule!$A$8:$A$107,Dashboard!$B94)&gt;0,INDEX(Schedule!$AU$8:$AZ$107,MATCH(Dashboard!$B94,Schedule!$A$8:$A$107,0),MATCH(Dashboard!G$32,Schedule!$AU$5:$AZ$5,0)),IF(COUNTIF(Schedule!$A$116:$A$215,Dashboard!$B94)&gt;0,INDEX(Schedule!$AU$116:$AZ$215,MATCH(Dashboard!$B94,Schedule!$A$116:$A$215,0),MATCH(Dashboard!G$32,Schedule!$AU$113:$AZ$113,0)),INDEX(Schedule!$AU$224:$AZ$323,MATCH(Dashboard!$B94,Schedule!$A$224:$A$323,0),MATCH(Dashboard!G$32,Schedule!$AU$221:$AZ$221,0)))),"")</f>
        <v/>
      </c>
      <c r="H94" s="42" t="str">
        <f>IFERROR(IF(COUNTIF(Schedule!$A$8:$A$107,Dashboard!$B94)&gt;0,INDEX(Schedule!$AU$8:$AZ$107,MATCH(Dashboard!$B94,Schedule!$A$8:$A$107,0),MATCH(Dashboard!H$32,Schedule!$AU$5:$AZ$5,0)),IF(COUNTIF(Schedule!$A$116:$A$215,Dashboard!$B94)&gt;0,INDEX(Schedule!$AU$116:$AZ$215,MATCH(Dashboard!$B94,Schedule!$A$116:$A$215,0),MATCH(Dashboard!H$32,Schedule!$AU$113:$AZ$113,0)),INDEX(Schedule!$AU$224:$AZ$323,MATCH(Dashboard!$B94,Schedule!$A$224:$A$323,0),MATCH(Dashboard!H$32,Schedule!$AU$221:$AZ$221,0)))),"")</f>
        <v/>
      </c>
    </row>
    <row r="95" spans="2:8" ht="14.1" hidden="1" customHeight="1" x14ac:dyDescent="0.2">
      <c r="B95" s="40" t="str">
        <f>IF(Lists!B67=0,"",Lists!B67)</f>
        <v/>
      </c>
      <c r="C95" s="42" t="str">
        <f>IFERROR(IF(COUNTIF(Schedule!$A$8:$A$107,Dashboard!$B95)&gt;0,INDEX(Schedule!$AU$8:$AZ$107,MATCH(Dashboard!$B95,Schedule!$A$8:$A$107,0),MATCH(Dashboard!C$32,Schedule!$AU$5:$AZ$5,0)),IF(COUNTIF(Schedule!$A$116:$A$215,Dashboard!$B95)&gt;0,INDEX(Schedule!$AU$116:$AZ$215,MATCH(Dashboard!$B95,Schedule!$A$116:$A$215,0),MATCH(Dashboard!C$32,Schedule!$AU$113:$AZ$113,0)),INDEX(Schedule!$AU$224:$AZ$323,MATCH(Dashboard!$B95,Schedule!$A$224:$A$323,0),MATCH(Dashboard!C$32,Schedule!$AU$221:$AZ$221,0)))),"")</f>
        <v/>
      </c>
      <c r="D95" s="42" t="str">
        <f>IFERROR(IF(COUNTIF(Schedule!$A$8:$A$107,Dashboard!$B95)&gt;0,INDEX(Schedule!$AU$8:$AZ$107,MATCH(Dashboard!$B95,Schedule!$A$8:$A$107,0),MATCH(Dashboard!D$32,Schedule!$AU$5:$AZ$5,0)),IF(COUNTIF(Schedule!$A$116:$A$215,Dashboard!$B95)&gt;0,INDEX(Schedule!$AU$116:$AZ$215,MATCH(Dashboard!$B95,Schedule!$A$116:$A$215,0),MATCH(Dashboard!D$32,Schedule!$AU$113:$AZ$113,0)),INDEX(Schedule!$AU$224:$AZ$323,MATCH(Dashboard!$B95,Schedule!$A$224:$A$323,0),MATCH(Dashboard!D$32,Schedule!$AU$221:$AZ$221,0)))),"")</f>
        <v/>
      </c>
      <c r="E95" s="42" t="str">
        <f>IFERROR(IF(COUNTIF(Schedule!$A$8:$A$107,Dashboard!$B95)&gt;0,INDEX(Schedule!$AU$8:$AZ$107,MATCH(Dashboard!$B95,Schedule!$A$8:$A$107,0),MATCH(Dashboard!E$32,Schedule!$AU$5:$AZ$5,0)),IF(COUNTIF(Schedule!$A$116:$A$215,Dashboard!$B95)&gt;0,INDEX(Schedule!$AU$116:$AZ$215,MATCH(Dashboard!$B95,Schedule!$A$116:$A$215,0),MATCH(Dashboard!E$32,Schedule!$AU$113:$AZ$113,0)),INDEX(Schedule!$AU$224:$AZ$323,MATCH(Dashboard!$B95,Schedule!$A$224:$A$323,0),MATCH(Dashboard!E$32,Schedule!$AU$221:$AZ$221,0)))),"")</f>
        <v/>
      </c>
      <c r="F95" s="42" t="str">
        <f>IFERROR(IF(COUNTIF(Schedule!$A$8:$A$107,Dashboard!$B95)&gt;0,INDEX(Schedule!$AU$8:$AZ$107,MATCH(Dashboard!$B95,Schedule!$A$8:$A$107,0),MATCH(Dashboard!F$32,Schedule!$AU$5:$AZ$5,0)),IF(COUNTIF(Schedule!$A$116:$A$215,Dashboard!$B95)&gt;0,INDEX(Schedule!$AU$116:$AZ$215,MATCH(Dashboard!$B95,Schedule!$A$116:$A$215,0),MATCH(Dashboard!F$32,Schedule!$AU$113:$AZ$113,0)),INDEX(Schedule!$AU$224:$AZ$323,MATCH(Dashboard!$B95,Schedule!$A$224:$A$323,0),MATCH(Dashboard!F$32,Schedule!$AU$221:$AZ$221,0)))),"")</f>
        <v/>
      </c>
      <c r="G95" s="42" t="str">
        <f>IFERROR(IF(COUNTIF(Schedule!$A$8:$A$107,Dashboard!$B95)&gt;0,INDEX(Schedule!$AU$8:$AZ$107,MATCH(Dashboard!$B95,Schedule!$A$8:$A$107,0),MATCH(Dashboard!G$32,Schedule!$AU$5:$AZ$5,0)),IF(COUNTIF(Schedule!$A$116:$A$215,Dashboard!$B95)&gt;0,INDEX(Schedule!$AU$116:$AZ$215,MATCH(Dashboard!$B95,Schedule!$A$116:$A$215,0),MATCH(Dashboard!G$32,Schedule!$AU$113:$AZ$113,0)),INDEX(Schedule!$AU$224:$AZ$323,MATCH(Dashboard!$B95,Schedule!$A$224:$A$323,0),MATCH(Dashboard!G$32,Schedule!$AU$221:$AZ$221,0)))),"")</f>
        <v/>
      </c>
      <c r="H95" s="42" t="str">
        <f>IFERROR(IF(COUNTIF(Schedule!$A$8:$A$107,Dashboard!$B95)&gt;0,INDEX(Schedule!$AU$8:$AZ$107,MATCH(Dashboard!$B95,Schedule!$A$8:$A$107,0),MATCH(Dashboard!H$32,Schedule!$AU$5:$AZ$5,0)),IF(COUNTIF(Schedule!$A$116:$A$215,Dashboard!$B95)&gt;0,INDEX(Schedule!$AU$116:$AZ$215,MATCH(Dashboard!$B95,Schedule!$A$116:$A$215,0),MATCH(Dashboard!H$32,Schedule!$AU$113:$AZ$113,0)),INDEX(Schedule!$AU$224:$AZ$323,MATCH(Dashboard!$B95,Schedule!$A$224:$A$323,0),MATCH(Dashboard!H$32,Schedule!$AU$221:$AZ$221,0)))),"")</f>
        <v/>
      </c>
    </row>
    <row r="96" spans="2:8" ht="14.1" hidden="1" customHeight="1" x14ac:dyDescent="0.2">
      <c r="B96" s="40" t="str">
        <f>IF(Lists!B68=0,"",Lists!B68)</f>
        <v/>
      </c>
      <c r="C96" s="42" t="str">
        <f>IFERROR(IF(COUNTIF(Schedule!$A$8:$A$107,Dashboard!$B96)&gt;0,INDEX(Schedule!$AU$8:$AZ$107,MATCH(Dashboard!$B96,Schedule!$A$8:$A$107,0),MATCH(Dashboard!C$32,Schedule!$AU$5:$AZ$5,0)),IF(COUNTIF(Schedule!$A$116:$A$215,Dashboard!$B96)&gt;0,INDEX(Schedule!$AU$116:$AZ$215,MATCH(Dashboard!$B96,Schedule!$A$116:$A$215,0),MATCH(Dashboard!C$32,Schedule!$AU$113:$AZ$113,0)),INDEX(Schedule!$AU$224:$AZ$323,MATCH(Dashboard!$B96,Schedule!$A$224:$A$323,0),MATCH(Dashboard!C$32,Schedule!$AU$221:$AZ$221,0)))),"")</f>
        <v/>
      </c>
      <c r="D96" s="42" t="str">
        <f>IFERROR(IF(COUNTIF(Schedule!$A$8:$A$107,Dashboard!$B96)&gt;0,INDEX(Schedule!$AU$8:$AZ$107,MATCH(Dashboard!$B96,Schedule!$A$8:$A$107,0),MATCH(Dashboard!D$32,Schedule!$AU$5:$AZ$5,0)),IF(COUNTIF(Schedule!$A$116:$A$215,Dashboard!$B96)&gt;0,INDEX(Schedule!$AU$116:$AZ$215,MATCH(Dashboard!$B96,Schedule!$A$116:$A$215,0),MATCH(Dashboard!D$32,Schedule!$AU$113:$AZ$113,0)),INDEX(Schedule!$AU$224:$AZ$323,MATCH(Dashboard!$B96,Schedule!$A$224:$A$323,0),MATCH(Dashboard!D$32,Schedule!$AU$221:$AZ$221,0)))),"")</f>
        <v/>
      </c>
      <c r="E96" s="42" t="str">
        <f>IFERROR(IF(COUNTIF(Schedule!$A$8:$A$107,Dashboard!$B96)&gt;0,INDEX(Schedule!$AU$8:$AZ$107,MATCH(Dashboard!$B96,Schedule!$A$8:$A$107,0),MATCH(Dashboard!E$32,Schedule!$AU$5:$AZ$5,0)),IF(COUNTIF(Schedule!$A$116:$A$215,Dashboard!$B96)&gt;0,INDEX(Schedule!$AU$116:$AZ$215,MATCH(Dashboard!$B96,Schedule!$A$116:$A$215,0),MATCH(Dashboard!E$32,Schedule!$AU$113:$AZ$113,0)),INDEX(Schedule!$AU$224:$AZ$323,MATCH(Dashboard!$B96,Schedule!$A$224:$A$323,0),MATCH(Dashboard!E$32,Schedule!$AU$221:$AZ$221,0)))),"")</f>
        <v/>
      </c>
      <c r="F96" s="42" t="str">
        <f>IFERROR(IF(COUNTIF(Schedule!$A$8:$A$107,Dashboard!$B96)&gt;0,INDEX(Schedule!$AU$8:$AZ$107,MATCH(Dashboard!$B96,Schedule!$A$8:$A$107,0),MATCH(Dashboard!F$32,Schedule!$AU$5:$AZ$5,0)),IF(COUNTIF(Schedule!$A$116:$A$215,Dashboard!$B96)&gt;0,INDEX(Schedule!$AU$116:$AZ$215,MATCH(Dashboard!$B96,Schedule!$A$116:$A$215,0),MATCH(Dashboard!F$32,Schedule!$AU$113:$AZ$113,0)),INDEX(Schedule!$AU$224:$AZ$323,MATCH(Dashboard!$B96,Schedule!$A$224:$A$323,0),MATCH(Dashboard!F$32,Schedule!$AU$221:$AZ$221,0)))),"")</f>
        <v/>
      </c>
      <c r="G96" s="42" t="str">
        <f>IFERROR(IF(COUNTIF(Schedule!$A$8:$A$107,Dashboard!$B96)&gt;0,INDEX(Schedule!$AU$8:$AZ$107,MATCH(Dashboard!$B96,Schedule!$A$8:$A$107,0),MATCH(Dashboard!G$32,Schedule!$AU$5:$AZ$5,0)),IF(COUNTIF(Schedule!$A$116:$A$215,Dashboard!$B96)&gt;0,INDEX(Schedule!$AU$116:$AZ$215,MATCH(Dashboard!$B96,Schedule!$A$116:$A$215,0),MATCH(Dashboard!G$32,Schedule!$AU$113:$AZ$113,0)),INDEX(Schedule!$AU$224:$AZ$323,MATCH(Dashboard!$B96,Schedule!$A$224:$A$323,0),MATCH(Dashboard!G$32,Schedule!$AU$221:$AZ$221,0)))),"")</f>
        <v/>
      </c>
      <c r="H96" s="42" t="str">
        <f>IFERROR(IF(COUNTIF(Schedule!$A$8:$A$107,Dashboard!$B96)&gt;0,INDEX(Schedule!$AU$8:$AZ$107,MATCH(Dashboard!$B96,Schedule!$A$8:$A$107,0),MATCH(Dashboard!H$32,Schedule!$AU$5:$AZ$5,0)),IF(COUNTIF(Schedule!$A$116:$A$215,Dashboard!$B96)&gt;0,INDEX(Schedule!$AU$116:$AZ$215,MATCH(Dashboard!$B96,Schedule!$A$116:$A$215,0),MATCH(Dashboard!H$32,Schedule!$AU$113:$AZ$113,0)),INDEX(Schedule!$AU$224:$AZ$323,MATCH(Dashboard!$B96,Schedule!$A$224:$A$323,0),MATCH(Dashboard!H$32,Schedule!$AU$221:$AZ$221,0)))),"")</f>
        <v/>
      </c>
    </row>
    <row r="97" spans="2:8" ht="14.1" hidden="1" customHeight="1" x14ac:dyDescent="0.2">
      <c r="B97" s="40" t="str">
        <f>IF(Lists!B69=0,"",Lists!B69)</f>
        <v/>
      </c>
      <c r="C97" s="42" t="str">
        <f>IFERROR(IF(COUNTIF(Schedule!$A$8:$A$107,Dashboard!$B97)&gt;0,INDEX(Schedule!$AU$8:$AZ$107,MATCH(Dashboard!$B97,Schedule!$A$8:$A$107,0),MATCH(Dashboard!C$32,Schedule!$AU$5:$AZ$5,0)),IF(COUNTIF(Schedule!$A$116:$A$215,Dashboard!$B97)&gt;0,INDEX(Schedule!$AU$116:$AZ$215,MATCH(Dashboard!$B97,Schedule!$A$116:$A$215,0),MATCH(Dashboard!C$32,Schedule!$AU$113:$AZ$113,0)),INDEX(Schedule!$AU$224:$AZ$323,MATCH(Dashboard!$B97,Schedule!$A$224:$A$323,0),MATCH(Dashboard!C$32,Schedule!$AU$221:$AZ$221,0)))),"")</f>
        <v/>
      </c>
      <c r="D97" s="42" t="str">
        <f>IFERROR(IF(COUNTIF(Schedule!$A$8:$A$107,Dashboard!$B97)&gt;0,INDEX(Schedule!$AU$8:$AZ$107,MATCH(Dashboard!$B97,Schedule!$A$8:$A$107,0),MATCH(Dashboard!D$32,Schedule!$AU$5:$AZ$5,0)),IF(COUNTIF(Schedule!$A$116:$A$215,Dashboard!$B97)&gt;0,INDEX(Schedule!$AU$116:$AZ$215,MATCH(Dashboard!$B97,Schedule!$A$116:$A$215,0),MATCH(Dashboard!D$32,Schedule!$AU$113:$AZ$113,0)),INDEX(Schedule!$AU$224:$AZ$323,MATCH(Dashboard!$B97,Schedule!$A$224:$A$323,0),MATCH(Dashboard!D$32,Schedule!$AU$221:$AZ$221,0)))),"")</f>
        <v/>
      </c>
      <c r="E97" s="42" t="str">
        <f>IFERROR(IF(COUNTIF(Schedule!$A$8:$A$107,Dashboard!$B97)&gt;0,INDEX(Schedule!$AU$8:$AZ$107,MATCH(Dashboard!$B97,Schedule!$A$8:$A$107,0),MATCH(Dashboard!E$32,Schedule!$AU$5:$AZ$5,0)),IF(COUNTIF(Schedule!$A$116:$A$215,Dashboard!$B97)&gt;0,INDEX(Schedule!$AU$116:$AZ$215,MATCH(Dashboard!$B97,Schedule!$A$116:$A$215,0),MATCH(Dashboard!E$32,Schedule!$AU$113:$AZ$113,0)),INDEX(Schedule!$AU$224:$AZ$323,MATCH(Dashboard!$B97,Schedule!$A$224:$A$323,0),MATCH(Dashboard!E$32,Schedule!$AU$221:$AZ$221,0)))),"")</f>
        <v/>
      </c>
      <c r="F97" s="42" t="str">
        <f>IFERROR(IF(COUNTIF(Schedule!$A$8:$A$107,Dashboard!$B97)&gt;0,INDEX(Schedule!$AU$8:$AZ$107,MATCH(Dashboard!$B97,Schedule!$A$8:$A$107,0),MATCH(Dashboard!F$32,Schedule!$AU$5:$AZ$5,0)),IF(COUNTIF(Schedule!$A$116:$A$215,Dashboard!$B97)&gt;0,INDEX(Schedule!$AU$116:$AZ$215,MATCH(Dashboard!$B97,Schedule!$A$116:$A$215,0),MATCH(Dashboard!F$32,Schedule!$AU$113:$AZ$113,0)),INDEX(Schedule!$AU$224:$AZ$323,MATCH(Dashboard!$B97,Schedule!$A$224:$A$323,0),MATCH(Dashboard!F$32,Schedule!$AU$221:$AZ$221,0)))),"")</f>
        <v/>
      </c>
      <c r="G97" s="42" t="str">
        <f>IFERROR(IF(COUNTIF(Schedule!$A$8:$A$107,Dashboard!$B97)&gt;0,INDEX(Schedule!$AU$8:$AZ$107,MATCH(Dashboard!$B97,Schedule!$A$8:$A$107,0),MATCH(Dashboard!G$32,Schedule!$AU$5:$AZ$5,0)),IF(COUNTIF(Schedule!$A$116:$A$215,Dashboard!$B97)&gt;0,INDEX(Schedule!$AU$116:$AZ$215,MATCH(Dashboard!$B97,Schedule!$A$116:$A$215,0),MATCH(Dashboard!G$32,Schedule!$AU$113:$AZ$113,0)),INDEX(Schedule!$AU$224:$AZ$323,MATCH(Dashboard!$B97,Schedule!$A$224:$A$323,0),MATCH(Dashboard!G$32,Schedule!$AU$221:$AZ$221,0)))),"")</f>
        <v/>
      </c>
      <c r="H97" s="42" t="str">
        <f>IFERROR(IF(COUNTIF(Schedule!$A$8:$A$107,Dashboard!$B97)&gt;0,INDEX(Schedule!$AU$8:$AZ$107,MATCH(Dashboard!$B97,Schedule!$A$8:$A$107,0),MATCH(Dashboard!H$32,Schedule!$AU$5:$AZ$5,0)),IF(COUNTIF(Schedule!$A$116:$A$215,Dashboard!$B97)&gt;0,INDEX(Schedule!$AU$116:$AZ$215,MATCH(Dashboard!$B97,Schedule!$A$116:$A$215,0),MATCH(Dashboard!H$32,Schedule!$AU$113:$AZ$113,0)),INDEX(Schedule!$AU$224:$AZ$323,MATCH(Dashboard!$B97,Schedule!$A$224:$A$323,0),MATCH(Dashboard!H$32,Schedule!$AU$221:$AZ$221,0)))),"")</f>
        <v/>
      </c>
    </row>
    <row r="98" spans="2:8" ht="14.1" hidden="1" customHeight="1" x14ac:dyDescent="0.2">
      <c r="B98" s="40" t="str">
        <f>IF(Lists!B70=0,"",Lists!B70)</f>
        <v/>
      </c>
      <c r="C98" s="42" t="str">
        <f>IFERROR(IF(COUNTIF(Schedule!$A$8:$A$107,Dashboard!$B98)&gt;0,INDEX(Schedule!$AU$8:$AZ$107,MATCH(Dashboard!$B98,Schedule!$A$8:$A$107,0),MATCH(Dashboard!C$32,Schedule!$AU$5:$AZ$5,0)),IF(COUNTIF(Schedule!$A$116:$A$215,Dashboard!$B98)&gt;0,INDEX(Schedule!$AU$116:$AZ$215,MATCH(Dashboard!$B98,Schedule!$A$116:$A$215,0),MATCH(Dashboard!C$32,Schedule!$AU$113:$AZ$113,0)),INDEX(Schedule!$AU$224:$AZ$323,MATCH(Dashboard!$B98,Schedule!$A$224:$A$323,0),MATCH(Dashboard!C$32,Schedule!$AU$221:$AZ$221,0)))),"")</f>
        <v/>
      </c>
      <c r="D98" s="42" t="str">
        <f>IFERROR(IF(COUNTIF(Schedule!$A$8:$A$107,Dashboard!$B98)&gt;0,INDEX(Schedule!$AU$8:$AZ$107,MATCH(Dashboard!$B98,Schedule!$A$8:$A$107,0),MATCH(Dashboard!D$32,Schedule!$AU$5:$AZ$5,0)),IF(COUNTIF(Schedule!$A$116:$A$215,Dashboard!$B98)&gt;0,INDEX(Schedule!$AU$116:$AZ$215,MATCH(Dashboard!$B98,Schedule!$A$116:$A$215,0),MATCH(Dashboard!D$32,Schedule!$AU$113:$AZ$113,0)),INDEX(Schedule!$AU$224:$AZ$323,MATCH(Dashboard!$B98,Schedule!$A$224:$A$323,0),MATCH(Dashboard!D$32,Schedule!$AU$221:$AZ$221,0)))),"")</f>
        <v/>
      </c>
      <c r="E98" s="42" t="str">
        <f>IFERROR(IF(COUNTIF(Schedule!$A$8:$A$107,Dashboard!$B98)&gt;0,INDEX(Schedule!$AU$8:$AZ$107,MATCH(Dashboard!$B98,Schedule!$A$8:$A$107,0),MATCH(Dashboard!E$32,Schedule!$AU$5:$AZ$5,0)),IF(COUNTIF(Schedule!$A$116:$A$215,Dashboard!$B98)&gt;0,INDEX(Schedule!$AU$116:$AZ$215,MATCH(Dashboard!$B98,Schedule!$A$116:$A$215,0),MATCH(Dashboard!E$32,Schedule!$AU$113:$AZ$113,0)),INDEX(Schedule!$AU$224:$AZ$323,MATCH(Dashboard!$B98,Schedule!$A$224:$A$323,0),MATCH(Dashboard!E$32,Schedule!$AU$221:$AZ$221,0)))),"")</f>
        <v/>
      </c>
      <c r="F98" s="42" t="str">
        <f>IFERROR(IF(COUNTIF(Schedule!$A$8:$A$107,Dashboard!$B98)&gt;0,INDEX(Schedule!$AU$8:$AZ$107,MATCH(Dashboard!$B98,Schedule!$A$8:$A$107,0),MATCH(Dashboard!F$32,Schedule!$AU$5:$AZ$5,0)),IF(COUNTIF(Schedule!$A$116:$A$215,Dashboard!$B98)&gt;0,INDEX(Schedule!$AU$116:$AZ$215,MATCH(Dashboard!$B98,Schedule!$A$116:$A$215,0),MATCH(Dashboard!F$32,Schedule!$AU$113:$AZ$113,0)),INDEX(Schedule!$AU$224:$AZ$323,MATCH(Dashboard!$B98,Schedule!$A$224:$A$323,0),MATCH(Dashboard!F$32,Schedule!$AU$221:$AZ$221,0)))),"")</f>
        <v/>
      </c>
      <c r="G98" s="42" t="str">
        <f>IFERROR(IF(COUNTIF(Schedule!$A$8:$A$107,Dashboard!$B98)&gt;0,INDEX(Schedule!$AU$8:$AZ$107,MATCH(Dashboard!$B98,Schedule!$A$8:$A$107,0),MATCH(Dashboard!G$32,Schedule!$AU$5:$AZ$5,0)),IF(COUNTIF(Schedule!$A$116:$A$215,Dashboard!$B98)&gt;0,INDEX(Schedule!$AU$116:$AZ$215,MATCH(Dashboard!$B98,Schedule!$A$116:$A$215,0),MATCH(Dashboard!G$32,Schedule!$AU$113:$AZ$113,0)),INDEX(Schedule!$AU$224:$AZ$323,MATCH(Dashboard!$B98,Schedule!$A$224:$A$323,0),MATCH(Dashboard!G$32,Schedule!$AU$221:$AZ$221,0)))),"")</f>
        <v/>
      </c>
      <c r="H98" s="42" t="str">
        <f>IFERROR(IF(COUNTIF(Schedule!$A$8:$A$107,Dashboard!$B98)&gt;0,INDEX(Schedule!$AU$8:$AZ$107,MATCH(Dashboard!$B98,Schedule!$A$8:$A$107,0),MATCH(Dashboard!H$32,Schedule!$AU$5:$AZ$5,0)),IF(COUNTIF(Schedule!$A$116:$A$215,Dashboard!$B98)&gt;0,INDEX(Schedule!$AU$116:$AZ$215,MATCH(Dashboard!$B98,Schedule!$A$116:$A$215,0),MATCH(Dashboard!H$32,Schedule!$AU$113:$AZ$113,0)),INDEX(Schedule!$AU$224:$AZ$323,MATCH(Dashboard!$B98,Schedule!$A$224:$A$323,0),MATCH(Dashboard!H$32,Schedule!$AU$221:$AZ$221,0)))),"")</f>
        <v/>
      </c>
    </row>
    <row r="99" spans="2:8" ht="14.1" hidden="1" customHeight="1" x14ac:dyDescent="0.2">
      <c r="B99" s="40" t="str">
        <f>IF(Lists!B71=0,"",Lists!B71)</f>
        <v/>
      </c>
      <c r="C99" s="42" t="str">
        <f>IFERROR(IF(COUNTIF(Schedule!$A$8:$A$107,Dashboard!$B99)&gt;0,INDEX(Schedule!$AU$8:$AZ$107,MATCH(Dashboard!$B99,Schedule!$A$8:$A$107,0),MATCH(Dashboard!C$32,Schedule!$AU$5:$AZ$5,0)),IF(COUNTIF(Schedule!$A$116:$A$215,Dashboard!$B99)&gt;0,INDEX(Schedule!$AU$116:$AZ$215,MATCH(Dashboard!$B99,Schedule!$A$116:$A$215,0),MATCH(Dashboard!C$32,Schedule!$AU$113:$AZ$113,0)),INDEX(Schedule!$AU$224:$AZ$323,MATCH(Dashboard!$B99,Schedule!$A$224:$A$323,0),MATCH(Dashboard!C$32,Schedule!$AU$221:$AZ$221,0)))),"")</f>
        <v/>
      </c>
      <c r="D99" s="42" t="str">
        <f>IFERROR(IF(COUNTIF(Schedule!$A$8:$A$107,Dashboard!$B99)&gt;0,INDEX(Schedule!$AU$8:$AZ$107,MATCH(Dashboard!$B99,Schedule!$A$8:$A$107,0),MATCH(Dashboard!D$32,Schedule!$AU$5:$AZ$5,0)),IF(COUNTIF(Schedule!$A$116:$A$215,Dashboard!$B99)&gt;0,INDEX(Schedule!$AU$116:$AZ$215,MATCH(Dashboard!$B99,Schedule!$A$116:$A$215,0),MATCH(Dashboard!D$32,Schedule!$AU$113:$AZ$113,0)),INDEX(Schedule!$AU$224:$AZ$323,MATCH(Dashboard!$B99,Schedule!$A$224:$A$323,0),MATCH(Dashboard!D$32,Schedule!$AU$221:$AZ$221,0)))),"")</f>
        <v/>
      </c>
      <c r="E99" s="42" t="str">
        <f>IFERROR(IF(COUNTIF(Schedule!$A$8:$A$107,Dashboard!$B99)&gt;0,INDEX(Schedule!$AU$8:$AZ$107,MATCH(Dashboard!$B99,Schedule!$A$8:$A$107,0),MATCH(Dashboard!E$32,Schedule!$AU$5:$AZ$5,0)),IF(COUNTIF(Schedule!$A$116:$A$215,Dashboard!$B99)&gt;0,INDEX(Schedule!$AU$116:$AZ$215,MATCH(Dashboard!$B99,Schedule!$A$116:$A$215,0),MATCH(Dashboard!E$32,Schedule!$AU$113:$AZ$113,0)),INDEX(Schedule!$AU$224:$AZ$323,MATCH(Dashboard!$B99,Schedule!$A$224:$A$323,0),MATCH(Dashboard!E$32,Schedule!$AU$221:$AZ$221,0)))),"")</f>
        <v/>
      </c>
      <c r="F99" s="42" t="str">
        <f>IFERROR(IF(COUNTIF(Schedule!$A$8:$A$107,Dashboard!$B99)&gt;0,INDEX(Schedule!$AU$8:$AZ$107,MATCH(Dashboard!$B99,Schedule!$A$8:$A$107,0),MATCH(Dashboard!F$32,Schedule!$AU$5:$AZ$5,0)),IF(COUNTIF(Schedule!$A$116:$A$215,Dashboard!$B99)&gt;0,INDEX(Schedule!$AU$116:$AZ$215,MATCH(Dashboard!$B99,Schedule!$A$116:$A$215,0),MATCH(Dashboard!F$32,Schedule!$AU$113:$AZ$113,0)),INDEX(Schedule!$AU$224:$AZ$323,MATCH(Dashboard!$B99,Schedule!$A$224:$A$323,0),MATCH(Dashboard!F$32,Schedule!$AU$221:$AZ$221,0)))),"")</f>
        <v/>
      </c>
      <c r="G99" s="42" t="str">
        <f>IFERROR(IF(COUNTIF(Schedule!$A$8:$A$107,Dashboard!$B99)&gt;0,INDEX(Schedule!$AU$8:$AZ$107,MATCH(Dashboard!$B99,Schedule!$A$8:$A$107,0),MATCH(Dashboard!G$32,Schedule!$AU$5:$AZ$5,0)),IF(COUNTIF(Schedule!$A$116:$A$215,Dashboard!$B99)&gt;0,INDEX(Schedule!$AU$116:$AZ$215,MATCH(Dashboard!$B99,Schedule!$A$116:$A$215,0),MATCH(Dashboard!G$32,Schedule!$AU$113:$AZ$113,0)),INDEX(Schedule!$AU$224:$AZ$323,MATCH(Dashboard!$B99,Schedule!$A$224:$A$323,0),MATCH(Dashboard!G$32,Schedule!$AU$221:$AZ$221,0)))),"")</f>
        <v/>
      </c>
      <c r="H99" s="42" t="str">
        <f>IFERROR(IF(COUNTIF(Schedule!$A$8:$A$107,Dashboard!$B99)&gt;0,INDEX(Schedule!$AU$8:$AZ$107,MATCH(Dashboard!$B99,Schedule!$A$8:$A$107,0),MATCH(Dashboard!H$32,Schedule!$AU$5:$AZ$5,0)),IF(COUNTIF(Schedule!$A$116:$A$215,Dashboard!$B99)&gt;0,INDEX(Schedule!$AU$116:$AZ$215,MATCH(Dashboard!$B99,Schedule!$A$116:$A$215,0),MATCH(Dashboard!H$32,Schedule!$AU$113:$AZ$113,0)),INDEX(Schedule!$AU$224:$AZ$323,MATCH(Dashboard!$B99,Schedule!$A$224:$A$323,0),MATCH(Dashboard!H$32,Schedule!$AU$221:$AZ$221,0)))),"")</f>
        <v/>
      </c>
    </row>
    <row r="100" spans="2:8" ht="14.1" hidden="1" customHeight="1" x14ac:dyDescent="0.2">
      <c r="B100" s="40" t="str">
        <f>IF(Lists!B72=0,"",Lists!B72)</f>
        <v/>
      </c>
      <c r="C100" s="42" t="str">
        <f>IFERROR(IF(COUNTIF(Schedule!$A$8:$A$107,Dashboard!$B100)&gt;0,INDEX(Schedule!$AU$8:$AZ$107,MATCH(Dashboard!$B100,Schedule!$A$8:$A$107,0),MATCH(Dashboard!C$32,Schedule!$AU$5:$AZ$5,0)),IF(COUNTIF(Schedule!$A$116:$A$215,Dashboard!$B100)&gt;0,INDEX(Schedule!$AU$116:$AZ$215,MATCH(Dashboard!$B100,Schedule!$A$116:$A$215,0),MATCH(Dashboard!C$32,Schedule!$AU$113:$AZ$113,0)),INDEX(Schedule!$AU$224:$AZ$323,MATCH(Dashboard!$B100,Schedule!$A$224:$A$323,0),MATCH(Dashboard!C$32,Schedule!$AU$221:$AZ$221,0)))),"")</f>
        <v/>
      </c>
      <c r="D100" s="42" t="str">
        <f>IFERROR(IF(COUNTIF(Schedule!$A$8:$A$107,Dashboard!$B100)&gt;0,INDEX(Schedule!$AU$8:$AZ$107,MATCH(Dashboard!$B100,Schedule!$A$8:$A$107,0),MATCH(Dashboard!D$32,Schedule!$AU$5:$AZ$5,0)),IF(COUNTIF(Schedule!$A$116:$A$215,Dashboard!$B100)&gt;0,INDEX(Schedule!$AU$116:$AZ$215,MATCH(Dashboard!$B100,Schedule!$A$116:$A$215,0),MATCH(Dashboard!D$32,Schedule!$AU$113:$AZ$113,0)),INDEX(Schedule!$AU$224:$AZ$323,MATCH(Dashboard!$B100,Schedule!$A$224:$A$323,0),MATCH(Dashboard!D$32,Schedule!$AU$221:$AZ$221,0)))),"")</f>
        <v/>
      </c>
      <c r="E100" s="42" t="str">
        <f>IFERROR(IF(COUNTIF(Schedule!$A$8:$A$107,Dashboard!$B100)&gt;0,INDEX(Schedule!$AU$8:$AZ$107,MATCH(Dashboard!$B100,Schedule!$A$8:$A$107,0),MATCH(Dashboard!E$32,Schedule!$AU$5:$AZ$5,0)),IF(COUNTIF(Schedule!$A$116:$A$215,Dashboard!$B100)&gt;0,INDEX(Schedule!$AU$116:$AZ$215,MATCH(Dashboard!$B100,Schedule!$A$116:$A$215,0),MATCH(Dashboard!E$32,Schedule!$AU$113:$AZ$113,0)),INDEX(Schedule!$AU$224:$AZ$323,MATCH(Dashboard!$B100,Schedule!$A$224:$A$323,0),MATCH(Dashboard!E$32,Schedule!$AU$221:$AZ$221,0)))),"")</f>
        <v/>
      </c>
      <c r="F100" s="42" t="str">
        <f>IFERROR(IF(COUNTIF(Schedule!$A$8:$A$107,Dashboard!$B100)&gt;0,INDEX(Schedule!$AU$8:$AZ$107,MATCH(Dashboard!$B100,Schedule!$A$8:$A$107,0),MATCH(Dashboard!F$32,Schedule!$AU$5:$AZ$5,0)),IF(COUNTIF(Schedule!$A$116:$A$215,Dashboard!$B100)&gt;0,INDEX(Schedule!$AU$116:$AZ$215,MATCH(Dashboard!$B100,Schedule!$A$116:$A$215,0),MATCH(Dashboard!F$32,Schedule!$AU$113:$AZ$113,0)),INDEX(Schedule!$AU$224:$AZ$323,MATCH(Dashboard!$B100,Schedule!$A$224:$A$323,0),MATCH(Dashboard!F$32,Schedule!$AU$221:$AZ$221,0)))),"")</f>
        <v/>
      </c>
      <c r="G100" s="42" t="str">
        <f>IFERROR(IF(COUNTIF(Schedule!$A$8:$A$107,Dashboard!$B100)&gt;0,INDEX(Schedule!$AU$8:$AZ$107,MATCH(Dashboard!$B100,Schedule!$A$8:$A$107,0),MATCH(Dashboard!G$32,Schedule!$AU$5:$AZ$5,0)),IF(COUNTIF(Schedule!$A$116:$A$215,Dashboard!$B100)&gt;0,INDEX(Schedule!$AU$116:$AZ$215,MATCH(Dashboard!$B100,Schedule!$A$116:$A$215,0),MATCH(Dashboard!G$32,Schedule!$AU$113:$AZ$113,0)),INDEX(Schedule!$AU$224:$AZ$323,MATCH(Dashboard!$B100,Schedule!$A$224:$A$323,0),MATCH(Dashboard!G$32,Schedule!$AU$221:$AZ$221,0)))),"")</f>
        <v/>
      </c>
      <c r="H100" s="42" t="str">
        <f>IFERROR(IF(COUNTIF(Schedule!$A$8:$A$107,Dashboard!$B100)&gt;0,INDEX(Schedule!$AU$8:$AZ$107,MATCH(Dashboard!$B100,Schedule!$A$8:$A$107,0),MATCH(Dashboard!H$32,Schedule!$AU$5:$AZ$5,0)),IF(COUNTIF(Schedule!$A$116:$A$215,Dashboard!$B100)&gt;0,INDEX(Schedule!$AU$116:$AZ$215,MATCH(Dashboard!$B100,Schedule!$A$116:$A$215,0),MATCH(Dashboard!H$32,Schedule!$AU$113:$AZ$113,0)),INDEX(Schedule!$AU$224:$AZ$323,MATCH(Dashboard!$B100,Schedule!$A$224:$A$323,0),MATCH(Dashboard!H$32,Schedule!$AU$221:$AZ$221,0)))),"")</f>
        <v/>
      </c>
    </row>
    <row r="101" spans="2:8" ht="14.1" hidden="1" customHeight="1" x14ac:dyDescent="0.2">
      <c r="B101" s="40" t="str">
        <f>IF(Lists!B73=0,"",Lists!B73)</f>
        <v/>
      </c>
      <c r="C101" s="42" t="str">
        <f>IFERROR(IF(COUNTIF(Schedule!$A$8:$A$107,Dashboard!$B101)&gt;0,INDEX(Schedule!$AU$8:$AZ$107,MATCH(Dashboard!$B101,Schedule!$A$8:$A$107,0),MATCH(Dashboard!C$32,Schedule!$AU$5:$AZ$5,0)),IF(COUNTIF(Schedule!$A$116:$A$215,Dashboard!$B101)&gt;0,INDEX(Schedule!$AU$116:$AZ$215,MATCH(Dashboard!$B101,Schedule!$A$116:$A$215,0),MATCH(Dashboard!C$32,Schedule!$AU$113:$AZ$113,0)),INDEX(Schedule!$AU$224:$AZ$323,MATCH(Dashboard!$B101,Schedule!$A$224:$A$323,0),MATCH(Dashboard!C$32,Schedule!$AU$221:$AZ$221,0)))),"")</f>
        <v/>
      </c>
      <c r="D101" s="42" t="str">
        <f>IFERROR(IF(COUNTIF(Schedule!$A$8:$A$107,Dashboard!$B101)&gt;0,INDEX(Schedule!$AU$8:$AZ$107,MATCH(Dashboard!$B101,Schedule!$A$8:$A$107,0),MATCH(Dashboard!D$32,Schedule!$AU$5:$AZ$5,0)),IF(COUNTIF(Schedule!$A$116:$A$215,Dashboard!$B101)&gt;0,INDEX(Schedule!$AU$116:$AZ$215,MATCH(Dashboard!$B101,Schedule!$A$116:$A$215,0),MATCH(Dashboard!D$32,Schedule!$AU$113:$AZ$113,0)),INDEX(Schedule!$AU$224:$AZ$323,MATCH(Dashboard!$B101,Schedule!$A$224:$A$323,0),MATCH(Dashboard!D$32,Schedule!$AU$221:$AZ$221,0)))),"")</f>
        <v/>
      </c>
      <c r="E101" s="42" t="str">
        <f>IFERROR(IF(COUNTIF(Schedule!$A$8:$A$107,Dashboard!$B101)&gt;0,INDEX(Schedule!$AU$8:$AZ$107,MATCH(Dashboard!$B101,Schedule!$A$8:$A$107,0),MATCH(Dashboard!E$32,Schedule!$AU$5:$AZ$5,0)),IF(COUNTIF(Schedule!$A$116:$A$215,Dashboard!$B101)&gt;0,INDEX(Schedule!$AU$116:$AZ$215,MATCH(Dashboard!$B101,Schedule!$A$116:$A$215,0),MATCH(Dashboard!E$32,Schedule!$AU$113:$AZ$113,0)),INDEX(Schedule!$AU$224:$AZ$323,MATCH(Dashboard!$B101,Schedule!$A$224:$A$323,0),MATCH(Dashboard!E$32,Schedule!$AU$221:$AZ$221,0)))),"")</f>
        <v/>
      </c>
      <c r="F101" s="42" t="str">
        <f>IFERROR(IF(COUNTIF(Schedule!$A$8:$A$107,Dashboard!$B101)&gt;0,INDEX(Schedule!$AU$8:$AZ$107,MATCH(Dashboard!$B101,Schedule!$A$8:$A$107,0),MATCH(Dashboard!F$32,Schedule!$AU$5:$AZ$5,0)),IF(COUNTIF(Schedule!$A$116:$A$215,Dashboard!$B101)&gt;0,INDEX(Schedule!$AU$116:$AZ$215,MATCH(Dashboard!$B101,Schedule!$A$116:$A$215,0),MATCH(Dashboard!F$32,Schedule!$AU$113:$AZ$113,0)),INDEX(Schedule!$AU$224:$AZ$323,MATCH(Dashboard!$B101,Schedule!$A$224:$A$323,0),MATCH(Dashboard!F$32,Schedule!$AU$221:$AZ$221,0)))),"")</f>
        <v/>
      </c>
      <c r="G101" s="42" t="str">
        <f>IFERROR(IF(COUNTIF(Schedule!$A$8:$A$107,Dashboard!$B101)&gt;0,INDEX(Schedule!$AU$8:$AZ$107,MATCH(Dashboard!$B101,Schedule!$A$8:$A$107,0),MATCH(Dashboard!G$32,Schedule!$AU$5:$AZ$5,0)),IF(COUNTIF(Schedule!$A$116:$A$215,Dashboard!$B101)&gt;0,INDEX(Schedule!$AU$116:$AZ$215,MATCH(Dashboard!$B101,Schedule!$A$116:$A$215,0),MATCH(Dashboard!G$32,Schedule!$AU$113:$AZ$113,0)),INDEX(Schedule!$AU$224:$AZ$323,MATCH(Dashboard!$B101,Schedule!$A$224:$A$323,0),MATCH(Dashboard!G$32,Schedule!$AU$221:$AZ$221,0)))),"")</f>
        <v/>
      </c>
      <c r="H101" s="42" t="str">
        <f>IFERROR(IF(COUNTIF(Schedule!$A$8:$A$107,Dashboard!$B101)&gt;0,INDEX(Schedule!$AU$8:$AZ$107,MATCH(Dashboard!$B101,Schedule!$A$8:$A$107,0),MATCH(Dashboard!H$32,Schedule!$AU$5:$AZ$5,0)),IF(COUNTIF(Schedule!$A$116:$A$215,Dashboard!$B101)&gt;0,INDEX(Schedule!$AU$116:$AZ$215,MATCH(Dashboard!$B101,Schedule!$A$116:$A$215,0),MATCH(Dashboard!H$32,Schedule!$AU$113:$AZ$113,0)),INDEX(Schedule!$AU$224:$AZ$323,MATCH(Dashboard!$B101,Schedule!$A$224:$A$323,0),MATCH(Dashboard!H$32,Schedule!$AU$221:$AZ$221,0)))),"")</f>
        <v/>
      </c>
    </row>
    <row r="102" spans="2:8" ht="14.1" hidden="1" customHeight="1" x14ac:dyDescent="0.2">
      <c r="B102" s="40" t="str">
        <f>IF(Lists!B74=0,"",Lists!B74)</f>
        <v/>
      </c>
      <c r="C102" s="42" t="str">
        <f>IFERROR(IF(COUNTIF(Schedule!$A$8:$A$107,Dashboard!$B102)&gt;0,INDEX(Schedule!$AU$8:$AZ$107,MATCH(Dashboard!$B102,Schedule!$A$8:$A$107,0),MATCH(Dashboard!C$32,Schedule!$AU$5:$AZ$5,0)),IF(COUNTIF(Schedule!$A$116:$A$215,Dashboard!$B102)&gt;0,INDEX(Schedule!$AU$116:$AZ$215,MATCH(Dashboard!$B102,Schedule!$A$116:$A$215,0),MATCH(Dashboard!C$32,Schedule!$AU$113:$AZ$113,0)),INDEX(Schedule!$AU$224:$AZ$323,MATCH(Dashboard!$B102,Schedule!$A$224:$A$323,0),MATCH(Dashboard!C$32,Schedule!$AU$221:$AZ$221,0)))),"")</f>
        <v/>
      </c>
      <c r="D102" s="42" t="str">
        <f>IFERROR(IF(COUNTIF(Schedule!$A$8:$A$107,Dashboard!$B102)&gt;0,INDEX(Schedule!$AU$8:$AZ$107,MATCH(Dashboard!$B102,Schedule!$A$8:$A$107,0),MATCH(Dashboard!D$32,Schedule!$AU$5:$AZ$5,0)),IF(COUNTIF(Schedule!$A$116:$A$215,Dashboard!$B102)&gt;0,INDEX(Schedule!$AU$116:$AZ$215,MATCH(Dashboard!$B102,Schedule!$A$116:$A$215,0),MATCH(Dashboard!D$32,Schedule!$AU$113:$AZ$113,0)),INDEX(Schedule!$AU$224:$AZ$323,MATCH(Dashboard!$B102,Schedule!$A$224:$A$323,0),MATCH(Dashboard!D$32,Schedule!$AU$221:$AZ$221,0)))),"")</f>
        <v/>
      </c>
      <c r="E102" s="42" t="str">
        <f>IFERROR(IF(COUNTIF(Schedule!$A$8:$A$107,Dashboard!$B102)&gt;0,INDEX(Schedule!$AU$8:$AZ$107,MATCH(Dashboard!$B102,Schedule!$A$8:$A$107,0),MATCH(Dashboard!E$32,Schedule!$AU$5:$AZ$5,0)),IF(COUNTIF(Schedule!$A$116:$A$215,Dashboard!$B102)&gt;0,INDEX(Schedule!$AU$116:$AZ$215,MATCH(Dashboard!$B102,Schedule!$A$116:$A$215,0),MATCH(Dashboard!E$32,Schedule!$AU$113:$AZ$113,0)),INDEX(Schedule!$AU$224:$AZ$323,MATCH(Dashboard!$B102,Schedule!$A$224:$A$323,0),MATCH(Dashboard!E$32,Schedule!$AU$221:$AZ$221,0)))),"")</f>
        <v/>
      </c>
      <c r="F102" s="42" t="str">
        <f>IFERROR(IF(COUNTIF(Schedule!$A$8:$A$107,Dashboard!$B102)&gt;0,INDEX(Schedule!$AU$8:$AZ$107,MATCH(Dashboard!$B102,Schedule!$A$8:$A$107,0),MATCH(Dashboard!F$32,Schedule!$AU$5:$AZ$5,0)),IF(COUNTIF(Schedule!$A$116:$A$215,Dashboard!$B102)&gt;0,INDEX(Schedule!$AU$116:$AZ$215,MATCH(Dashboard!$B102,Schedule!$A$116:$A$215,0),MATCH(Dashboard!F$32,Schedule!$AU$113:$AZ$113,0)),INDEX(Schedule!$AU$224:$AZ$323,MATCH(Dashboard!$B102,Schedule!$A$224:$A$323,0),MATCH(Dashboard!F$32,Schedule!$AU$221:$AZ$221,0)))),"")</f>
        <v/>
      </c>
      <c r="G102" s="42" t="str">
        <f>IFERROR(IF(COUNTIF(Schedule!$A$8:$A$107,Dashboard!$B102)&gt;0,INDEX(Schedule!$AU$8:$AZ$107,MATCH(Dashboard!$B102,Schedule!$A$8:$A$107,0),MATCH(Dashboard!G$32,Schedule!$AU$5:$AZ$5,0)),IF(COUNTIF(Schedule!$A$116:$A$215,Dashboard!$B102)&gt;0,INDEX(Schedule!$AU$116:$AZ$215,MATCH(Dashboard!$B102,Schedule!$A$116:$A$215,0),MATCH(Dashboard!G$32,Schedule!$AU$113:$AZ$113,0)),INDEX(Schedule!$AU$224:$AZ$323,MATCH(Dashboard!$B102,Schedule!$A$224:$A$323,0),MATCH(Dashboard!G$32,Schedule!$AU$221:$AZ$221,0)))),"")</f>
        <v/>
      </c>
      <c r="H102" s="42" t="str">
        <f>IFERROR(IF(COUNTIF(Schedule!$A$8:$A$107,Dashboard!$B102)&gt;0,INDEX(Schedule!$AU$8:$AZ$107,MATCH(Dashboard!$B102,Schedule!$A$8:$A$107,0),MATCH(Dashboard!H$32,Schedule!$AU$5:$AZ$5,0)),IF(COUNTIF(Schedule!$A$116:$A$215,Dashboard!$B102)&gt;0,INDEX(Schedule!$AU$116:$AZ$215,MATCH(Dashboard!$B102,Schedule!$A$116:$A$215,0),MATCH(Dashboard!H$32,Schedule!$AU$113:$AZ$113,0)),INDEX(Schedule!$AU$224:$AZ$323,MATCH(Dashboard!$B102,Schedule!$A$224:$A$323,0),MATCH(Dashboard!H$32,Schedule!$AU$221:$AZ$221,0)))),"")</f>
        <v/>
      </c>
    </row>
    <row r="103" spans="2:8" ht="14.1" hidden="1" customHeight="1" x14ac:dyDescent="0.2">
      <c r="B103" s="40" t="str">
        <f>IF(Lists!B75=0,"",Lists!B75)</f>
        <v/>
      </c>
      <c r="C103" s="42" t="str">
        <f>IFERROR(IF(COUNTIF(Schedule!$A$8:$A$107,Dashboard!$B103)&gt;0,INDEX(Schedule!$AU$8:$AZ$107,MATCH(Dashboard!$B103,Schedule!$A$8:$A$107,0),MATCH(Dashboard!C$32,Schedule!$AU$5:$AZ$5,0)),IF(COUNTIF(Schedule!$A$116:$A$215,Dashboard!$B103)&gt;0,INDEX(Schedule!$AU$116:$AZ$215,MATCH(Dashboard!$B103,Schedule!$A$116:$A$215,0),MATCH(Dashboard!C$32,Schedule!$AU$113:$AZ$113,0)),INDEX(Schedule!$AU$224:$AZ$323,MATCH(Dashboard!$B103,Schedule!$A$224:$A$323,0),MATCH(Dashboard!C$32,Schedule!$AU$221:$AZ$221,0)))),"")</f>
        <v/>
      </c>
      <c r="D103" s="42" t="str">
        <f>IFERROR(IF(COUNTIF(Schedule!$A$8:$A$107,Dashboard!$B103)&gt;0,INDEX(Schedule!$AU$8:$AZ$107,MATCH(Dashboard!$B103,Schedule!$A$8:$A$107,0),MATCH(Dashboard!D$32,Schedule!$AU$5:$AZ$5,0)),IF(COUNTIF(Schedule!$A$116:$A$215,Dashboard!$B103)&gt;0,INDEX(Schedule!$AU$116:$AZ$215,MATCH(Dashboard!$B103,Schedule!$A$116:$A$215,0),MATCH(Dashboard!D$32,Schedule!$AU$113:$AZ$113,0)),INDEX(Schedule!$AU$224:$AZ$323,MATCH(Dashboard!$B103,Schedule!$A$224:$A$323,0),MATCH(Dashboard!D$32,Schedule!$AU$221:$AZ$221,0)))),"")</f>
        <v/>
      </c>
      <c r="E103" s="42" t="str">
        <f>IFERROR(IF(COUNTIF(Schedule!$A$8:$A$107,Dashboard!$B103)&gt;0,INDEX(Schedule!$AU$8:$AZ$107,MATCH(Dashboard!$B103,Schedule!$A$8:$A$107,0),MATCH(Dashboard!E$32,Schedule!$AU$5:$AZ$5,0)),IF(COUNTIF(Schedule!$A$116:$A$215,Dashboard!$B103)&gt;0,INDEX(Schedule!$AU$116:$AZ$215,MATCH(Dashboard!$B103,Schedule!$A$116:$A$215,0),MATCH(Dashboard!E$32,Schedule!$AU$113:$AZ$113,0)),INDEX(Schedule!$AU$224:$AZ$323,MATCH(Dashboard!$B103,Schedule!$A$224:$A$323,0),MATCH(Dashboard!E$32,Schedule!$AU$221:$AZ$221,0)))),"")</f>
        <v/>
      </c>
      <c r="F103" s="42" t="str">
        <f>IFERROR(IF(COUNTIF(Schedule!$A$8:$A$107,Dashboard!$B103)&gt;0,INDEX(Schedule!$AU$8:$AZ$107,MATCH(Dashboard!$B103,Schedule!$A$8:$A$107,0),MATCH(Dashboard!F$32,Schedule!$AU$5:$AZ$5,0)),IF(COUNTIF(Schedule!$A$116:$A$215,Dashboard!$B103)&gt;0,INDEX(Schedule!$AU$116:$AZ$215,MATCH(Dashboard!$B103,Schedule!$A$116:$A$215,0),MATCH(Dashboard!F$32,Schedule!$AU$113:$AZ$113,0)),INDEX(Schedule!$AU$224:$AZ$323,MATCH(Dashboard!$B103,Schedule!$A$224:$A$323,0),MATCH(Dashboard!F$32,Schedule!$AU$221:$AZ$221,0)))),"")</f>
        <v/>
      </c>
      <c r="G103" s="42" t="str">
        <f>IFERROR(IF(COUNTIF(Schedule!$A$8:$A$107,Dashboard!$B103)&gt;0,INDEX(Schedule!$AU$8:$AZ$107,MATCH(Dashboard!$B103,Schedule!$A$8:$A$107,0),MATCH(Dashboard!G$32,Schedule!$AU$5:$AZ$5,0)),IF(COUNTIF(Schedule!$A$116:$A$215,Dashboard!$B103)&gt;0,INDEX(Schedule!$AU$116:$AZ$215,MATCH(Dashboard!$B103,Schedule!$A$116:$A$215,0),MATCH(Dashboard!G$32,Schedule!$AU$113:$AZ$113,0)),INDEX(Schedule!$AU$224:$AZ$323,MATCH(Dashboard!$B103,Schedule!$A$224:$A$323,0),MATCH(Dashboard!G$32,Schedule!$AU$221:$AZ$221,0)))),"")</f>
        <v/>
      </c>
      <c r="H103" s="42" t="str">
        <f>IFERROR(IF(COUNTIF(Schedule!$A$8:$A$107,Dashboard!$B103)&gt;0,INDEX(Schedule!$AU$8:$AZ$107,MATCH(Dashboard!$B103,Schedule!$A$8:$A$107,0),MATCH(Dashboard!H$32,Schedule!$AU$5:$AZ$5,0)),IF(COUNTIF(Schedule!$A$116:$A$215,Dashboard!$B103)&gt;0,INDEX(Schedule!$AU$116:$AZ$215,MATCH(Dashboard!$B103,Schedule!$A$116:$A$215,0),MATCH(Dashboard!H$32,Schedule!$AU$113:$AZ$113,0)),INDEX(Schedule!$AU$224:$AZ$323,MATCH(Dashboard!$B103,Schedule!$A$224:$A$323,0),MATCH(Dashboard!H$32,Schedule!$AU$221:$AZ$221,0)))),"")</f>
        <v/>
      </c>
    </row>
    <row r="104" spans="2:8" ht="14.1" hidden="1" customHeight="1" x14ac:dyDescent="0.2">
      <c r="B104" s="40" t="str">
        <f>IF(Lists!B76=0,"",Lists!B76)</f>
        <v/>
      </c>
      <c r="C104" s="42" t="str">
        <f>IFERROR(IF(COUNTIF(Schedule!$A$8:$A$107,Dashboard!$B104)&gt;0,INDEX(Schedule!$AU$8:$AZ$107,MATCH(Dashboard!$B104,Schedule!$A$8:$A$107,0),MATCH(Dashboard!C$32,Schedule!$AU$5:$AZ$5,0)),IF(COUNTIF(Schedule!$A$116:$A$215,Dashboard!$B104)&gt;0,INDEX(Schedule!$AU$116:$AZ$215,MATCH(Dashboard!$B104,Schedule!$A$116:$A$215,0),MATCH(Dashboard!C$32,Schedule!$AU$113:$AZ$113,0)),INDEX(Schedule!$AU$224:$AZ$323,MATCH(Dashboard!$B104,Schedule!$A$224:$A$323,0),MATCH(Dashboard!C$32,Schedule!$AU$221:$AZ$221,0)))),"")</f>
        <v/>
      </c>
      <c r="D104" s="42" t="str">
        <f>IFERROR(IF(COUNTIF(Schedule!$A$8:$A$107,Dashboard!$B104)&gt;0,INDEX(Schedule!$AU$8:$AZ$107,MATCH(Dashboard!$B104,Schedule!$A$8:$A$107,0),MATCH(Dashboard!D$32,Schedule!$AU$5:$AZ$5,0)),IF(COUNTIF(Schedule!$A$116:$A$215,Dashboard!$B104)&gt;0,INDEX(Schedule!$AU$116:$AZ$215,MATCH(Dashboard!$B104,Schedule!$A$116:$A$215,0),MATCH(Dashboard!D$32,Schedule!$AU$113:$AZ$113,0)),INDEX(Schedule!$AU$224:$AZ$323,MATCH(Dashboard!$B104,Schedule!$A$224:$A$323,0),MATCH(Dashboard!D$32,Schedule!$AU$221:$AZ$221,0)))),"")</f>
        <v/>
      </c>
      <c r="E104" s="42" t="str">
        <f>IFERROR(IF(COUNTIF(Schedule!$A$8:$A$107,Dashboard!$B104)&gt;0,INDEX(Schedule!$AU$8:$AZ$107,MATCH(Dashboard!$B104,Schedule!$A$8:$A$107,0),MATCH(Dashboard!E$32,Schedule!$AU$5:$AZ$5,0)),IF(COUNTIF(Schedule!$A$116:$A$215,Dashboard!$B104)&gt;0,INDEX(Schedule!$AU$116:$AZ$215,MATCH(Dashboard!$B104,Schedule!$A$116:$A$215,0),MATCH(Dashboard!E$32,Schedule!$AU$113:$AZ$113,0)),INDEX(Schedule!$AU$224:$AZ$323,MATCH(Dashboard!$B104,Schedule!$A$224:$A$323,0),MATCH(Dashboard!E$32,Schedule!$AU$221:$AZ$221,0)))),"")</f>
        <v/>
      </c>
      <c r="F104" s="42" t="str">
        <f>IFERROR(IF(COUNTIF(Schedule!$A$8:$A$107,Dashboard!$B104)&gt;0,INDEX(Schedule!$AU$8:$AZ$107,MATCH(Dashboard!$B104,Schedule!$A$8:$A$107,0),MATCH(Dashboard!F$32,Schedule!$AU$5:$AZ$5,0)),IF(COUNTIF(Schedule!$A$116:$A$215,Dashboard!$B104)&gt;0,INDEX(Schedule!$AU$116:$AZ$215,MATCH(Dashboard!$B104,Schedule!$A$116:$A$215,0),MATCH(Dashboard!F$32,Schedule!$AU$113:$AZ$113,0)),INDEX(Schedule!$AU$224:$AZ$323,MATCH(Dashboard!$B104,Schedule!$A$224:$A$323,0),MATCH(Dashboard!F$32,Schedule!$AU$221:$AZ$221,0)))),"")</f>
        <v/>
      </c>
      <c r="G104" s="42" t="str">
        <f>IFERROR(IF(COUNTIF(Schedule!$A$8:$A$107,Dashboard!$B104)&gt;0,INDEX(Schedule!$AU$8:$AZ$107,MATCH(Dashboard!$B104,Schedule!$A$8:$A$107,0),MATCH(Dashboard!G$32,Schedule!$AU$5:$AZ$5,0)),IF(COUNTIF(Schedule!$A$116:$A$215,Dashboard!$B104)&gt;0,INDEX(Schedule!$AU$116:$AZ$215,MATCH(Dashboard!$B104,Schedule!$A$116:$A$215,0),MATCH(Dashboard!G$32,Schedule!$AU$113:$AZ$113,0)),INDEX(Schedule!$AU$224:$AZ$323,MATCH(Dashboard!$B104,Schedule!$A$224:$A$323,0),MATCH(Dashboard!G$32,Schedule!$AU$221:$AZ$221,0)))),"")</f>
        <v/>
      </c>
      <c r="H104" s="42" t="str">
        <f>IFERROR(IF(COUNTIF(Schedule!$A$8:$A$107,Dashboard!$B104)&gt;0,INDEX(Schedule!$AU$8:$AZ$107,MATCH(Dashboard!$B104,Schedule!$A$8:$A$107,0),MATCH(Dashboard!H$32,Schedule!$AU$5:$AZ$5,0)),IF(COUNTIF(Schedule!$A$116:$A$215,Dashboard!$B104)&gt;0,INDEX(Schedule!$AU$116:$AZ$215,MATCH(Dashboard!$B104,Schedule!$A$116:$A$215,0),MATCH(Dashboard!H$32,Schedule!$AU$113:$AZ$113,0)),INDEX(Schedule!$AU$224:$AZ$323,MATCH(Dashboard!$B104,Schedule!$A$224:$A$323,0),MATCH(Dashboard!H$32,Schedule!$AU$221:$AZ$221,0)))),"")</f>
        <v/>
      </c>
    </row>
    <row r="105" spans="2:8" ht="14.1" hidden="1" customHeight="1" x14ac:dyDescent="0.2">
      <c r="B105" s="40" t="str">
        <f>IF(Lists!B77=0,"",Lists!B77)</f>
        <v/>
      </c>
      <c r="C105" s="42" t="str">
        <f>IFERROR(IF(COUNTIF(Schedule!$A$8:$A$107,Dashboard!$B105)&gt;0,INDEX(Schedule!$AU$8:$AZ$107,MATCH(Dashboard!$B105,Schedule!$A$8:$A$107,0),MATCH(Dashboard!C$32,Schedule!$AU$5:$AZ$5,0)),IF(COUNTIF(Schedule!$A$116:$A$215,Dashboard!$B105)&gt;0,INDEX(Schedule!$AU$116:$AZ$215,MATCH(Dashboard!$B105,Schedule!$A$116:$A$215,0),MATCH(Dashboard!C$32,Schedule!$AU$113:$AZ$113,0)),INDEX(Schedule!$AU$224:$AZ$323,MATCH(Dashboard!$B105,Schedule!$A$224:$A$323,0),MATCH(Dashboard!C$32,Schedule!$AU$221:$AZ$221,0)))),"")</f>
        <v/>
      </c>
      <c r="D105" s="42" t="str">
        <f>IFERROR(IF(COUNTIF(Schedule!$A$8:$A$107,Dashboard!$B105)&gt;0,INDEX(Schedule!$AU$8:$AZ$107,MATCH(Dashboard!$B105,Schedule!$A$8:$A$107,0),MATCH(Dashboard!D$32,Schedule!$AU$5:$AZ$5,0)),IF(COUNTIF(Schedule!$A$116:$A$215,Dashboard!$B105)&gt;0,INDEX(Schedule!$AU$116:$AZ$215,MATCH(Dashboard!$B105,Schedule!$A$116:$A$215,0),MATCH(Dashboard!D$32,Schedule!$AU$113:$AZ$113,0)),INDEX(Schedule!$AU$224:$AZ$323,MATCH(Dashboard!$B105,Schedule!$A$224:$A$323,0),MATCH(Dashboard!D$32,Schedule!$AU$221:$AZ$221,0)))),"")</f>
        <v/>
      </c>
      <c r="E105" s="42" t="str">
        <f>IFERROR(IF(COUNTIF(Schedule!$A$8:$A$107,Dashboard!$B105)&gt;0,INDEX(Schedule!$AU$8:$AZ$107,MATCH(Dashboard!$B105,Schedule!$A$8:$A$107,0),MATCH(Dashboard!E$32,Schedule!$AU$5:$AZ$5,0)),IF(COUNTIF(Schedule!$A$116:$A$215,Dashboard!$B105)&gt;0,INDEX(Schedule!$AU$116:$AZ$215,MATCH(Dashboard!$B105,Schedule!$A$116:$A$215,0),MATCH(Dashboard!E$32,Schedule!$AU$113:$AZ$113,0)),INDEX(Schedule!$AU$224:$AZ$323,MATCH(Dashboard!$B105,Schedule!$A$224:$A$323,0),MATCH(Dashboard!E$32,Schedule!$AU$221:$AZ$221,0)))),"")</f>
        <v/>
      </c>
      <c r="F105" s="42" t="str">
        <f>IFERROR(IF(COUNTIF(Schedule!$A$8:$A$107,Dashboard!$B105)&gt;0,INDEX(Schedule!$AU$8:$AZ$107,MATCH(Dashboard!$B105,Schedule!$A$8:$A$107,0),MATCH(Dashboard!F$32,Schedule!$AU$5:$AZ$5,0)),IF(COUNTIF(Schedule!$A$116:$A$215,Dashboard!$B105)&gt;0,INDEX(Schedule!$AU$116:$AZ$215,MATCH(Dashboard!$B105,Schedule!$A$116:$A$215,0),MATCH(Dashboard!F$32,Schedule!$AU$113:$AZ$113,0)),INDEX(Schedule!$AU$224:$AZ$323,MATCH(Dashboard!$B105,Schedule!$A$224:$A$323,0),MATCH(Dashboard!F$32,Schedule!$AU$221:$AZ$221,0)))),"")</f>
        <v/>
      </c>
      <c r="G105" s="42" t="str">
        <f>IFERROR(IF(COUNTIF(Schedule!$A$8:$A$107,Dashboard!$B105)&gt;0,INDEX(Schedule!$AU$8:$AZ$107,MATCH(Dashboard!$B105,Schedule!$A$8:$A$107,0),MATCH(Dashboard!G$32,Schedule!$AU$5:$AZ$5,0)),IF(COUNTIF(Schedule!$A$116:$A$215,Dashboard!$B105)&gt;0,INDEX(Schedule!$AU$116:$AZ$215,MATCH(Dashboard!$B105,Schedule!$A$116:$A$215,0),MATCH(Dashboard!G$32,Schedule!$AU$113:$AZ$113,0)),INDEX(Schedule!$AU$224:$AZ$323,MATCH(Dashboard!$B105,Schedule!$A$224:$A$323,0),MATCH(Dashboard!G$32,Schedule!$AU$221:$AZ$221,0)))),"")</f>
        <v/>
      </c>
      <c r="H105" s="42" t="str">
        <f>IFERROR(IF(COUNTIF(Schedule!$A$8:$A$107,Dashboard!$B105)&gt;0,INDEX(Schedule!$AU$8:$AZ$107,MATCH(Dashboard!$B105,Schedule!$A$8:$A$107,0),MATCH(Dashboard!H$32,Schedule!$AU$5:$AZ$5,0)),IF(COUNTIF(Schedule!$A$116:$A$215,Dashboard!$B105)&gt;0,INDEX(Schedule!$AU$116:$AZ$215,MATCH(Dashboard!$B105,Schedule!$A$116:$A$215,0),MATCH(Dashboard!H$32,Schedule!$AU$113:$AZ$113,0)),INDEX(Schedule!$AU$224:$AZ$323,MATCH(Dashboard!$B105,Schedule!$A$224:$A$323,0),MATCH(Dashboard!H$32,Schedule!$AU$221:$AZ$221,0)))),"")</f>
        <v/>
      </c>
    </row>
    <row r="106" spans="2:8" ht="14.1" hidden="1" customHeight="1" x14ac:dyDescent="0.2">
      <c r="B106" s="40" t="str">
        <f>IF(Lists!B78=0,"",Lists!B78)</f>
        <v/>
      </c>
      <c r="C106" s="42" t="str">
        <f>IFERROR(IF(COUNTIF(Schedule!$A$8:$A$107,Dashboard!$B106)&gt;0,INDEX(Schedule!$AU$8:$AZ$107,MATCH(Dashboard!$B106,Schedule!$A$8:$A$107,0),MATCH(Dashboard!C$32,Schedule!$AU$5:$AZ$5,0)),IF(COUNTIF(Schedule!$A$116:$A$215,Dashboard!$B106)&gt;0,INDEX(Schedule!$AU$116:$AZ$215,MATCH(Dashboard!$B106,Schedule!$A$116:$A$215,0),MATCH(Dashboard!C$32,Schedule!$AU$113:$AZ$113,0)),INDEX(Schedule!$AU$224:$AZ$323,MATCH(Dashboard!$B106,Schedule!$A$224:$A$323,0),MATCH(Dashboard!C$32,Schedule!$AU$221:$AZ$221,0)))),"")</f>
        <v/>
      </c>
      <c r="D106" s="42" t="str">
        <f>IFERROR(IF(COUNTIF(Schedule!$A$8:$A$107,Dashboard!$B106)&gt;0,INDEX(Schedule!$AU$8:$AZ$107,MATCH(Dashboard!$B106,Schedule!$A$8:$A$107,0),MATCH(Dashboard!D$32,Schedule!$AU$5:$AZ$5,0)),IF(COUNTIF(Schedule!$A$116:$A$215,Dashboard!$B106)&gt;0,INDEX(Schedule!$AU$116:$AZ$215,MATCH(Dashboard!$B106,Schedule!$A$116:$A$215,0),MATCH(Dashboard!D$32,Schedule!$AU$113:$AZ$113,0)),INDEX(Schedule!$AU$224:$AZ$323,MATCH(Dashboard!$B106,Schedule!$A$224:$A$323,0),MATCH(Dashboard!D$32,Schedule!$AU$221:$AZ$221,0)))),"")</f>
        <v/>
      </c>
      <c r="E106" s="42" t="str">
        <f>IFERROR(IF(COUNTIF(Schedule!$A$8:$A$107,Dashboard!$B106)&gt;0,INDEX(Schedule!$AU$8:$AZ$107,MATCH(Dashboard!$B106,Schedule!$A$8:$A$107,0),MATCH(Dashboard!E$32,Schedule!$AU$5:$AZ$5,0)),IF(COUNTIF(Schedule!$A$116:$A$215,Dashboard!$B106)&gt;0,INDEX(Schedule!$AU$116:$AZ$215,MATCH(Dashboard!$B106,Schedule!$A$116:$A$215,0),MATCH(Dashboard!E$32,Schedule!$AU$113:$AZ$113,0)),INDEX(Schedule!$AU$224:$AZ$323,MATCH(Dashboard!$B106,Schedule!$A$224:$A$323,0),MATCH(Dashboard!E$32,Schedule!$AU$221:$AZ$221,0)))),"")</f>
        <v/>
      </c>
      <c r="F106" s="42" t="str">
        <f>IFERROR(IF(COUNTIF(Schedule!$A$8:$A$107,Dashboard!$B106)&gt;0,INDEX(Schedule!$AU$8:$AZ$107,MATCH(Dashboard!$B106,Schedule!$A$8:$A$107,0),MATCH(Dashboard!F$32,Schedule!$AU$5:$AZ$5,0)),IF(COUNTIF(Schedule!$A$116:$A$215,Dashboard!$B106)&gt;0,INDEX(Schedule!$AU$116:$AZ$215,MATCH(Dashboard!$B106,Schedule!$A$116:$A$215,0),MATCH(Dashboard!F$32,Schedule!$AU$113:$AZ$113,0)),INDEX(Schedule!$AU$224:$AZ$323,MATCH(Dashboard!$B106,Schedule!$A$224:$A$323,0),MATCH(Dashboard!F$32,Schedule!$AU$221:$AZ$221,0)))),"")</f>
        <v/>
      </c>
      <c r="G106" s="42" t="str">
        <f>IFERROR(IF(COUNTIF(Schedule!$A$8:$A$107,Dashboard!$B106)&gt;0,INDEX(Schedule!$AU$8:$AZ$107,MATCH(Dashboard!$B106,Schedule!$A$8:$A$107,0),MATCH(Dashboard!G$32,Schedule!$AU$5:$AZ$5,0)),IF(COUNTIF(Schedule!$A$116:$A$215,Dashboard!$B106)&gt;0,INDEX(Schedule!$AU$116:$AZ$215,MATCH(Dashboard!$B106,Schedule!$A$116:$A$215,0),MATCH(Dashboard!G$32,Schedule!$AU$113:$AZ$113,0)),INDEX(Schedule!$AU$224:$AZ$323,MATCH(Dashboard!$B106,Schedule!$A$224:$A$323,0),MATCH(Dashboard!G$32,Schedule!$AU$221:$AZ$221,0)))),"")</f>
        <v/>
      </c>
      <c r="H106" s="42" t="str">
        <f>IFERROR(IF(COUNTIF(Schedule!$A$8:$A$107,Dashboard!$B106)&gt;0,INDEX(Schedule!$AU$8:$AZ$107,MATCH(Dashboard!$B106,Schedule!$A$8:$A$107,0),MATCH(Dashboard!H$32,Schedule!$AU$5:$AZ$5,0)),IF(COUNTIF(Schedule!$A$116:$A$215,Dashboard!$B106)&gt;0,INDEX(Schedule!$AU$116:$AZ$215,MATCH(Dashboard!$B106,Schedule!$A$116:$A$215,0),MATCH(Dashboard!H$32,Schedule!$AU$113:$AZ$113,0)),INDEX(Schedule!$AU$224:$AZ$323,MATCH(Dashboard!$B106,Schedule!$A$224:$A$323,0),MATCH(Dashboard!H$32,Schedule!$AU$221:$AZ$221,0)))),"")</f>
        <v/>
      </c>
    </row>
    <row r="107" spans="2:8" ht="14.1" hidden="1" customHeight="1" x14ac:dyDescent="0.2">
      <c r="B107" s="40" t="str">
        <f>IF(Lists!B79=0,"",Lists!B79)</f>
        <v/>
      </c>
      <c r="C107" s="42" t="str">
        <f>IFERROR(IF(COUNTIF(Schedule!$A$8:$A$107,Dashboard!$B107)&gt;0,INDEX(Schedule!$AU$8:$AZ$107,MATCH(Dashboard!$B107,Schedule!$A$8:$A$107,0),MATCH(Dashboard!C$32,Schedule!$AU$5:$AZ$5,0)),IF(COUNTIF(Schedule!$A$116:$A$215,Dashboard!$B107)&gt;0,INDEX(Schedule!$AU$116:$AZ$215,MATCH(Dashboard!$B107,Schedule!$A$116:$A$215,0),MATCH(Dashboard!C$32,Schedule!$AU$113:$AZ$113,0)),INDEX(Schedule!$AU$224:$AZ$323,MATCH(Dashboard!$B107,Schedule!$A$224:$A$323,0),MATCH(Dashboard!C$32,Schedule!$AU$221:$AZ$221,0)))),"")</f>
        <v/>
      </c>
      <c r="D107" s="42" t="str">
        <f>IFERROR(IF(COUNTIF(Schedule!$A$8:$A$107,Dashboard!$B107)&gt;0,INDEX(Schedule!$AU$8:$AZ$107,MATCH(Dashboard!$B107,Schedule!$A$8:$A$107,0),MATCH(Dashboard!D$32,Schedule!$AU$5:$AZ$5,0)),IF(COUNTIF(Schedule!$A$116:$A$215,Dashboard!$B107)&gt;0,INDEX(Schedule!$AU$116:$AZ$215,MATCH(Dashboard!$B107,Schedule!$A$116:$A$215,0),MATCH(Dashboard!D$32,Schedule!$AU$113:$AZ$113,0)),INDEX(Schedule!$AU$224:$AZ$323,MATCH(Dashboard!$B107,Schedule!$A$224:$A$323,0),MATCH(Dashboard!D$32,Schedule!$AU$221:$AZ$221,0)))),"")</f>
        <v/>
      </c>
      <c r="E107" s="42" t="str">
        <f>IFERROR(IF(COUNTIF(Schedule!$A$8:$A$107,Dashboard!$B107)&gt;0,INDEX(Schedule!$AU$8:$AZ$107,MATCH(Dashboard!$B107,Schedule!$A$8:$A$107,0),MATCH(Dashboard!E$32,Schedule!$AU$5:$AZ$5,0)),IF(COUNTIF(Schedule!$A$116:$A$215,Dashboard!$B107)&gt;0,INDEX(Schedule!$AU$116:$AZ$215,MATCH(Dashboard!$B107,Schedule!$A$116:$A$215,0),MATCH(Dashboard!E$32,Schedule!$AU$113:$AZ$113,0)),INDEX(Schedule!$AU$224:$AZ$323,MATCH(Dashboard!$B107,Schedule!$A$224:$A$323,0),MATCH(Dashboard!E$32,Schedule!$AU$221:$AZ$221,0)))),"")</f>
        <v/>
      </c>
      <c r="F107" s="42" t="str">
        <f>IFERROR(IF(COUNTIF(Schedule!$A$8:$A$107,Dashboard!$B107)&gt;0,INDEX(Schedule!$AU$8:$AZ$107,MATCH(Dashboard!$B107,Schedule!$A$8:$A$107,0),MATCH(Dashboard!F$32,Schedule!$AU$5:$AZ$5,0)),IF(COUNTIF(Schedule!$A$116:$A$215,Dashboard!$B107)&gt;0,INDEX(Schedule!$AU$116:$AZ$215,MATCH(Dashboard!$B107,Schedule!$A$116:$A$215,0),MATCH(Dashboard!F$32,Schedule!$AU$113:$AZ$113,0)),INDEX(Schedule!$AU$224:$AZ$323,MATCH(Dashboard!$B107,Schedule!$A$224:$A$323,0),MATCH(Dashboard!F$32,Schedule!$AU$221:$AZ$221,0)))),"")</f>
        <v/>
      </c>
      <c r="G107" s="42" t="str">
        <f>IFERROR(IF(COUNTIF(Schedule!$A$8:$A$107,Dashboard!$B107)&gt;0,INDEX(Schedule!$AU$8:$AZ$107,MATCH(Dashboard!$B107,Schedule!$A$8:$A$107,0),MATCH(Dashboard!G$32,Schedule!$AU$5:$AZ$5,0)),IF(COUNTIF(Schedule!$A$116:$A$215,Dashboard!$B107)&gt;0,INDEX(Schedule!$AU$116:$AZ$215,MATCH(Dashboard!$B107,Schedule!$A$116:$A$215,0),MATCH(Dashboard!G$32,Schedule!$AU$113:$AZ$113,0)),INDEX(Schedule!$AU$224:$AZ$323,MATCH(Dashboard!$B107,Schedule!$A$224:$A$323,0),MATCH(Dashboard!G$32,Schedule!$AU$221:$AZ$221,0)))),"")</f>
        <v/>
      </c>
      <c r="H107" s="42" t="str">
        <f>IFERROR(IF(COUNTIF(Schedule!$A$8:$A$107,Dashboard!$B107)&gt;0,INDEX(Schedule!$AU$8:$AZ$107,MATCH(Dashboard!$B107,Schedule!$A$8:$A$107,0),MATCH(Dashboard!H$32,Schedule!$AU$5:$AZ$5,0)),IF(COUNTIF(Schedule!$A$116:$A$215,Dashboard!$B107)&gt;0,INDEX(Schedule!$AU$116:$AZ$215,MATCH(Dashboard!$B107,Schedule!$A$116:$A$215,0),MATCH(Dashboard!H$32,Schedule!$AU$113:$AZ$113,0)),INDEX(Schedule!$AU$224:$AZ$323,MATCH(Dashboard!$B107,Schedule!$A$224:$A$323,0),MATCH(Dashboard!H$32,Schedule!$AU$221:$AZ$221,0)))),"")</f>
        <v/>
      </c>
    </row>
    <row r="108" spans="2:8" ht="14.1" hidden="1" customHeight="1" x14ac:dyDescent="0.2">
      <c r="B108" s="40" t="str">
        <f>IF(Lists!B80=0,"",Lists!B80)</f>
        <v/>
      </c>
      <c r="C108" s="42" t="str">
        <f>IFERROR(IF(COUNTIF(Schedule!$A$8:$A$107,Dashboard!$B108)&gt;0,INDEX(Schedule!$AU$8:$AZ$107,MATCH(Dashboard!$B108,Schedule!$A$8:$A$107,0),MATCH(Dashboard!C$32,Schedule!$AU$5:$AZ$5,0)),IF(COUNTIF(Schedule!$A$116:$A$215,Dashboard!$B108)&gt;0,INDEX(Schedule!$AU$116:$AZ$215,MATCH(Dashboard!$B108,Schedule!$A$116:$A$215,0),MATCH(Dashboard!C$32,Schedule!$AU$113:$AZ$113,0)),INDEX(Schedule!$AU$224:$AZ$323,MATCH(Dashboard!$B108,Schedule!$A$224:$A$323,0),MATCH(Dashboard!C$32,Schedule!$AU$221:$AZ$221,0)))),"")</f>
        <v/>
      </c>
      <c r="D108" s="42" t="str">
        <f>IFERROR(IF(COUNTIF(Schedule!$A$8:$A$107,Dashboard!$B108)&gt;0,INDEX(Schedule!$AU$8:$AZ$107,MATCH(Dashboard!$B108,Schedule!$A$8:$A$107,0),MATCH(Dashboard!D$32,Schedule!$AU$5:$AZ$5,0)),IF(COUNTIF(Schedule!$A$116:$A$215,Dashboard!$B108)&gt;0,INDEX(Schedule!$AU$116:$AZ$215,MATCH(Dashboard!$B108,Schedule!$A$116:$A$215,0),MATCH(Dashboard!D$32,Schedule!$AU$113:$AZ$113,0)),INDEX(Schedule!$AU$224:$AZ$323,MATCH(Dashboard!$B108,Schedule!$A$224:$A$323,0),MATCH(Dashboard!D$32,Schedule!$AU$221:$AZ$221,0)))),"")</f>
        <v/>
      </c>
      <c r="E108" s="42" t="str">
        <f>IFERROR(IF(COUNTIF(Schedule!$A$8:$A$107,Dashboard!$B108)&gt;0,INDEX(Schedule!$AU$8:$AZ$107,MATCH(Dashboard!$B108,Schedule!$A$8:$A$107,0),MATCH(Dashboard!E$32,Schedule!$AU$5:$AZ$5,0)),IF(COUNTIF(Schedule!$A$116:$A$215,Dashboard!$B108)&gt;0,INDEX(Schedule!$AU$116:$AZ$215,MATCH(Dashboard!$B108,Schedule!$A$116:$A$215,0),MATCH(Dashboard!E$32,Schedule!$AU$113:$AZ$113,0)),INDEX(Schedule!$AU$224:$AZ$323,MATCH(Dashboard!$B108,Schedule!$A$224:$A$323,0),MATCH(Dashboard!E$32,Schedule!$AU$221:$AZ$221,0)))),"")</f>
        <v/>
      </c>
      <c r="F108" s="42" t="str">
        <f>IFERROR(IF(COUNTIF(Schedule!$A$8:$A$107,Dashboard!$B108)&gt;0,INDEX(Schedule!$AU$8:$AZ$107,MATCH(Dashboard!$B108,Schedule!$A$8:$A$107,0),MATCH(Dashboard!F$32,Schedule!$AU$5:$AZ$5,0)),IF(COUNTIF(Schedule!$A$116:$A$215,Dashboard!$B108)&gt;0,INDEX(Schedule!$AU$116:$AZ$215,MATCH(Dashboard!$B108,Schedule!$A$116:$A$215,0),MATCH(Dashboard!F$32,Schedule!$AU$113:$AZ$113,0)),INDEX(Schedule!$AU$224:$AZ$323,MATCH(Dashboard!$B108,Schedule!$A$224:$A$323,0),MATCH(Dashboard!F$32,Schedule!$AU$221:$AZ$221,0)))),"")</f>
        <v/>
      </c>
      <c r="G108" s="42" t="str">
        <f>IFERROR(IF(COUNTIF(Schedule!$A$8:$A$107,Dashboard!$B108)&gt;0,INDEX(Schedule!$AU$8:$AZ$107,MATCH(Dashboard!$B108,Schedule!$A$8:$A$107,0),MATCH(Dashboard!G$32,Schedule!$AU$5:$AZ$5,0)),IF(COUNTIF(Schedule!$A$116:$A$215,Dashboard!$B108)&gt;0,INDEX(Schedule!$AU$116:$AZ$215,MATCH(Dashboard!$B108,Schedule!$A$116:$A$215,0),MATCH(Dashboard!G$32,Schedule!$AU$113:$AZ$113,0)),INDEX(Schedule!$AU$224:$AZ$323,MATCH(Dashboard!$B108,Schedule!$A$224:$A$323,0),MATCH(Dashboard!G$32,Schedule!$AU$221:$AZ$221,0)))),"")</f>
        <v/>
      </c>
      <c r="H108" s="42" t="str">
        <f>IFERROR(IF(COUNTIF(Schedule!$A$8:$A$107,Dashboard!$B108)&gt;0,INDEX(Schedule!$AU$8:$AZ$107,MATCH(Dashboard!$B108,Schedule!$A$8:$A$107,0),MATCH(Dashboard!H$32,Schedule!$AU$5:$AZ$5,0)),IF(COUNTIF(Schedule!$A$116:$A$215,Dashboard!$B108)&gt;0,INDEX(Schedule!$AU$116:$AZ$215,MATCH(Dashboard!$B108,Schedule!$A$116:$A$215,0),MATCH(Dashboard!H$32,Schedule!$AU$113:$AZ$113,0)),INDEX(Schedule!$AU$224:$AZ$323,MATCH(Dashboard!$B108,Schedule!$A$224:$A$323,0),MATCH(Dashboard!H$32,Schedule!$AU$221:$AZ$221,0)))),"")</f>
        <v/>
      </c>
    </row>
    <row r="109" spans="2:8" ht="14.1" hidden="1" customHeight="1" x14ac:dyDescent="0.2">
      <c r="B109" s="40" t="str">
        <f>IF(Lists!B81=0,"",Lists!B81)</f>
        <v/>
      </c>
      <c r="C109" s="42" t="str">
        <f>IFERROR(IF(COUNTIF(Schedule!$A$8:$A$107,Dashboard!$B109)&gt;0,INDEX(Schedule!$AU$8:$AZ$107,MATCH(Dashboard!$B109,Schedule!$A$8:$A$107,0),MATCH(Dashboard!C$32,Schedule!$AU$5:$AZ$5,0)),IF(COUNTIF(Schedule!$A$116:$A$215,Dashboard!$B109)&gt;0,INDEX(Schedule!$AU$116:$AZ$215,MATCH(Dashboard!$B109,Schedule!$A$116:$A$215,0),MATCH(Dashboard!C$32,Schedule!$AU$113:$AZ$113,0)),INDEX(Schedule!$AU$224:$AZ$323,MATCH(Dashboard!$B109,Schedule!$A$224:$A$323,0),MATCH(Dashboard!C$32,Schedule!$AU$221:$AZ$221,0)))),"")</f>
        <v/>
      </c>
      <c r="D109" s="42" t="str">
        <f>IFERROR(IF(COUNTIF(Schedule!$A$8:$A$107,Dashboard!$B109)&gt;0,INDEX(Schedule!$AU$8:$AZ$107,MATCH(Dashboard!$B109,Schedule!$A$8:$A$107,0),MATCH(Dashboard!D$32,Schedule!$AU$5:$AZ$5,0)),IF(COUNTIF(Schedule!$A$116:$A$215,Dashboard!$B109)&gt;0,INDEX(Schedule!$AU$116:$AZ$215,MATCH(Dashboard!$B109,Schedule!$A$116:$A$215,0),MATCH(Dashboard!D$32,Schedule!$AU$113:$AZ$113,0)),INDEX(Schedule!$AU$224:$AZ$323,MATCH(Dashboard!$B109,Schedule!$A$224:$A$323,0),MATCH(Dashboard!D$32,Schedule!$AU$221:$AZ$221,0)))),"")</f>
        <v/>
      </c>
      <c r="E109" s="42" t="str">
        <f>IFERROR(IF(COUNTIF(Schedule!$A$8:$A$107,Dashboard!$B109)&gt;0,INDEX(Schedule!$AU$8:$AZ$107,MATCH(Dashboard!$B109,Schedule!$A$8:$A$107,0),MATCH(Dashboard!E$32,Schedule!$AU$5:$AZ$5,0)),IF(COUNTIF(Schedule!$A$116:$A$215,Dashboard!$B109)&gt;0,INDEX(Schedule!$AU$116:$AZ$215,MATCH(Dashboard!$B109,Schedule!$A$116:$A$215,0),MATCH(Dashboard!E$32,Schedule!$AU$113:$AZ$113,0)),INDEX(Schedule!$AU$224:$AZ$323,MATCH(Dashboard!$B109,Schedule!$A$224:$A$323,0),MATCH(Dashboard!E$32,Schedule!$AU$221:$AZ$221,0)))),"")</f>
        <v/>
      </c>
      <c r="F109" s="42" t="str">
        <f>IFERROR(IF(COUNTIF(Schedule!$A$8:$A$107,Dashboard!$B109)&gt;0,INDEX(Schedule!$AU$8:$AZ$107,MATCH(Dashboard!$B109,Schedule!$A$8:$A$107,0),MATCH(Dashboard!F$32,Schedule!$AU$5:$AZ$5,0)),IF(COUNTIF(Schedule!$A$116:$A$215,Dashboard!$B109)&gt;0,INDEX(Schedule!$AU$116:$AZ$215,MATCH(Dashboard!$B109,Schedule!$A$116:$A$215,0),MATCH(Dashboard!F$32,Schedule!$AU$113:$AZ$113,0)),INDEX(Schedule!$AU$224:$AZ$323,MATCH(Dashboard!$B109,Schedule!$A$224:$A$323,0),MATCH(Dashboard!F$32,Schedule!$AU$221:$AZ$221,0)))),"")</f>
        <v/>
      </c>
      <c r="G109" s="42" t="str">
        <f>IFERROR(IF(COUNTIF(Schedule!$A$8:$A$107,Dashboard!$B109)&gt;0,INDEX(Schedule!$AU$8:$AZ$107,MATCH(Dashboard!$B109,Schedule!$A$8:$A$107,0),MATCH(Dashboard!G$32,Schedule!$AU$5:$AZ$5,0)),IF(COUNTIF(Schedule!$A$116:$A$215,Dashboard!$B109)&gt;0,INDEX(Schedule!$AU$116:$AZ$215,MATCH(Dashboard!$B109,Schedule!$A$116:$A$215,0),MATCH(Dashboard!G$32,Schedule!$AU$113:$AZ$113,0)),INDEX(Schedule!$AU$224:$AZ$323,MATCH(Dashboard!$B109,Schedule!$A$224:$A$323,0),MATCH(Dashboard!G$32,Schedule!$AU$221:$AZ$221,0)))),"")</f>
        <v/>
      </c>
      <c r="H109" s="42" t="str">
        <f>IFERROR(IF(COUNTIF(Schedule!$A$8:$A$107,Dashboard!$B109)&gt;0,INDEX(Schedule!$AU$8:$AZ$107,MATCH(Dashboard!$B109,Schedule!$A$8:$A$107,0),MATCH(Dashboard!H$32,Schedule!$AU$5:$AZ$5,0)),IF(COUNTIF(Schedule!$A$116:$A$215,Dashboard!$B109)&gt;0,INDEX(Schedule!$AU$116:$AZ$215,MATCH(Dashboard!$B109,Schedule!$A$116:$A$215,0),MATCH(Dashboard!H$32,Schedule!$AU$113:$AZ$113,0)),INDEX(Schedule!$AU$224:$AZ$323,MATCH(Dashboard!$B109,Schedule!$A$224:$A$323,0),MATCH(Dashboard!H$32,Schedule!$AU$221:$AZ$221,0)))),"")</f>
        <v/>
      </c>
    </row>
    <row r="110" spans="2:8" ht="14.1" hidden="1" customHeight="1" x14ac:dyDescent="0.2">
      <c r="B110" s="40" t="str">
        <f>IF(Lists!B82=0,"",Lists!B82)</f>
        <v/>
      </c>
      <c r="C110" s="42" t="str">
        <f>IFERROR(IF(COUNTIF(Schedule!$A$8:$A$107,Dashboard!$B110)&gt;0,INDEX(Schedule!$AU$8:$AZ$107,MATCH(Dashboard!$B110,Schedule!$A$8:$A$107,0),MATCH(Dashboard!C$32,Schedule!$AU$5:$AZ$5,0)),IF(COUNTIF(Schedule!$A$116:$A$215,Dashboard!$B110)&gt;0,INDEX(Schedule!$AU$116:$AZ$215,MATCH(Dashboard!$B110,Schedule!$A$116:$A$215,0),MATCH(Dashboard!C$32,Schedule!$AU$113:$AZ$113,0)),INDEX(Schedule!$AU$224:$AZ$323,MATCH(Dashboard!$B110,Schedule!$A$224:$A$323,0),MATCH(Dashboard!C$32,Schedule!$AU$221:$AZ$221,0)))),"")</f>
        <v/>
      </c>
      <c r="D110" s="42" t="str">
        <f>IFERROR(IF(COUNTIF(Schedule!$A$8:$A$107,Dashboard!$B110)&gt;0,INDEX(Schedule!$AU$8:$AZ$107,MATCH(Dashboard!$B110,Schedule!$A$8:$A$107,0),MATCH(Dashboard!D$32,Schedule!$AU$5:$AZ$5,0)),IF(COUNTIF(Schedule!$A$116:$A$215,Dashboard!$B110)&gt;0,INDEX(Schedule!$AU$116:$AZ$215,MATCH(Dashboard!$B110,Schedule!$A$116:$A$215,0),MATCH(Dashboard!D$32,Schedule!$AU$113:$AZ$113,0)),INDEX(Schedule!$AU$224:$AZ$323,MATCH(Dashboard!$B110,Schedule!$A$224:$A$323,0),MATCH(Dashboard!D$32,Schedule!$AU$221:$AZ$221,0)))),"")</f>
        <v/>
      </c>
      <c r="E110" s="42" t="str">
        <f>IFERROR(IF(COUNTIF(Schedule!$A$8:$A$107,Dashboard!$B110)&gt;0,INDEX(Schedule!$AU$8:$AZ$107,MATCH(Dashboard!$B110,Schedule!$A$8:$A$107,0),MATCH(Dashboard!E$32,Schedule!$AU$5:$AZ$5,0)),IF(COUNTIF(Schedule!$A$116:$A$215,Dashboard!$B110)&gt;0,INDEX(Schedule!$AU$116:$AZ$215,MATCH(Dashboard!$B110,Schedule!$A$116:$A$215,0),MATCH(Dashboard!E$32,Schedule!$AU$113:$AZ$113,0)),INDEX(Schedule!$AU$224:$AZ$323,MATCH(Dashboard!$B110,Schedule!$A$224:$A$323,0),MATCH(Dashboard!E$32,Schedule!$AU$221:$AZ$221,0)))),"")</f>
        <v/>
      </c>
      <c r="F110" s="42" t="str">
        <f>IFERROR(IF(COUNTIF(Schedule!$A$8:$A$107,Dashboard!$B110)&gt;0,INDEX(Schedule!$AU$8:$AZ$107,MATCH(Dashboard!$B110,Schedule!$A$8:$A$107,0),MATCH(Dashboard!F$32,Schedule!$AU$5:$AZ$5,0)),IF(COUNTIF(Schedule!$A$116:$A$215,Dashboard!$B110)&gt;0,INDEX(Schedule!$AU$116:$AZ$215,MATCH(Dashboard!$B110,Schedule!$A$116:$A$215,0),MATCH(Dashboard!F$32,Schedule!$AU$113:$AZ$113,0)),INDEX(Schedule!$AU$224:$AZ$323,MATCH(Dashboard!$B110,Schedule!$A$224:$A$323,0),MATCH(Dashboard!F$32,Schedule!$AU$221:$AZ$221,0)))),"")</f>
        <v/>
      </c>
      <c r="G110" s="42" t="str">
        <f>IFERROR(IF(COUNTIF(Schedule!$A$8:$A$107,Dashboard!$B110)&gt;0,INDEX(Schedule!$AU$8:$AZ$107,MATCH(Dashboard!$B110,Schedule!$A$8:$A$107,0),MATCH(Dashboard!G$32,Schedule!$AU$5:$AZ$5,0)),IF(COUNTIF(Schedule!$A$116:$A$215,Dashboard!$B110)&gt;0,INDEX(Schedule!$AU$116:$AZ$215,MATCH(Dashboard!$B110,Schedule!$A$116:$A$215,0),MATCH(Dashboard!G$32,Schedule!$AU$113:$AZ$113,0)),INDEX(Schedule!$AU$224:$AZ$323,MATCH(Dashboard!$B110,Schedule!$A$224:$A$323,0),MATCH(Dashboard!G$32,Schedule!$AU$221:$AZ$221,0)))),"")</f>
        <v/>
      </c>
      <c r="H110" s="42" t="str">
        <f>IFERROR(IF(COUNTIF(Schedule!$A$8:$A$107,Dashboard!$B110)&gt;0,INDEX(Schedule!$AU$8:$AZ$107,MATCH(Dashboard!$B110,Schedule!$A$8:$A$107,0),MATCH(Dashboard!H$32,Schedule!$AU$5:$AZ$5,0)),IF(COUNTIF(Schedule!$A$116:$A$215,Dashboard!$B110)&gt;0,INDEX(Schedule!$AU$116:$AZ$215,MATCH(Dashboard!$B110,Schedule!$A$116:$A$215,0),MATCH(Dashboard!H$32,Schedule!$AU$113:$AZ$113,0)),INDEX(Schedule!$AU$224:$AZ$323,MATCH(Dashboard!$B110,Schedule!$A$224:$A$323,0),MATCH(Dashboard!H$32,Schedule!$AU$221:$AZ$221,0)))),"")</f>
        <v/>
      </c>
    </row>
    <row r="111" spans="2:8" ht="14.1" hidden="1" customHeight="1" x14ac:dyDescent="0.2">
      <c r="B111" s="40" t="str">
        <f>IF(Lists!B83=0,"",Lists!B83)</f>
        <v/>
      </c>
      <c r="C111" s="42" t="str">
        <f>IFERROR(IF(COUNTIF(Schedule!$A$8:$A$107,Dashboard!$B111)&gt;0,INDEX(Schedule!$AU$8:$AZ$107,MATCH(Dashboard!$B111,Schedule!$A$8:$A$107,0),MATCH(Dashboard!C$32,Schedule!$AU$5:$AZ$5,0)),IF(COUNTIF(Schedule!$A$116:$A$215,Dashboard!$B111)&gt;0,INDEX(Schedule!$AU$116:$AZ$215,MATCH(Dashboard!$B111,Schedule!$A$116:$A$215,0),MATCH(Dashboard!C$32,Schedule!$AU$113:$AZ$113,0)),INDEX(Schedule!$AU$224:$AZ$323,MATCH(Dashboard!$B111,Schedule!$A$224:$A$323,0),MATCH(Dashboard!C$32,Schedule!$AU$221:$AZ$221,0)))),"")</f>
        <v/>
      </c>
      <c r="D111" s="42" t="str">
        <f>IFERROR(IF(COUNTIF(Schedule!$A$8:$A$107,Dashboard!$B111)&gt;0,INDEX(Schedule!$AU$8:$AZ$107,MATCH(Dashboard!$B111,Schedule!$A$8:$A$107,0),MATCH(Dashboard!D$32,Schedule!$AU$5:$AZ$5,0)),IF(COUNTIF(Schedule!$A$116:$A$215,Dashboard!$B111)&gt;0,INDEX(Schedule!$AU$116:$AZ$215,MATCH(Dashboard!$B111,Schedule!$A$116:$A$215,0),MATCH(Dashboard!D$32,Schedule!$AU$113:$AZ$113,0)),INDEX(Schedule!$AU$224:$AZ$323,MATCH(Dashboard!$B111,Schedule!$A$224:$A$323,0),MATCH(Dashboard!D$32,Schedule!$AU$221:$AZ$221,0)))),"")</f>
        <v/>
      </c>
      <c r="E111" s="42" t="str">
        <f>IFERROR(IF(COUNTIF(Schedule!$A$8:$A$107,Dashboard!$B111)&gt;0,INDEX(Schedule!$AU$8:$AZ$107,MATCH(Dashboard!$B111,Schedule!$A$8:$A$107,0),MATCH(Dashboard!E$32,Schedule!$AU$5:$AZ$5,0)),IF(COUNTIF(Schedule!$A$116:$A$215,Dashboard!$B111)&gt;0,INDEX(Schedule!$AU$116:$AZ$215,MATCH(Dashboard!$B111,Schedule!$A$116:$A$215,0),MATCH(Dashboard!E$32,Schedule!$AU$113:$AZ$113,0)),INDEX(Schedule!$AU$224:$AZ$323,MATCH(Dashboard!$B111,Schedule!$A$224:$A$323,0),MATCH(Dashboard!E$32,Schedule!$AU$221:$AZ$221,0)))),"")</f>
        <v/>
      </c>
      <c r="F111" s="42" t="str">
        <f>IFERROR(IF(COUNTIF(Schedule!$A$8:$A$107,Dashboard!$B111)&gt;0,INDEX(Schedule!$AU$8:$AZ$107,MATCH(Dashboard!$B111,Schedule!$A$8:$A$107,0),MATCH(Dashboard!F$32,Schedule!$AU$5:$AZ$5,0)),IF(COUNTIF(Schedule!$A$116:$A$215,Dashboard!$B111)&gt;0,INDEX(Schedule!$AU$116:$AZ$215,MATCH(Dashboard!$B111,Schedule!$A$116:$A$215,0),MATCH(Dashboard!F$32,Schedule!$AU$113:$AZ$113,0)),INDEX(Schedule!$AU$224:$AZ$323,MATCH(Dashboard!$B111,Schedule!$A$224:$A$323,0),MATCH(Dashboard!F$32,Schedule!$AU$221:$AZ$221,0)))),"")</f>
        <v/>
      </c>
      <c r="G111" s="42" t="str">
        <f>IFERROR(IF(COUNTIF(Schedule!$A$8:$A$107,Dashboard!$B111)&gt;0,INDEX(Schedule!$AU$8:$AZ$107,MATCH(Dashboard!$B111,Schedule!$A$8:$A$107,0),MATCH(Dashboard!G$32,Schedule!$AU$5:$AZ$5,0)),IF(COUNTIF(Schedule!$A$116:$A$215,Dashboard!$B111)&gt;0,INDEX(Schedule!$AU$116:$AZ$215,MATCH(Dashboard!$B111,Schedule!$A$116:$A$215,0),MATCH(Dashboard!G$32,Schedule!$AU$113:$AZ$113,0)),INDEX(Schedule!$AU$224:$AZ$323,MATCH(Dashboard!$B111,Schedule!$A$224:$A$323,0),MATCH(Dashboard!G$32,Schedule!$AU$221:$AZ$221,0)))),"")</f>
        <v/>
      </c>
      <c r="H111" s="42" t="str">
        <f>IFERROR(IF(COUNTIF(Schedule!$A$8:$A$107,Dashboard!$B111)&gt;0,INDEX(Schedule!$AU$8:$AZ$107,MATCH(Dashboard!$B111,Schedule!$A$8:$A$107,0),MATCH(Dashboard!H$32,Schedule!$AU$5:$AZ$5,0)),IF(COUNTIF(Schedule!$A$116:$A$215,Dashboard!$B111)&gt;0,INDEX(Schedule!$AU$116:$AZ$215,MATCH(Dashboard!$B111,Schedule!$A$116:$A$215,0),MATCH(Dashboard!H$32,Schedule!$AU$113:$AZ$113,0)),INDEX(Schedule!$AU$224:$AZ$323,MATCH(Dashboard!$B111,Schedule!$A$224:$A$323,0),MATCH(Dashboard!H$32,Schedule!$AU$221:$AZ$221,0)))),"")</f>
        <v/>
      </c>
    </row>
    <row r="112" spans="2:8" ht="14.1" hidden="1" customHeight="1" x14ac:dyDescent="0.2">
      <c r="B112" s="40" t="str">
        <f>IF(Lists!B84=0,"",Lists!B84)</f>
        <v/>
      </c>
      <c r="C112" s="42" t="str">
        <f>IFERROR(IF(COUNTIF(Schedule!$A$8:$A$107,Dashboard!$B112)&gt;0,INDEX(Schedule!$AU$8:$AZ$107,MATCH(Dashboard!$B112,Schedule!$A$8:$A$107,0),MATCH(Dashboard!C$32,Schedule!$AU$5:$AZ$5,0)),IF(COUNTIF(Schedule!$A$116:$A$215,Dashboard!$B112)&gt;0,INDEX(Schedule!$AU$116:$AZ$215,MATCH(Dashboard!$B112,Schedule!$A$116:$A$215,0),MATCH(Dashboard!C$32,Schedule!$AU$113:$AZ$113,0)),INDEX(Schedule!$AU$224:$AZ$323,MATCH(Dashboard!$B112,Schedule!$A$224:$A$323,0),MATCH(Dashboard!C$32,Schedule!$AU$221:$AZ$221,0)))),"")</f>
        <v/>
      </c>
      <c r="D112" s="42" t="str">
        <f>IFERROR(IF(COUNTIF(Schedule!$A$8:$A$107,Dashboard!$B112)&gt;0,INDEX(Schedule!$AU$8:$AZ$107,MATCH(Dashboard!$B112,Schedule!$A$8:$A$107,0),MATCH(Dashboard!D$32,Schedule!$AU$5:$AZ$5,0)),IF(COUNTIF(Schedule!$A$116:$A$215,Dashboard!$B112)&gt;0,INDEX(Schedule!$AU$116:$AZ$215,MATCH(Dashboard!$B112,Schedule!$A$116:$A$215,0),MATCH(Dashboard!D$32,Schedule!$AU$113:$AZ$113,0)),INDEX(Schedule!$AU$224:$AZ$323,MATCH(Dashboard!$B112,Schedule!$A$224:$A$323,0),MATCH(Dashboard!D$32,Schedule!$AU$221:$AZ$221,0)))),"")</f>
        <v/>
      </c>
      <c r="E112" s="42" t="str">
        <f>IFERROR(IF(COUNTIF(Schedule!$A$8:$A$107,Dashboard!$B112)&gt;0,INDEX(Schedule!$AU$8:$AZ$107,MATCH(Dashboard!$B112,Schedule!$A$8:$A$107,0),MATCH(Dashboard!E$32,Schedule!$AU$5:$AZ$5,0)),IF(COUNTIF(Schedule!$A$116:$A$215,Dashboard!$B112)&gt;0,INDEX(Schedule!$AU$116:$AZ$215,MATCH(Dashboard!$B112,Schedule!$A$116:$A$215,0),MATCH(Dashboard!E$32,Schedule!$AU$113:$AZ$113,0)),INDEX(Schedule!$AU$224:$AZ$323,MATCH(Dashboard!$B112,Schedule!$A$224:$A$323,0),MATCH(Dashboard!E$32,Schedule!$AU$221:$AZ$221,0)))),"")</f>
        <v/>
      </c>
      <c r="F112" s="42" t="str">
        <f>IFERROR(IF(COUNTIF(Schedule!$A$8:$A$107,Dashboard!$B112)&gt;0,INDEX(Schedule!$AU$8:$AZ$107,MATCH(Dashboard!$B112,Schedule!$A$8:$A$107,0),MATCH(Dashboard!F$32,Schedule!$AU$5:$AZ$5,0)),IF(COUNTIF(Schedule!$A$116:$A$215,Dashboard!$B112)&gt;0,INDEX(Schedule!$AU$116:$AZ$215,MATCH(Dashboard!$B112,Schedule!$A$116:$A$215,0),MATCH(Dashboard!F$32,Schedule!$AU$113:$AZ$113,0)),INDEX(Schedule!$AU$224:$AZ$323,MATCH(Dashboard!$B112,Schedule!$A$224:$A$323,0),MATCH(Dashboard!F$32,Schedule!$AU$221:$AZ$221,0)))),"")</f>
        <v/>
      </c>
      <c r="G112" s="42" t="str">
        <f>IFERROR(IF(COUNTIF(Schedule!$A$8:$A$107,Dashboard!$B112)&gt;0,INDEX(Schedule!$AU$8:$AZ$107,MATCH(Dashboard!$B112,Schedule!$A$8:$A$107,0),MATCH(Dashboard!G$32,Schedule!$AU$5:$AZ$5,0)),IF(COUNTIF(Schedule!$A$116:$A$215,Dashboard!$B112)&gt;0,INDEX(Schedule!$AU$116:$AZ$215,MATCH(Dashboard!$B112,Schedule!$A$116:$A$215,0),MATCH(Dashboard!G$32,Schedule!$AU$113:$AZ$113,0)),INDEX(Schedule!$AU$224:$AZ$323,MATCH(Dashboard!$B112,Schedule!$A$224:$A$323,0),MATCH(Dashboard!G$32,Schedule!$AU$221:$AZ$221,0)))),"")</f>
        <v/>
      </c>
      <c r="H112" s="42" t="str">
        <f>IFERROR(IF(COUNTIF(Schedule!$A$8:$A$107,Dashboard!$B112)&gt;0,INDEX(Schedule!$AU$8:$AZ$107,MATCH(Dashboard!$B112,Schedule!$A$8:$A$107,0),MATCH(Dashboard!H$32,Schedule!$AU$5:$AZ$5,0)),IF(COUNTIF(Schedule!$A$116:$A$215,Dashboard!$B112)&gt;0,INDEX(Schedule!$AU$116:$AZ$215,MATCH(Dashboard!$B112,Schedule!$A$116:$A$215,0),MATCH(Dashboard!H$32,Schedule!$AU$113:$AZ$113,0)),INDEX(Schedule!$AU$224:$AZ$323,MATCH(Dashboard!$B112,Schedule!$A$224:$A$323,0),MATCH(Dashboard!H$32,Schedule!$AU$221:$AZ$221,0)))),"")</f>
        <v/>
      </c>
    </row>
    <row r="113" spans="2:8" ht="14.1" hidden="1" customHeight="1" x14ac:dyDescent="0.2">
      <c r="B113" s="40" t="str">
        <f>IF(Lists!B85=0,"",Lists!B85)</f>
        <v/>
      </c>
      <c r="C113" s="42" t="str">
        <f>IFERROR(IF(COUNTIF(Schedule!$A$8:$A$107,Dashboard!$B113)&gt;0,INDEX(Schedule!$AU$8:$AZ$107,MATCH(Dashboard!$B113,Schedule!$A$8:$A$107,0),MATCH(Dashboard!C$32,Schedule!$AU$5:$AZ$5,0)),IF(COUNTIF(Schedule!$A$116:$A$215,Dashboard!$B113)&gt;0,INDEX(Schedule!$AU$116:$AZ$215,MATCH(Dashboard!$B113,Schedule!$A$116:$A$215,0),MATCH(Dashboard!C$32,Schedule!$AU$113:$AZ$113,0)),INDEX(Schedule!$AU$224:$AZ$323,MATCH(Dashboard!$B113,Schedule!$A$224:$A$323,0),MATCH(Dashboard!C$32,Schedule!$AU$221:$AZ$221,0)))),"")</f>
        <v/>
      </c>
      <c r="D113" s="42" t="str">
        <f>IFERROR(IF(COUNTIF(Schedule!$A$8:$A$107,Dashboard!$B113)&gt;0,INDEX(Schedule!$AU$8:$AZ$107,MATCH(Dashboard!$B113,Schedule!$A$8:$A$107,0),MATCH(Dashboard!D$32,Schedule!$AU$5:$AZ$5,0)),IF(COUNTIF(Schedule!$A$116:$A$215,Dashboard!$B113)&gt;0,INDEX(Schedule!$AU$116:$AZ$215,MATCH(Dashboard!$B113,Schedule!$A$116:$A$215,0),MATCH(Dashboard!D$32,Schedule!$AU$113:$AZ$113,0)),INDEX(Schedule!$AU$224:$AZ$323,MATCH(Dashboard!$B113,Schedule!$A$224:$A$323,0),MATCH(Dashboard!D$32,Schedule!$AU$221:$AZ$221,0)))),"")</f>
        <v/>
      </c>
      <c r="E113" s="42" t="str">
        <f>IFERROR(IF(COUNTIF(Schedule!$A$8:$A$107,Dashboard!$B113)&gt;0,INDEX(Schedule!$AU$8:$AZ$107,MATCH(Dashboard!$B113,Schedule!$A$8:$A$107,0),MATCH(Dashboard!E$32,Schedule!$AU$5:$AZ$5,0)),IF(COUNTIF(Schedule!$A$116:$A$215,Dashboard!$B113)&gt;0,INDEX(Schedule!$AU$116:$AZ$215,MATCH(Dashboard!$B113,Schedule!$A$116:$A$215,0),MATCH(Dashboard!E$32,Schedule!$AU$113:$AZ$113,0)),INDEX(Schedule!$AU$224:$AZ$323,MATCH(Dashboard!$B113,Schedule!$A$224:$A$323,0),MATCH(Dashboard!E$32,Schedule!$AU$221:$AZ$221,0)))),"")</f>
        <v/>
      </c>
      <c r="F113" s="42" t="str">
        <f>IFERROR(IF(COUNTIF(Schedule!$A$8:$A$107,Dashboard!$B113)&gt;0,INDEX(Schedule!$AU$8:$AZ$107,MATCH(Dashboard!$B113,Schedule!$A$8:$A$107,0),MATCH(Dashboard!F$32,Schedule!$AU$5:$AZ$5,0)),IF(COUNTIF(Schedule!$A$116:$A$215,Dashboard!$B113)&gt;0,INDEX(Schedule!$AU$116:$AZ$215,MATCH(Dashboard!$B113,Schedule!$A$116:$A$215,0),MATCH(Dashboard!F$32,Schedule!$AU$113:$AZ$113,0)),INDEX(Schedule!$AU$224:$AZ$323,MATCH(Dashboard!$B113,Schedule!$A$224:$A$323,0),MATCH(Dashboard!F$32,Schedule!$AU$221:$AZ$221,0)))),"")</f>
        <v/>
      </c>
      <c r="G113" s="42" t="str">
        <f>IFERROR(IF(COUNTIF(Schedule!$A$8:$A$107,Dashboard!$B113)&gt;0,INDEX(Schedule!$AU$8:$AZ$107,MATCH(Dashboard!$B113,Schedule!$A$8:$A$107,0),MATCH(Dashboard!G$32,Schedule!$AU$5:$AZ$5,0)),IF(COUNTIF(Schedule!$A$116:$A$215,Dashboard!$B113)&gt;0,INDEX(Schedule!$AU$116:$AZ$215,MATCH(Dashboard!$B113,Schedule!$A$116:$A$215,0),MATCH(Dashboard!G$32,Schedule!$AU$113:$AZ$113,0)),INDEX(Schedule!$AU$224:$AZ$323,MATCH(Dashboard!$B113,Schedule!$A$224:$A$323,0),MATCH(Dashboard!G$32,Schedule!$AU$221:$AZ$221,0)))),"")</f>
        <v/>
      </c>
      <c r="H113" s="42" t="str">
        <f>IFERROR(IF(COUNTIF(Schedule!$A$8:$A$107,Dashboard!$B113)&gt;0,INDEX(Schedule!$AU$8:$AZ$107,MATCH(Dashboard!$B113,Schedule!$A$8:$A$107,0),MATCH(Dashboard!H$32,Schedule!$AU$5:$AZ$5,0)),IF(COUNTIF(Schedule!$A$116:$A$215,Dashboard!$B113)&gt;0,INDEX(Schedule!$AU$116:$AZ$215,MATCH(Dashboard!$B113,Schedule!$A$116:$A$215,0),MATCH(Dashboard!H$32,Schedule!$AU$113:$AZ$113,0)),INDEX(Schedule!$AU$224:$AZ$323,MATCH(Dashboard!$B113,Schedule!$A$224:$A$323,0),MATCH(Dashboard!H$32,Schedule!$AU$221:$AZ$221,0)))),"")</f>
        <v/>
      </c>
    </row>
    <row r="114" spans="2:8" ht="14.1" hidden="1" customHeight="1" x14ac:dyDescent="0.2">
      <c r="B114" s="40" t="str">
        <f>IF(Lists!B86=0,"",Lists!B86)</f>
        <v/>
      </c>
      <c r="C114" s="42" t="str">
        <f>IFERROR(IF(COUNTIF(Schedule!$A$8:$A$107,Dashboard!$B114)&gt;0,INDEX(Schedule!$AU$8:$AZ$107,MATCH(Dashboard!$B114,Schedule!$A$8:$A$107,0),MATCH(Dashboard!C$32,Schedule!$AU$5:$AZ$5,0)),IF(COUNTIF(Schedule!$A$116:$A$215,Dashboard!$B114)&gt;0,INDEX(Schedule!$AU$116:$AZ$215,MATCH(Dashboard!$B114,Schedule!$A$116:$A$215,0),MATCH(Dashboard!C$32,Schedule!$AU$113:$AZ$113,0)),INDEX(Schedule!$AU$224:$AZ$323,MATCH(Dashboard!$B114,Schedule!$A$224:$A$323,0),MATCH(Dashboard!C$32,Schedule!$AU$221:$AZ$221,0)))),"")</f>
        <v/>
      </c>
      <c r="D114" s="42" t="str">
        <f>IFERROR(IF(COUNTIF(Schedule!$A$8:$A$107,Dashboard!$B114)&gt;0,INDEX(Schedule!$AU$8:$AZ$107,MATCH(Dashboard!$B114,Schedule!$A$8:$A$107,0),MATCH(Dashboard!D$32,Schedule!$AU$5:$AZ$5,0)),IF(COUNTIF(Schedule!$A$116:$A$215,Dashboard!$B114)&gt;0,INDEX(Schedule!$AU$116:$AZ$215,MATCH(Dashboard!$B114,Schedule!$A$116:$A$215,0),MATCH(Dashboard!D$32,Schedule!$AU$113:$AZ$113,0)),INDEX(Schedule!$AU$224:$AZ$323,MATCH(Dashboard!$B114,Schedule!$A$224:$A$323,0),MATCH(Dashboard!D$32,Schedule!$AU$221:$AZ$221,0)))),"")</f>
        <v/>
      </c>
      <c r="E114" s="42" t="str">
        <f>IFERROR(IF(COUNTIF(Schedule!$A$8:$A$107,Dashboard!$B114)&gt;0,INDEX(Schedule!$AU$8:$AZ$107,MATCH(Dashboard!$B114,Schedule!$A$8:$A$107,0),MATCH(Dashboard!E$32,Schedule!$AU$5:$AZ$5,0)),IF(COUNTIF(Schedule!$A$116:$A$215,Dashboard!$B114)&gt;0,INDEX(Schedule!$AU$116:$AZ$215,MATCH(Dashboard!$B114,Schedule!$A$116:$A$215,0),MATCH(Dashboard!E$32,Schedule!$AU$113:$AZ$113,0)),INDEX(Schedule!$AU$224:$AZ$323,MATCH(Dashboard!$B114,Schedule!$A$224:$A$323,0),MATCH(Dashboard!E$32,Schedule!$AU$221:$AZ$221,0)))),"")</f>
        <v/>
      </c>
      <c r="F114" s="42" t="str">
        <f>IFERROR(IF(COUNTIF(Schedule!$A$8:$A$107,Dashboard!$B114)&gt;0,INDEX(Schedule!$AU$8:$AZ$107,MATCH(Dashboard!$B114,Schedule!$A$8:$A$107,0),MATCH(Dashboard!F$32,Schedule!$AU$5:$AZ$5,0)),IF(COUNTIF(Schedule!$A$116:$A$215,Dashboard!$B114)&gt;0,INDEX(Schedule!$AU$116:$AZ$215,MATCH(Dashboard!$B114,Schedule!$A$116:$A$215,0),MATCH(Dashboard!F$32,Schedule!$AU$113:$AZ$113,0)),INDEX(Schedule!$AU$224:$AZ$323,MATCH(Dashboard!$B114,Schedule!$A$224:$A$323,0),MATCH(Dashboard!F$32,Schedule!$AU$221:$AZ$221,0)))),"")</f>
        <v/>
      </c>
      <c r="G114" s="42" t="str">
        <f>IFERROR(IF(COUNTIF(Schedule!$A$8:$A$107,Dashboard!$B114)&gt;0,INDEX(Schedule!$AU$8:$AZ$107,MATCH(Dashboard!$B114,Schedule!$A$8:$A$107,0),MATCH(Dashboard!G$32,Schedule!$AU$5:$AZ$5,0)),IF(COUNTIF(Schedule!$A$116:$A$215,Dashboard!$B114)&gt;0,INDEX(Schedule!$AU$116:$AZ$215,MATCH(Dashboard!$B114,Schedule!$A$116:$A$215,0),MATCH(Dashboard!G$32,Schedule!$AU$113:$AZ$113,0)),INDEX(Schedule!$AU$224:$AZ$323,MATCH(Dashboard!$B114,Schedule!$A$224:$A$323,0),MATCH(Dashboard!G$32,Schedule!$AU$221:$AZ$221,0)))),"")</f>
        <v/>
      </c>
      <c r="H114" s="42" t="str">
        <f>IFERROR(IF(COUNTIF(Schedule!$A$8:$A$107,Dashboard!$B114)&gt;0,INDEX(Schedule!$AU$8:$AZ$107,MATCH(Dashboard!$B114,Schedule!$A$8:$A$107,0),MATCH(Dashboard!H$32,Schedule!$AU$5:$AZ$5,0)),IF(COUNTIF(Schedule!$A$116:$A$215,Dashboard!$B114)&gt;0,INDEX(Schedule!$AU$116:$AZ$215,MATCH(Dashboard!$B114,Schedule!$A$116:$A$215,0),MATCH(Dashboard!H$32,Schedule!$AU$113:$AZ$113,0)),INDEX(Schedule!$AU$224:$AZ$323,MATCH(Dashboard!$B114,Schedule!$A$224:$A$323,0),MATCH(Dashboard!H$32,Schedule!$AU$221:$AZ$221,0)))),"")</f>
        <v/>
      </c>
    </row>
    <row r="115" spans="2:8" ht="14.1" hidden="1" customHeight="1" x14ac:dyDescent="0.2">
      <c r="B115" s="40" t="str">
        <f>IF(Lists!B87=0,"",Lists!B87)</f>
        <v/>
      </c>
      <c r="C115" s="42" t="str">
        <f>IFERROR(IF(COUNTIF(Schedule!$A$8:$A$107,Dashboard!$B115)&gt;0,INDEX(Schedule!$AU$8:$AZ$107,MATCH(Dashboard!$B115,Schedule!$A$8:$A$107,0),MATCH(Dashboard!C$32,Schedule!$AU$5:$AZ$5,0)),IF(COUNTIF(Schedule!$A$116:$A$215,Dashboard!$B115)&gt;0,INDEX(Schedule!$AU$116:$AZ$215,MATCH(Dashboard!$B115,Schedule!$A$116:$A$215,0),MATCH(Dashboard!C$32,Schedule!$AU$113:$AZ$113,0)),INDEX(Schedule!$AU$224:$AZ$323,MATCH(Dashboard!$B115,Schedule!$A$224:$A$323,0),MATCH(Dashboard!C$32,Schedule!$AU$221:$AZ$221,0)))),"")</f>
        <v/>
      </c>
      <c r="D115" s="42" t="str">
        <f>IFERROR(IF(COUNTIF(Schedule!$A$8:$A$107,Dashboard!$B115)&gt;0,INDEX(Schedule!$AU$8:$AZ$107,MATCH(Dashboard!$B115,Schedule!$A$8:$A$107,0),MATCH(Dashboard!D$32,Schedule!$AU$5:$AZ$5,0)),IF(COUNTIF(Schedule!$A$116:$A$215,Dashboard!$B115)&gt;0,INDEX(Schedule!$AU$116:$AZ$215,MATCH(Dashboard!$B115,Schedule!$A$116:$A$215,0),MATCH(Dashboard!D$32,Schedule!$AU$113:$AZ$113,0)),INDEX(Schedule!$AU$224:$AZ$323,MATCH(Dashboard!$B115,Schedule!$A$224:$A$323,0),MATCH(Dashboard!D$32,Schedule!$AU$221:$AZ$221,0)))),"")</f>
        <v/>
      </c>
      <c r="E115" s="42" t="str">
        <f>IFERROR(IF(COUNTIF(Schedule!$A$8:$A$107,Dashboard!$B115)&gt;0,INDEX(Schedule!$AU$8:$AZ$107,MATCH(Dashboard!$B115,Schedule!$A$8:$A$107,0),MATCH(Dashboard!E$32,Schedule!$AU$5:$AZ$5,0)),IF(COUNTIF(Schedule!$A$116:$A$215,Dashboard!$B115)&gt;0,INDEX(Schedule!$AU$116:$AZ$215,MATCH(Dashboard!$B115,Schedule!$A$116:$A$215,0),MATCH(Dashboard!E$32,Schedule!$AU$113:$AZ$113,0)),INDEX(Schedule!$AU$224:$AZ$323,MATCH(Dashboard!$B115,Schedule!$A$224:$A$323,0),MATCH(Dashboard!E$32,Schedule!$AU$221:$AZ$221,0)))),"")</f>
        <v/>
      </c>
      <c r="F115" s="42" t="str">
        <f>IFERROR(IF(COUNTIF(Schedule!$A$8:$A$107,Dashboard!$B115)&gt;0,INDEX(Schedule!$AU$8:$AZ$107,MATCH(Dashboard!$B115,Schedule!$A$8:$A$107,0),MATCH(Dashboard!F$32,Schedule!$AU$5:$AZ$5,0)),IF(COUNTIF(Schedule!$A$116:$A$215,Dashboard!$B115)&gt;0,INDEX(Schedule!$AU$116:$AZ$215,MATCH(Dashboard!$B115,Schedule!$A$116:$A$215,0),MATCH(Dashboard!F$32,Schedule!$AU$113:$AZ$113,0)),INDEX(Schedule!$AU$224:$AZ$323,MATCH(Dashboard!$B115,Schedule!$A$224:$A$323,0),MATCH(Dashboard!F$32,Schedule!$AU$221:$AZ$221,0)))),"")</f>
        <v/>
      </c>
      <c r="G115" s="42" t="str">
        <f>IFERROR(IF(COUNTIF(Schedule!$A$8:$A$107,Dashboard!$B115)&gt;0,INDEX(Schedule!$AU$8:$AZ$107,MATCH(Dashboard!$B115,Schedule!$A$8:$A$107,0),MATCH(Dashboard!G$32,Schedule!$AU$5:$AZ$5,0)),IF(COUNTIF(Schedule!$A$116:$A$215,Dashboard!$B115)&gt;0,INDEX(Schedule!$AU$116:$AZ$215,MATCH(Dashboard!$B115,Schedule!$A$116:$A$215,0),MATCH(Dashboard!G$32,Schedule!$AU$113:$AZ$113,0)),INDEX(Schedule!$AU$224:$AZ$323,MATCH(Dashboard!$B115,Schedule!$A$224:$A$323,0),MATCH(Dashboard!G$32,Schedule!$AU$221:$AZ$221,0)))),"")</f>
        <v/>
      </c>
      <c r="H115" s="42" t="str">
        <f>IFERROR(IF(COUNTIF(Schedule!$A$8:$A$107,Dashboard!$B115)&gt;0,INDEX(Schedule!$AU$8:$AZ$107,MATCH(Dashboard!$B115,Schedule!$A$8:$A$107,0),MATCH(Dashboard!H$32,Schedule!$AU$5:$AZ$5,0)),IF(COUNTIF(Schedule!$A$116:$A$215,Dashboard!$B115)&gt;0,INDEX(Schedule!$AU$116:$AZ$215,MATCH(Dashboard!$B115,Schedule!$A$116:$A$215,0),MATCH(Dashboard!H$32,Schedule!$AU$113:$AZ$113,0)),INDEX(Schedule!$AU$224:$AZ$323,MATCH(Dashboard!$B115,Schedule!$A$224:$A$323,0),MATCH(Dashboard!H$32,Schedule!$AU$221:$AZ$221,0)))),"")</f>
        <v/>
      </c>
    </row>
    <row r="116" spans="2:8" ht="14.1" hidden="1" customHeight="1" x14ac:dyDescent="0.2">
      <c r="B116" s="40" t="str">
        <f>IF(Lists!B88=0,"",Lists!B88)</f>
        <v/>
      </c>
      <c r="C116" s="42" t="str">
        <f>IFERROR(IF(COUNTIF(Schedule!$A$8:$A$107,Dashboard!$B116)&gt;0,INDEX(Schedule!$AU$8:$AZ$107,MATCH(Dashboard!$B116,Schedule!$A$8:$A$107,0),MATCH(Dashboard!C$32,Schedule!$AU$5:$AZ$5,0)),IF(COUNTIF(Schedule!$A$116:$A$215,Dashboard!$B116)&gt;0,INDEX(Schedule!$AU$116:$AZ$215,MATCH(Dashboard!$B116,Schedule!$A$116:$A$215,0),MATCH(Dashboard!C$32,Schedule!$AU$113:$AZ$113,0)),INDEX(Schedule!$AU$224:$AZ$323,MATCH(Dashboard!$B116,Schedule!$A$224:$A$323,0),MATCH(Dashboard!C$32,Schedule!$AU$221:$AZ$221,0)))),"")</f>
        <v/>
      </c>
      <c r="D116" s="42" t="str">
        <f>IFERROR(IF(COUNTIF(Schedule!$A$8:$A$107,Dashboard!$B116)&gt;0,INDEX(Schedule!$AU$8:$AZ$107,MATCH(Dashboard!$B116,Schedule!$A$8:$A$107,0),MATCH(Dashboard!D$32,Schedule!$AU$5:$AZ$5,0)),IF(COUNTIF(Schedule!$A$116:$A$215,Dashboard!$B116)&gt;0,INDEX(Schedule!$AU$116:$AZ$215,MATCH(Dashboard!$B116,Schedule!$A$116:$A$215,0),MATCH(Dashboard!D$32,Schedule!$AU$113:$AZ$113,0)),INDEX(Schedule!$AU$224:$AZ$323,MATCH(Dashboard!$B116,Schedule!$A$224:$A$323,0),MATCH(Dashboard!D$32,Schedule!$AU$221:$AZ$221,0)))),"")</f>
        <v/>
      </c>
      <c r="E116" s="42" t="str">
        <f>IFERROR(IF(COUNTIF(Schedule!$A$8:$A$107,Dashboard!$B116)&gt;0,INDEX(Schedule!$AU$8:$AZ$107,MATCH(Dashboard!$B116,Schedule!$A$8:$A$107,0),MATCH(Dashboard!E$32,Schedule!$AU$5:$AZ$5,0)),IF(COUNTIF(Schedule!$A$116:$A$215,Dashboard!$B116)&gt;0,INDEX(Schedule!$AU$116:$AZ$215,MATCH(Dashboard!$B116,Schedule!$A$116:$A$215,0),MATCH(Dashboard!E$32,Schedule!$AU$113:$AZ$113,0)),INDEX(Schedule!$AU$224:$AZ$323,MATCH(Dashboard!$B116,Schedule!$A$224:$A$323,0),MATCH(Dashboard!E$32,Schedule!$AU$221:$AZ$221,0)))),"")</f>
        <v/>
      </c>
      <c r="F116" s="42" t="str">
        <f>IFERROR(IF(COUNTIF(Schedule!$A$8:$A$107,Dashboard!$B116)&gt;0,INDEX(Schedule!$AU$8:$AZ$107,MATCH(Dashboard!$B116,Schedule!$A$8:$A$107,0),MATCH(Dashboard!F$32,Schedule!$AU$5:$AZ$5,0)),IF(COUNTIF(Schedule!$A$116:$A$215,Dashboard!$B116)&gt;0,INDEX(Schedule!$AU$116:$AZ$215,MATCH(Dashboard!$B116,Schedule!$A$116:$A$215,0),MATCH(Dashboard!F$32,Schedule!$AU$113:$AZ$113,0)),INDEX(Schedule!$AU$224:$AZ$323,MATCH(Dashboard!$B116,Schedule!$A$224:$A$323,0),MATCH(Dashboard!F$32,Schedule!$AU$221:$AZ$221,0)))),"")</f>
        <v/>
      </c>
      <c r="G116" s="42" t="str">
        <f>IFERROR(IF(COUNTIF(Schedule!$A$8:$A$107,Dashboard!$B116)&gt;0,INDEX(Schedule!$AU$8:$AZ$107,MATCH(Dashboard!$B116,Schedule!$A$8:$A$107,0),MATCH(Dashboard!G$32,Schedule!$AU$5:$AZ$5,0)),IF(COUNTIF(Schedule!$A$116:$A$215,Dashboard!$B116)&gt;0,INDEX(Schedule!$AU$116:$AZ$215,MATCH(Dashboard!$B116,Schedule!$A$116:$A$215,0),MATCH(Dashboard!G$32,Schedule!$AU$113:$AZ$113,0)),INDEX(Schedule!$AU$224:$AZ$323,MATCH(Dashboard!$B116,Schedule!$A$224:$A$323,0),MATCH(Dashboard!G$32,Schedule!$AU$221:$AZ$221,0)))),"")</f>
        <v/>
      </c>
      <c r="H116" s="42" t="str">
        <f>IFERROR(IF(COUNTIF(Schedule!$A$8:$A$107,Dashboard!$B116)&gt;0,INDEX(Schedule!$AU$8:$AZ$107,MATCH(Dashboard!$B116,Schedule!$A$8:$A$107,0),MATCH(Dashboard!H$32,Schedule!$AU$5:$AZ$5,0)),IF(COUNTIF(Schedule!$A$116:$A$215,Dashboard!$B116)&gt;0,INDEX(Schedule!$AU$116:$AZ$215,MATCH(Dashboard!$B116,Schedule!$A$116:$A$215,0),MATCH(Dashboard!H$32,Schedule!$AU$113:$AZ$113,0)),INDEX(Schedule!$AU$224:$AZ$323,MATCH(Dashboard!$B116,Schedule!$A$224:$A$323,0),MATCH(Dashboard!H$32,Schedule!$AU$221:$AZ$221,0)))),"")</f>
        <v/>
      </c>
    </row>
    <row r="117" spans="2:8" ht="14.1" hidden="1" customHeight="1" x14ac:dyDescent="0.2">
      <c r="B117" s="40" t="str">
        <f>IF(Lists!B89=0,"",Lists!B89)</f>
        <v/>
      </c>
      <c r="C117" s="42" t="str">
        <f>IFERROR(IF(COUNTIF(Schedule!$A$8:$A$107,Dashboard!$B117)&gt;0,INDEX(Schedule!$AU$8:$AZ$107,MATCH(Dashboard!$B117,Schedule!$A$8:$A$107,0),MATCH(Dashboard!C$32,Schedule!$AU$5:$AZ$5,0)),IF(COUNTIF(Schedule!$A$116:$A$215,Dashboard!$B117)&gt;0,INDEX(Schedule!$AU$116:$AZ$215,MATCH(Dashboard!$B117,Schedule!$A$116:$A$215,0),MATCH(Dashboard!C$32,Schedule!$AU$113:$AZ$113,0)),INDEX(Schedule!$AU$224:$AZ$323,MATCH(Dashboard!$B117,Schedule!$A$224:$A$323,0),MATCH(Dashboard!C$32,Schedule!$AU$221:$AZ$221,0)))),"")</f>
        <v/>
      </c>
      <c r="D117" s="42" t="str">
        <f>IFERROR(IF(COUNTIF(Schedule!$A$8:$A$107,Dashboard!$B117)&gt;0,INDEX(Schedule!$AU$8:$AZ$107,MATCH(Dashboard!$B117,Schedule!$A$8:$A$107,0),MATCH(Dashboard!D$32,Schedule!$AU$5:$AZ$5,0)),IF(COUNTIF(Schedule!$A$116:$A$215,Dashboard!$B117)&gt;0,INDEX(Schedule!$AU$116:$AZ$215,MATCH(Dashboard!$B117,Schedule!$A$116:$A$215,0),MATCH(Dashboard!D$32,Schedule!$AU$113:$AZ$113,0)),INDEX(Schedule!$AU$224:$AZ$323,MATCH(Dashboard!$B117,Schedule!$A$224:$A$323,0),MATCH(Dashboard!D$32,Schedule!$AU$221:$AZ$221,0)))),"")</f>
        <v/>
      </c>
      <c r="E117" s="42" t="str">
        <f>IFERROR(IF(COUNTIF(Schedule!$A$8:$A$107,Dashboard!$B117)&gt;0,INDEX(Schedule!$AU$8:$AZ$107,MATCH(Dashboard!$B117,Schedule!$A$8:$A$107,0),MATCH(Dashboard!E$32,Schedule!$AU$5:$AZ$5,0)),IF(COUNTIF(Schedule!$A$116:$A$215,Dashboard!$B117)&gt;0,INDEX(Schedule!$AU$116:$AZ$215,MATCH(Dashboard!$B117,Schedule!$A$116:$A$215,0),MATCH(Dashboard!E$32,Schedule!$AU$113:$AZ$113,0)),INDEX(Schedule!$AU$224:$AZ$323,MATCH(Dashboard!$B117,Schedule!$A$224:$A$323,0),MATCH(Dashboard!E$32,Schedule!$AU$221:$AZ$221,0)))),"")</f>
        <v/>
      </c>
      <c r="F117" s="42" t="str">
        <f>IFERROR(IF(COUNTIF(Schedule!$A$8:$A$107,Dashboard!$B117)&gt;0,INDEX(Schedule!$AU$8:$AZ$107,MATCH(Dashboard!$B117,Schedule!$A$8:$A$107,0),MATCH(Dashboard!F$32,Schedule!$AU$5:$AZ$5,0)),IF(COUNTIF(Schedule!$A$116:$A$215,Dashboard!$B117)&gt;0,INDEX(Schedule!$AU$116:$AZ$215,MATCH(Dashboard!$B117,Schedule!$A$116:$A$215,0),MATCH(Dashboard!F$32,Schedule!$AU$113:$AZ$113,0)),INDEX(Schedule!$AU$224:$AZ$323,MATCH(Dashboard!$B117,Schedule!$A$224:$A$323,0),MATCH(Dashboard!F$32,Schedule!$AU$221:$AZ$221,0)))),"")</f>
        <v/>
      </c>
      <c r="G117" s="42" t="str">
        <f>IFERROR(IF(COUNTIF(Schedule!$A$8:$A$107,Dashboard!$B117)&gt;0,INDEX(Schedule!$AU$8:$AZ$107,MATCH(Dashboard!$B117,Schedule!$A$8:$A$107,0),MATCH(Dashboard!G$32,Schedule!$AU$5:$AZ$5,0)),IF(COUNTIF(Schedule!$A$116:$A$215,Dashboard!$B117)&gt;0,INDEX(Schedule!$AU$116:$AZ$215,MATCH(Dashboard!$B117,Schedule!$A$116:$A$215,0),MATCH(Dashboard!G$32,Schedule!$AU$113:$AZ$113,0)),INDEX(Schedule!$AU$224:$AZ$323,MATCH(Dashboard!$B117,Schedule!$A$224:$A$323,0),MATCH(Dashboard!G$32,Schedule!$AU$221:$AZ$221,0)))),"")</f>
        <v/>
      </c>
      <c r="H117" s="42" t="str">
        <f>IFERROR(IF(COUNTIF(Schedule!$A$8:$A$107,Dashboard!$B117)&gt;0,INDEX(Schedule!$AU$8:$AZ$107,MATCH(Dashboard!$B117,Schedule!$A$8:$A$107,0),MATCH(Dashboard!H$32,Schedule!$AU$5:$AZ$5,0)),IF(COUNTIF(Schedule!$A$116:$A$215,Dashboard!$B117)&gt;0,INDEX(Schedule!$AU$116:$AZ$215,MATCH(Dashboard!$B117,Schedule!$A$116:$A$215,0),MATCH(Dashboard!H$32,Schedule!$AU$113:$AZ$113,0)),INDEX(Schedule!$AU$224:$AZ$323,MATCH(Dashboard!$B117,Schedule!$A$224:$A$323,0),MATCH(Dashboard!H$32,Schedule!$AU$221:$AZ$221,0)))),"")</f>
        <v/>
      </c>
    </row>
    <row r="118" spans="2:8" ht="14.1" hidden="1" customHeight="1" x14ac:dyDescent="0.2">
      <c r="B118" s="40" t="str">
        <f>IF(Lists!B90=0,"",Lists!B90)</f>
        <v/>
      </c>
      <c r="C118" s="42" t="str">
        <f>IFERROR(IF(COUNTIF(Schedule!$A$8:$A$107,Dashboard!$B118)&gt;0,INDEX(Schedule!$AU$8:$AZ$107,MATCH(Dashboard!$B118,Schedule!$A$8:$A$107,0),MATCH(Dashboard!C$32,Schedule!$AU$5:$AZ$5,0)),IF(COUNTIF(Schedule!$A$116:$A$215,Dashboard!$B118)&gt;0,INDEX(Schedule!$AU$116:$AZ$215,MATCH(Dashboard!$B118,Schedule!$A$116:$A$215,0),MATCH(Dashboard!C$32,Schedule!$AU$113:$AZ$113,0)),INDEX(Schedule!$AU$224:$AZ$323,MATCH(Dashboard!$B118,Schedule!$A$224:$A$323,0),MATCH(Dashboard!C$32,Schedule!$AU$221:$AZ$221,0)))),"")</f>
        <v/>
      </c>
      <c r="D118" s="42" t="str">
        <f>IFERROR(IF(COUNTIF(Schedule!$A$8:$A$107,Dashboard!$B118)&gt;0,INDEX(Schedule!$AU$8:$AZ$107,MATCH(Dashboard!$B118,Schedule!$A$8:$A$107,0),MATCH(Dashboard!D$32,Schedule!$AU$5:$AZ$5,0)),IF(COUNTIF(Schedule!$A$116:$A$215,Dashboard!$B118)&gt;0,INDEX(Schedule!$AU$116:$AZ$215,MATCH(Dashboard!$B118,Schedule!$A$116:$A$215,0),MATCH(Dashboard!D$32,Schedule!$AU$113:$AZ$113,0)),INDEX(Schedule!$AU$224:$AZ$323,MATCH(Dashboard!$B118,Schedule!$A$224:$A$323,0),MATCH(Dashboard!D$32,Schedule!$AU$221:$AZ$221,0)))),"")</f>
        <v/>
      </c>
      <c r="E118" s="42" t="str">
        <f>IFERROR(IF(COUNTIF(Schedule!$A$8:$A$107,Dashboard!$B118)&gt;0,INDEX(Schedule!$AU$8:$AZ$107,MATCH(Dashboard!$B118,Schedule!$A$8:$A$107,0),MATCH(Dashboard!E$32,Schedule!$AU$5:$AZ$5,0)),IF(COUNTIF(Schedule!$A$116:$A$215,Dashboard!$B118)&gt;0,INDEX(Schedule!$AU$116:$AZ$215,MATCH(Dashboard!$B118,Schedule!$A$116:$A$215,0),MATCH(Dashboard!E$32,Schedule!$AU$113:$AZ$113,0)),INDEX(Schedule!$AU$224:$AZ$323,MATCH(Dashboard!$B118,Schedule!$A$224:$A$323,0),MATCH(Dashboard!E$32,Schedule!$AU$221:$AZ$221,0)))),"")</f>
        <v/>
      </c>
      <c r="F118" s="42" t="str">
        <f>IFERROR(IF(COUNTIF(Schedule!$A$8:$A$107,Dashboard!$B118)&gt;0,INDEX(Schedule!$AU$8:$AZ$107,MATCH(Dashboard!$B118,Schedule!$A$8:$A$107,0),MATCH(Dashboard!F$32,Schedule!$AU$5:$AZ$5,0)),IF(COUNTIF(Schedule!$A$116:$A$215,Dashboard!$B118)&gt;0,INDEX(Schedule!$AU$116:$AZ$215,MATCH(Dashboard!$B118,Schedule!$A$116:$A$215,0),MATCH(Dashboard!F$32,Schedule!$AU$113:$AZ$113,0)),INDEX(Schedule!$AU$224:$AZ$323,MATCH(Dashboard!$B118,Schedule!$A$224:$A$323,0),MATCH(Dashboard!F$32,Schedule!$AU$221:$AZ$221,0)))),"")</f>
        <v/>
      </c>
      <c r="G118" s="42" t="str">
        <f>IFERROR(IF(COUNTIF(Schedule!$A$8:$A$107,Dashboard!$B118)&gt;0,INDEX(Schedule!$AU$8:$AZ$107,MATCH(Dashboard!$B118,Schedule!$A$8:$A$107,0),MATCH(Dashboard!G$32,Schedule!$AU$5:$AZ$5,0)),IF(COUNTIF(Schedule!$A$116:$A$215,Dashboard!$B118)&gt;0,INDEX(Schedule!$AU$116:$AZ$215,MATCH(Dashboard!$B118,Schedule!$A$116:$A$215,0),MATCH(Dashboard!G$32,Schedule!$AU$113:$AZ$113,0)),INDEX(Schedule!$AU$224:$AZ$323,MATCH(Dashboard!$B118,Schedule!$A$224:$A$323,0),MATCH(Dashboard!G$32,Schedule!$AU$221:$AZ$221,0)))),"")</f>
        <v/>
      </c>
      <c r="H118" s="42" t="str">
        <f>IFERROR(IF(COUNTIF(Schedule!$A$8:$A$107,Dashboard!$B118)&gt;0,INDEX(Schedule!$AU$8:$AZ$107,MATCH(Dashboard!$B118,Schedule!$A$8:$A$107,0),MATCH(Dashboard!H$32,Schedule!$AU$5:$AZ$5,0)),IF(COUNTIF(Schedule!$A$116:$A$215,Dashboard!$B118)&gt;0,INDEX(Schedule!$AU$116:$AZ$215,MATCH(Dashboard!$B118,Schedule!$A$116:$A$215,0),MATCH(Dashboard!H$32,Schedule!$AU$113:$AZ$113,0)),INDEX(Schedule!$AU$224:$AZ$323,MATCH(Dashboard!$B118,Schedule!$A$224:$A$323,0),MATCH(Dashboard!H$32,Schedule!$AU$221:$AZ$221,0)))),"")</f>
        <v/>
      </c>
    </row>
    <row r="119" spans="2:8" ht="14.1" hidden="1" customHeight="1" x14ac:dyDescent="0.2">
      <c r="B119" s="40" t="str">
        <f>IF(Lists!B91=0,"",Lists!B91)</f>
        <v/>
      </c>
      <c r="C119" s="42" t="str">
        <f>IFERROR(IF(COUNTIF(Schedule!$A$8:$A$107,Dashboard!$B119)&gt;0,INDEX(Schedule!$AU$8:$AZ$107,MATCH(Dashboard!$B119,Schedule!$A$8:$A$107,0),MATCH(Dashboard!C$32,Schedule!$AU$5:$AZ$5,0)),IF(COUNTIF(Schedule!$A$116:$A$215,Dashboard!$B119)&gt;0,INDEX(Schedule!$AU$116:$AZ$215,MATCH(Dashboard!$B119,Schedule!$A$116:$A$215,0),MATCH(Dashboard!C$32,Schedule!$AU$113:$AZ$113,0)),INDEX(Schedule!$AU$224:$AZ$323,MATCH(Dashboard!$B119,Schedule!$A$224:$A$323,0),MATCH(Dashboard!C$32,Schedule!$AU$221:$AZ$221,0)))),"")</f>
        <v/>
      </c>
      <c r="D119" s="42" t="str">
        <f>IFERROR(IF(COUNTIF(Schedule!$A$8:$A$107,Dashboard!$B119)&gt;0,INDEX(Schedule!$AU$8:$AZ$107,MATCH(Dashboard!$B119,Schedule!$A$8:$A$107,0),MATCH(Dashboard!D$32,Schedule!$AU$5:$AZ$5,0)),IF(COUNTIF(Schedule!$A$116:$A$215,Dashboard!$B119)&gt;0,INDEX(Schedule!$AU$116:$AZ$215,MATCH(Dashboard!$B119,Schedule!$A$116:$A$215,0),MATCH(Dashboard!D$32,Schedule!$AU$113:$AZ$113,0)),INDEX(Schedule!$AU$224:$AZ$323,MATCH(Dashboard!$B119,Schedule!$A$224:$A$323,0),MATCH(Dashboard!D$32,Schedule!$AU$221:$AZ$221,0)))),"")</f>
        <v/>
      </c>
      <c r="E119" s="42" t="str">
        <f>IFERROR(IF(COUNTIF(Schedule!$A$8:$A$107,Dashboard!$B119)&gt;0,INDEX(Schedule!$AU$8:$AZ$107,MATCH(Dashboard!$B119,Schedule!$A$8:$A$107,0),MATCH(Dashboard!E$32,Schedule!$AU$5:$AZ$5,0)),IF(COUNTIF(Schedule!$A$116:$A$215,Dashboard!$B119)&gt;0,INDEX(Schedule!$AU$116:$AZ$215,MATCH(Dashboard!$B119,Schedule!$A$116:$A$215,0),MATCH(Dashboard!E$32,Schedule!$AU$113:$AZ$113,0)),INDEX(Schedule!$AU$224:$AZ$323,MATCH(Dashboard!$B119,Schedule!$A$224:$A$323,0),MATCH(Dashboard!E$32,Schedule!$AU$221:$AZ$221,0)))),"")</f>
        <v/>
      </c>
      <c r="F119" s="42" t="str">
        <f>IFERROR(IF(COUNTIF(Schedule!$A$8:$A$107,Dashboard!$B119)&gt;0,INDEX(Schedule!$AU$8:$AZ$107,MATCH(Dashboard!$B119,Schedule!$A$8:$A$107,0),MATCH(Dashboard!F$32,Schedule!$AU$5:$AZ$5,0)),IF(COUNTIF(Schedule!$A$116:$A$215,Dashboard!$B119)&gt;0,INDEX(Schedule!$AU$116:$AZ$215,MATCH(Dashboard!$B119,Schedule!$A$116:$A$215,0),MATCH(Dashboard!F$32,Schedule!$AU$113:$AZ$113,0)),INDEX(Schedule!$AU$224:$AZ$323,MATCH(Dashboard!$B119,Schedule!$A$224:$A$323,0),MATCH(Dashboard!F$32,Schedule!$AU$221:$AZ$221,0)))),"")</f>
        <v/>
      </c>
      <c r="G119" s="42" t="str">
        <f>IFERROR(IF(COUNTIF(Schedule!$A$8:$A$107,Dashboard!$B119)&gt;0,INDEX(Schedule!$AU$8:$AZ$107,MATCH(Dashboard!$B119,Schedule!$A$8:$A$107,0),MATCH(Dashboard!G$32,Schedule!$AU$5:$AZ$5,0)),IF(COUNTIF(Schedule!$A$116:$A$215,Dashboard!$B119)&gt;0,INDEX(Schedule!$AU$116:$AZ$215,MATCH(Dashboard!$B119,Schedule!$A$116:$A$215,0),MATCH(Dashboard!G$32,Schedule!$AU$113:$AZ$113,0)),INDEX(Schedule!$AU$224:$AZ$323,MATCH(Dashboard!$B119,Schedule!$A$224:$A$323,0),MATCH(Dashboard!G$32,Schedule!$AU$221:$AZ$221,0)))),"")</f>
        <v/>
      </c>
      <c r="H119" s="42" t="str">
        <f>IFERROR(IF(COUNTIF(Schedule!$A$8:$A$107,Dashboard!$B119)&gt;0,INDEX(Schedule!$AU$8:$AZ$107,MATCH(Dashboard!$B119,Schedule!$A$8:$A$107,0),MATCH(Dashboard!H$32,Schedule!$AU$5:$AZ$5,0)),IF(COUNTIF(Schedule!$A$116:$A$215,Dashboard!$B119)&gt;0,INDEX(Schedule!$AU$116:$AZ$215,MATCH(Dashboard!$B119,Schedule!$A$116:$A$215,0),MATCH(Dashboard!H$32,Schedule!$AU$113:$AZ$113,0)),INDEX(Schedule!$AU$224:$AZ$323,MATCH(Dashboard!$B119,Schedule!$A$224:$A$323,0),MATCH(Dashboard!H$32,Schedule!$AU$221:$AZ$221,0)))),"")</f>
        <v/>
      </c>
    </row>
    <row r="120" spans="2:8" ht="14.1" hidden="1" customHeight="1" x14ac:dyDescent="0.2">
      <c r="B120" s="40" t="str">
        <f>IF(Lists!B92=0,"",Lists!B92)</f>
        <v/>
      </c>
      <c r="C120" s="42" t="str">
        <f>IFERROR(IF(COUNTIF(Schedule!$A$8:$A$107,Dashboard!$B120)&gt;0,INDEX(Schedule!$AU$8:$AZ$107,MATCH(Dashboard!$B120,Schedule!$A$8:$A$107,0),MATCH(Dashboard!C$32,Schedule!$AU$5:$AZ$5,0)),IF(COUNTIF(Schedule!$A$116:$A$215,Dashboard!$B120)&gt;0,INDEX(Schedule!$AU$116:$AZ$215,MATCH(Dashboard!$B120,Schedule!$A$116:$A$215,0),MATCH(Dashboard!C$32,Schedule!$AU$113:$AZ$113,0)),INDEX(Schedule!$AU$224:$AZ$323,MATCH(Dashboard!$B120,Schedule!$A$224:$A$323,0),MATCH(Dashboard!C$32,Schedule!$AU$221:$AZ$221,0)))),"")</f>
        <v/>
      </c>
      <c r="D120" s="42" t="str">
        <f>IFERROR(IF(COUNTIF(Schedule!$A$8:$A$107,Dashboard!$B120)&gt;0,INDEX(Schedule!$AU$8:$AZ$107,MATCH(Dashboard!$B120,Schedule!$A$8:$A$107,0),MATCH(Dashboard!D$32,Schedule!$AU$5:$AZ$5,0)),IF(COUNTIF(Schedule!$A$116:$A$215,Dashboard!$B120)&gt;0,INDEX(Schedule!$AU$116:$AZ$215,MATCH(Dashboard!$B120,Schedule!$A$116:$A$215,0),MATCH(Dashboard!D$32,Schedule!$AU$113:$AZ$113,0)),INDEX(Schedule!$AU$224:$AZ$323,MATCH(Dashboard!$B120,Schedule!$A$224:$A$323,0),MATCH(Dashboard!D$32,Schedule!$AU$221:$AZ$221,0)))),"")</f>
        <v/>
      </c>
      <c r="E120" s="42" t="str">
        <f>IFERROR(IF(COUNTIF(Schedule!$A$8:$A$107,Dashboard!$B120)&gt;0,INDEX(Schedule!$AU$8:$AZ$107,MATCH(Dashboard!$B120,Schedule!$A$8:$A$107,0),MATCH(Dashboard!E$32,Schedule!$AU$5:$AZ$5,0)),IF(COUNTIF(Schedule!$A$116:$A$215,Dashboard!$B120)&gt;0,INDEX(Schedule!$AU$116:$AZ$215,MATCH(Dashboard!$B120,Schedule!$A$116:$A$215,0),MATCH(Dashboard!E$32,Schedule!$AU$113:$AZ$113,0)),INDEX(Schedule!$AU$224:$AZ$323,MATCH(Dashboard!$B120,Schedule!$A$224:$A$323,0),MATCH(Dashboard!E$32,Schedule!$AU$221:$AZ$221,0)))),"")</f>
        <v/>
      </c>
      <c r="F120" s="42" t="str">
        <f>IFERROR(IF(COUNTIF(Schedule!$A$8:$A$107,Dashboard!$B120)&gt;0,INDEX(Schedule!$AU$8:$AZ$107,MATCH(Dashboard!$B120,Schedule!$A$8:$A$107,0),MATCH(Dashboard!F$32,Schedule!$AU$5:$AZ$5,0)),IF(COUNTIF(Schedule!$A$116:$A$215,Dashboard!$B120)&gt;0,INDEX(Schedule!$AU$116:$AZ$215,MATCH(Dashboard!$B120,Schedule!$A$116:$A$215,0),MATCH(Dashboard!F$32,Schedule!$AU$113:$AZ$113,0)),INDEX(Schedule!$AU$224:$AZ$323,MATCH(Dashboard!$B120,Schedule!$A$224:$A$323,0),MATCH(Dashboard!F$32,Schedule!$AU$221:$AZ$221,0)))),"")</f>
        <v/>
      </c>
      <c r="G120" s="42" t="str">
        <f>IFERROR(IF(COUNTIF(Schedule!$A$8:$A$107,Dashboard!$B120)&gt;0,INDEX(Schedule!$AU$8:$AZ$107,MATCH(Dashboard!$B120,Schedule!$A$8:$A$107,0),MATCH(Dashboard!G$32,Schedule!$AU$5:$AZ$5,0)),IF(COUNTIF(Schedule!$A$116:$A$215,Dashboard!$B120)&gt;0,INDEX(Schedule!$AU$116:$AZ$215,MATCH(Dashboard!$B120,Schedule!$A$116:$A$215,0),MATCH(Dashboard!G$32,Schedule!$AU$113:$AZ$113,0)),INDEX(Schedule!$AU$224:$AZ$323,MATCH(Dashboard!$B120,Schedule!$A$224:$A$323,0),MATCH(Dashboard!G$32,Schedule!$AU$221:$AZ$221,0)))),"")</f>
        <v/>
      </c>
      <c r="H120" s="42" t="str">
        <f>IFERROR(IF(COUNTIF(Schedule!$A$8:$A$107,Dashboard!$B120)&gt;0,INDEX(Schedule!$AU$8:$AZ$107,MATCH(Dashboard!$B120,Schedule!$A$8:$A$107,0),MATCH(Dashboard!H$32,Schedule!$AU$5:$AZ$5,0)),IF(COUNTIF(Schedule!$A$116:$A$215,Dashboard!$B120)&gt;0,INDEX(Schedule!$AU$116:$AZ$215,MATCH(Dashboard!$B120,Schedule!$A$116:$A$215,0),MATCH(Dashboard!H$32,Schedule!$AU$113:$AZ$113,0)),INDEX(Schedule!$AU$224:$AZ$323,MATCH(Dashboard!$B120,Schedule!$A$224:$A$323,0),MATCH(Dashboard!H$32,Schedule!$AU$221:$AZ$221,0)))),"")</f>
        <v/>
      </c>
    </row>
    <row r="121" spans="2:8" ht="14.1" hidden="1" customHeight="1" x14ac:dyDescent="0.2">
      <c r="B121" s="40" t="str">
        <f>IF(Lists!B93=0,"",Lists!B93)</f>
        <v/>
      </c>
      <c r="C121" s="42" t="str">
        <f>IFERROR(IF(COUNTIF(Schedule!$A$8:$A$107,Dashboard!$B121)&gt;0,INDEX(Schedule!$AU$8:$AZ$107,MATCH(Dashboard!$B121,Schedule!$A$8:$A$107,0),MATCH(Dashboard!C$32,Schedule!$AU$5:$AZ$5,0)),IF(COUNTIF(Schedule!$A$116:$A$215,Dashboard!$B121)&gt;0,INDEX(Schedule!$AU$116:$AZ$215,MATCH(Dashboard!$B121,Schedule!$A$116:$A$215,0),MATCH(Dashboard!C$32,Schedule!$AU$113:$AZ$113,0)),INDEX(Schedule!$AU$224:$AZ$323,MATCH(Dashboard!$B121,Schedule!$A$224:$A$323,0),MATCH(Dashboard!C$32,Schedule!$AU$221:$AZ$221,0)))),"")</f>
        <v/>
      </c>
      <c r="D121" s="42" t="str">
        <f>IFERROR(IF(COUNTIF(Schedule!$A$8:$A$107,Dashboard!$B121)&gt;0,INDEX(Schedule!$AU$8:$AZ$107,MATCH(Dashboard!$B121,Schedule!$A$8:$A$107,0),MATCH(Dashboard!D$32,Schedule!$AU$5:$AZ$5,0)),IF(COUNTIF(Schedule!$A$116:$A$215,Dashboard!$B121)&gt;0,INDEX(Schedule!$AU$116:$AZ$215,MATCH(Dashboard!$B121,Schedule!$A$116:$A$215,0),MATCH(Dashboard!D$32,Schedule!$AU$113:$AZ$113,0)),INDEX(Schedule!$AU$224:$AZ$323,MATCH(Dashboard!$B121,Schedule!$A$224:$A$323,0),MATCH(Dashboard!D$32,Schedule!$AU$221:$AZ$221,0)))),"")</f>
        <v/>
      </c>
      <c r="E121" s="42" t="str">
        <f>IFERROR(IF(COUNTIF(Schedule!$A$8:$A$107,Dashboard!$B121)&gt;0,INDEX(Schedule!$AU$8:$AZ$107,MATCH(Dashboard!$B121,Schedule!$A$8:$A$107,0),MATCH(Dashboard!E$32,Schedule!$AU$5:$AZ$5,0)),IF(COUNTIF(Schedule!$A$116:$A$215,Dashboard!$B121)&gt;0,INDEX(Schedule!$AU$116:$AZ$215,MATCH(Dashboard!$B121,Schedule!$A$116:$A$215,0),MATCH(Dashboard!E$32,Schedule!$AU$113:$AZ$113,0)),INDEX(Schedule!$AU$224:$AZ$323,MATCH(Dashboard!$B121,Schedule!$A$224:$A$323,0),MATCH(Dashboard!E$32,Schedule!$AU$221:$AZ$221,0)))),"")</f>
        <v/>
      </c>
      <c r="F121" s="42" t="str">
        <f>IFERROR(IF(COUNTIF(Schedule!$A$8:$A$107,Dashboard!$B121)&gt;0,INDEX(Schedule!$AU$8:$AZ$107,MATCH(Dashboard!$B121,Schedule!$A$8:$A$107,0),MATCH(Dashboard!F$32,Schedule!$AU$5:$AZ$5,0)),IF(COUNTIF(Schedule!$A$116:$A$215,Dashboard!$B121)&gt;0,INDEX(Schedule!$AU$116:$AZ$215,MATCH(Dashboard!$B121,Schedule!$A$116:$A$215,0),MATCH(Dashboard!F$32,Schedule!$AU$113:$AZ$113,0)),INDEX(Schedule!$AU$224:$AZ$323,MATCH(Dashboard!$B121,Schedule!$A$224:$A$323,0),MATCH(Dashboard!F$32,Schedule!$AU$221:$AZ$221,0)))),"")</f>
        <v/>
      </c>
      <c r="G121" s="42" t="str">
        <f>IFERROR(IF(COUNTIF(Schedule!$A$8:$A$107,Dashboard!$B121)&gt;0,INDEX(Schedule!$AU$8:$AZ$107,MATCH(Dashboard!$B121,Schedule!$A$8:$A$107,0),MATCH(Dashboard!G$32,Schedule!$AU$5:$AZ$5,0)),IF(COUNTIF(Schedule!$A$116:$A$215,Dashboard!$B121)&gt;0,INDEX(Schedule!$AU$116:$AZ$215,MATCH(Dashboard!$B121,Schedule!$A$116:$A$215,0),MATCH(Dashboard!G$32,Schedule!$AU$113:$AZ$113,0)),INDEX(Schedule!$AU$224:$AZ$323,MATCH(Dashboard!$B121,Schedule!$A$224:$A$323,0),MATCH(Dashboard!G$32,Schedule!$AU$221:$AZ$221,0)))),"")</f>
        <v/>
      </c>
      <c r="H121" s="42" t="str">
        <f>IFERROR(IF(COUNTIF(Schedule!$A$8:$A$107,Dashboard!$B121)&gt;0,INDEX(Schedule!$AU$8:$AZ$107,MATCH(Dashboard!$B121,Schedule!$A$8:$A$107,0),MATCH(Dashboard!H$32,Schedule!$AU$5:$AZ$5,0)),IF(COUNTIF(Schedule!$A$116:$A$215,Dashboard!$B121)&gt;0,INDEX(Schedule!$AU$116:$AZ$215,MATCH(Dashboard!$B121,Schedule!$A$116:$A$215,0),MATCH(Dashboard!H$32,Schedule!$AU$113:$AZ$113,0)),INDEX(Schedule!$AU$224:$AZ$323,MATCH(Dashboard!$B121,Schedule!$A$224:$A$323,0),MATCH(Dashboard!H$32,Schedule!$AU$221:$AZ$221,0)))),"")</f>
        <v/>
      </c>
    </row>
    <row r="122" spans="2:8" ht="14.1" hidden="1" customHeight="1" x14ac:dyDescent="0.2">
      <c r="B122" s="40" t="str">
        <f>IF(Lists!B94=0,"",Lists!B94)</f>
        <v/>
      </c>
      <c r="C122" s="42" t="str">
        <f>IFERROR(IF(COUNTIF(Schedule!$A$8:$A$107,Dashboard!$B122)&gt;0,INDEX(Schedule!$AU$8:$AZ$107,MATCH(Dashboard!$B122,Schedule!$A$8:$A$107,0),MATCH(Dashboard!C$32,Schedule!$AU$5:$AZ$5,0)),IF(COUNTIF(Schedule!$A$116:$A$215,Dashboard!$B122)&gt;0,INDEX(Schedule!$AU$116:$AZ$215,MATCH(Dashboard!$B122,Schedule!$A$116:$A$215,0),MATCH(Dashboard!C$32,Schedule!$AU$113:$AZ$113,0)),INDEX(Schedule!$AU$224:$AZ$323,MATCH(Dashboard!$B122,Schedule!$A$224:$A$323,0),MATCH(Dashboard!C$32,Schedule!$AU$221:$AZ$221,0)))),"")</f>
        <v/>
      </c>
      <c r="D122" s="42" t="str">
        <f>IFERROR(IF(COUNTIF(Schedule!$A$8:$A$107,Dashboard!$B122)&gt;0,INDEX(Schedule!$AU$8:$AZ$107,MATCH(Dashboard!$B122,Schedule!$A$8:$A$107,0),MATCH(Dashboard!D$32,Schedule!$AU$5:$AZ$5,0)),IF(COUNTIF(Schedule!$A$116:$A$215,Dashboard!$B122)&gt;0,INDEX(Schedule!$AU$116:$AZ$215,MATCH(Dashboard!$B122,Schedule!$A$116:$A$215,0),MATCH(Dashboard!D$32,Schedule!$AU$113:$AZ$113,0)),INDEX(Schedule!$AU$224:$AZ$323,MATCH(Dashboard!$B122,Schedule!$A$224:$A$323,0),MATCH(Dashboard!D$32,Schedule!$AU$221:$AZ$221,0)))),"")</f>
        <v/>
      </c>
      <c r="E122" s="42" t="str">
        <f>IFERROR(IF(COUNTIF(Schedule!$A$8:$A$107,Dashboard!$B122)&gt;0,INDEX(Schedule!$AU$8:$AZ$107,MATCH(Dashboard!$B122,Schedule!$A$8:$A$107,0),MATCH(Dashboard!E$32,Schedule!$AU$5:$AZ$5,0)),IF(COUNTIF(Schedule!$A$116:$A$215,Dashboard!$B122)&gt;0,INDEX(Schedule!$AU$116:$AZ$215,MATCH(Dashboard!$B122,Schedule!$A$116:$A$215,0),MATCH(Dashboard!E$32,Schedule!$AU$113:$AZ$113,0)),INDEX(Schedule!$AU$224:$AZ$323,MATCH(Dashboard!$B122,Schedule!$A$224:$A$323,0),MATCH(Dashboard!E$32,Schedule!$AU$221:$AZ$221,0)))),"")</f>
        <v/>
      </c>
      <c r="F122" s="42" t="str">
        <f>IFERROR(IF(COUNTIF(Schedule!$A$8:$A$107,Dashboard!$B122)&gt;0,INDEX(Schedule!$AU$8:$AZ$107,MATCH(Dashboard!$B122,Schedule!$A$8:$A$107,0),MATCH(Dashboard!F$32,Schedule!$AU$5:$AZ$5,0)),IF(COUNTIF(Schedule!$A$116:$A$215,Dashboard!$B122)&gt;0,INDEX(Schedule!$AU$116:$AZ$215,MATCH(Dashboard!$B122,Schedule!$A$116:$A$215,0),MATCH(Dashboard!F$32,Schedule!$AU$113:$AZ$113,0)),INDEX(Schedule!$AU$224:$AZ$323,MATCH(Dashboard!$B122,Schedule!$A$224:$A$323,0),MATCH(Dashboard!F$32,Schedule!$AU$221:$AZ$221,0)))),"")</f>
        <v/>
      </c>
      <c r="G122" s="42" t="str">
        <f>IFERROR(IF(COUNTIF(Schedule!$A$8:$A$107,Dashboard!$B122)&gt;0,INDEX(Schedule!$AU$8:$AZ$107,MATCH(Dashboard!$B122,Schedule!$A$8:$A$107,0),MATCH(Dashboard!G$32,Schedule!$AU$5:$AZ$5,0)),IF(COUNTIF(Schedule!$A$116:$A$215,Dashboard!$B122)&gt;0,INDEX(Schedule!$AU$116:$AZ$215,MATCH(Dashboard!$B122,Schedule!$A$116:$A$215,0),MATCH(Dashboard!G$32,Schedule!$AU$113:$AZ$113,0)),INDEX(Schedule!$AU$224:$AZ$323,MATCH(Dashboard!$B122,Schedule!$A$224:$A$323,0),MATCH(Dashboard!G$32,Schedule!$AU$221:$AZ$221,0)))),"")</f>
        <v/>
      </c>
      <c r="H122" s="42" t="str">
        <f>IFERROR(IF(COUNTIF(Schedule!$A$8:$A$107,Dashboard!$B122)&gt;0,INDEX(Schedule!$AU$8:$AZ$107,MATCH(Dashboard!$B122,Schedule!$A$8:$A$107,0),MATCH(Dashboard!H$32,Schedule!$AU$5:$AZ$5,0)),IF(COUNTIF(Schedule!$A$116:$A$215,Dashboard!$B122)&gt;0,INDEX(Schedule!$AU$116:$AZ$215,MATCH(Dashboard!$B122,Schedule!$A$116:$A$215,0),MATCH(Dashboard!H$32,Schedule!$AU$113:$AZ$113,0)),INDEX(Schedule!$AU$224:$AZ$323,MATCH(Dashboard!$B122,Schedule!$A$224:$A$323,0),MATCH(Dashboard!H$32,Schedule!$AU$221:$AZ$221,0)))),"")</f>
        <v/>
      </c>
    </row>
    <row r="123" spans="2:8" ht="14.1" hidden="1" customHeight="1" x14ac:dyDescent="0.2">
      <c r="B123" s="40" t="str">
        <f>IF(Lists!B95=0,"",Lists!B95)</f>
        <v/>
      </c>
      <c r="C123" s="42" t="str">
        <f>IFERROR(IF(COUNTIF(Schedule!$A$8:$A$107,Dashboard!$B123)&gt;0,INDEX(Schedule!$AU$8:$AZ$107,MATCH(Dashboard!$B123,Schedule!$A$8:$A$107,0),MATCH(Dashboard!C$32,Schedule!$AU$5:$AZ$5,0)),IF(COUNTIF(Schedule!$A$116:$A$215,Dashboard!$B123)&gt;0,INDEX(Schedule!$AU$116:$AZ$215,MATCH(Dashboard!$B123,Schedule!$A$116:$A$215,0),MATCH(Dashboard!C$32,Schedule!$AU$113:$AZ$113,0)),INDEX(Schedule!$AU$224:$AZ$323,MATCH(Dashboard!$B123,Schedule!$A$224:$A$323,0),MATCH(Dashboard!C$32,Schedule!$AU$221:$AZ$221,0)))),"")</f>
        <v/>
      </c>
      <c r="D123" s="42" t="str">
        <f>IFERROR(IF(COUNTIF(Schedule!$A$8:$A$107,Dashboard!$B123)&gt;0,INDEX(Schedule!$AU$8:$AZ$107,MATCH(Dashboard!$B123,Schedule!$A$8:$A$107,0),MATCH(Dashboard!D$32,Schedule!$AU$5:$AZ$5,0)),IF(COUNTIF(Schedule!$A$116:$A$215,Dashboard!$B123)&gt;0,INDEX(Schedule!$AU$116:$AZ$215,MATCH(Dashboard!$B123,Schedule!$A$116:$A$215,0),MATCH(Dashboard!D$32,Schedule!$AU$113:$AZ$113,0)),INDEX(Schedule!$AU$224:$AZ$323,MATCH(Dashboard!$B123,Schedule!$A$224:$A$323,0),MATCH(Dashboard!D$32,Schedule!$AU$221:$AZ$221,0)))),"")</f>
        <v/>
      </c>
      <c r="E123" s="42" t="str">
        <f>IFERROR(IF(COUNTIF(Schedule!$A$8:$A$107,Dashboard!$B123)&gt;0,INDEX(Schedule!$AU$8:$AZ$107,MATCH(Dashboard!$B123,Schedule!$A$8:$A$107,0),MATCH(Dashboard!E$32,Schedule!$AU$5:$AZ$5,0)),IF(COUNTIF(Schedule!$A$116:$A$215,Dashboard!$B123)&gt;0,INDEX(Schedule!$AU$116:$AZ$215,MATCH(Dashboard!$B123,Schedule!$A$116:$A$215,0),MATCH(Dashboard!E$32,Schedule!$AU$113:$AZ$113,0)),INDEX(Schedule!$AU$224:$AZ$323,MATCH(Dashboard!$B123,Schedule!$A$224:$A$323,0),MATCH(Dashboard!E$32,Schedule!$AU$221:$AZ$221,0)))),"")</f>
        <v/>
      </c>
      <c r="F123" s="42" t="str">
        <f>IFERROR(IF(COUNTIF(Schedule!$A$8:$A$107,Dashboard!$B123)&gt;0,INDEX(Schedule!$AU$8:$AZ$107,MATCH(Dashboard!$B123,Schedule!$A$8:$A$107,0),MATCH(Dashboard!F$32,Schedule!$AU$5:$AZ$5,0)),IF(COUNTIF(Schedule!$A$116:$A$215,Dashboard!$B123)&gt;0,INDEX(Schedule!$AU$116:$AZ$215,MATCH(Dashboard!$B123,Schedule!$A$116:$A$215,0),MATCH(Dashboard!F$32,Schedule!$AU$113:$AZ$113,0)),INDEX(Schedule!$AU$224:$AZ$323,MATCH(Dashboard!$B123,Schedule!$A$224:$A$323,0),MATCH(Dashboard!F$32,Schedule!$AU$221:$AZ$221,0)))),"")</f>
        <v/>
      </c>
      <c r="G123" s="42" t="str">
        <f>IFERROR(IF(COUNTIF(Schedule!$A$8:$A$107,Dashboard!$B123)&gt;0,INDEX(Schedule!$AU$8:$AZ$107,MATCH(Dashboard!$B123,Schedule!$A$8:$A$107,0),MATCH(Dashboard!G$32,Schedule!$AU$5:$AZ$5,0)),IF(COUNTIF(Schedule!$A$116:$A$215,Dashboard!$B123)&gt;0,INDEX(Schedule!$AU$116:$AZ$215,MATCH(Dashboard!$B123,Schedule!$A$116:$A$215,0),MATCH(Dashboard!G$32,Schedule!$AU$113:$AZ$113,0)),INDEX(Schedule!$AU$224:$AZ$323,MATCH(Dashboard!$B123,Schedule!$A$224:$A$323,0),MATCH(Dashboard!G$32,Schedule!$AU$221:$AZ$221,0)))),"")</f>
        <v/>
      </c>
      <c r="H123" s="42" t="str">
        <f>IFERROR(IF(COUNTIF(Schedule!$A$8:$A$107,Dashboard!$B123)&gt;0,INDEX(Schedule!$AU$8:$AZ$107,MATCH(Dashboard!$B123,Schedule!$A$8:$A$107,0),MATCH(Dashboard!H$32,Schedule!$AU$5:$AZ$5,0)),IF(COUNTIF(Schedule!$A$116:$A$215,Dashboard!$B123)&gt;0,INDEX(Schedule!$AU$116:$AZ$215,MATCH(Dashboard!$B123,Schedule!$A$116:$A$215,0),MATCH(Dashboard!H$32,Schedule!$AU$113:$AZ$113,0)),INDEX(Schedule!$AU$224:$AZ$323,MATCH(Dashboard!$B123,Schedule!$A$224:$A$323,0),MATCH(Dashboard!H$32,Schedule!$AU$221:$AZ$221,0)))),"")</f>
        <v/>
      </c>
    </row>
    <row r="124" spans="2:8" ht="14.1" hidden="1" customHeight="1" x14ac:dyDescent="0.2">
      <c r="B124" s="40" t="str">
        <f>IF(Lists!B96=0,"",Lists!B96)</f>
        <v/>
      </c>
      <c r="C124" s="42" t="str">
        <f>IFERROR(IF(COUNTIF(Schedule!$A$8:$A$107,Dashboard!$B124)&gt;0,INDEX(Schedule!$AU$8:$AZ$107,MATCH(Dashboard!$B124,Schedule!$A$8:$A$107,0),MATCH(Dashboard!C$32,Schedule!$AU$5:$AZ$5,0)),IF(COUNTIF(Schedule!$A$116:$A$215,Dashboard!$B124)&gt;0,INDEX(Schedule!$AU$116:$AZ$215,MATCH(Dashboard!$B124,Schedule!$A$116:$A$215,0),MATCH(Dashboard!C$32,Schedule!$AU$113:$AZ$113,0)),INDEX(Schedule!$AU$224:$AZ$323,MATCH(Dashboard!$B124,Schedule!$A$224:$A$323,0),MATCH(Dashboard!C$32,Schedule!$AU$221:$AZ$221,0)))),"")</f>
        <v/>
      </c>
      <c r="D124" s="42" t="str">
        <f>IFERROR(IF(COUNTIF(Schedule!$A$8:$A$107,Dashboard!$B124)&gt;0,INDEX(Schedule!$AU$8:$AZ$107,MATCH(Dashboard!$B124,Schedule!$A$8:$A$107,0),MATCH(Dashboard!D$32,Schedule!$AU$5:$AZ$5,0)),IF(COUNTIF(Schedule!$A$116:$A$215,Dashboard!$B124)&gt;0,INDEX(Schedule!$AU$116:$AZ$215,MATCH(Dashboard!$B124,Schedule!$A$116:$A$215,0),MATCH(Dashboard!D$32,Schedule!$AU$113:$AZ$113,0)),INDEX(Schedule!$AU$224:$AZ$323,MATCH(Dashboard!$B124,Schedule!$A$224:$A$323,0),MATCH(Dashboard!D$32,Schedule!$AU$221:$AZ$221,0)))),"")</f>
        <v/>
      </c>
      <c r="E124" s="42" t="str">
        <f>IFERROR(IF(COUNTIF(Schedule!$A$8:$A$107,Dashboard!$B124)&gt;0,INDEX(Schedule!$AU$8:$AZ$107,MATCH(Dashboard!$B124,Schedule!$A$8:$A$107,0),MATCH(Dashboard!E$32,Schedule!$AU$5:$AZ$5,0)),IF(COUNTIF(Schedule!$A$116:$A$215,Dashboard!$B124)&gt;0,INDEX(Schedule!$AU$116:$AZ$215,MATCH(Dashboard!$B124,Schedule!$A$116:$A$215,0),MATCH(Dashboard!E$32,Schedule!$AU$113:$AZ$113,0)),INDEX(Schedule!$AU$224:$AZ$323,MATCH(Dashboard!$B124,Schedule!$A$224:$A$323,0),MATCH(Dashboard!E$32,Schedule!$AU$221:$AZ$221,0)))),"")</f>
        <v/>
      </c>
      <c r="F124" s="42" t="str">
        <f>IFERROR(IF(COUNTIF(Schedule!$A$8:$A$107,Dashboard!$B124)&gt;0,INDEX(Schedule!$AU$8:$AZ$107,MATCH(Dashboard!$B124,Schedule!$A$8:$A$107,0),MATCH(Dashboard!F$32,Schedule!$AU$5:$AZ$5,0)),IF(COUNTIF(Schedule!$A$116:$A$215,Dashboard!$B124)&gt;0,INDEX(Schedule!$AU$116:$AZ$215,MATCH(Dashboard!$B124,Schedule!$A$116:$A$215,0),MATCH(Dashboard!F$32,Schedule!$AU$113:$AZ$113,0)),INDEX(Schedule!$AU$224:$AZ$323,MATCH(Dashboard!$B124,Schedule!$A$224:$A$323,0),MATCH(Dashboard!F$32,Schedule!$AU$221:$AZ$221,0)))),"")</f>
        <v/>
      </c>
      <c r="G124" s="42" t="str">
        <f>IFERROR(IF(COUNTIF(Schedule!$A$8:$A$107,Dashboard!$B124)&gt;0,INDEX(Schedule!$AU$8:$AZ$107,MATCH(Dashboard!$B124,Schedule!$A$8:$A$107,0),MATCH(Dashboard!G$32,Schedule!$AU$5:$AZ$5,0)),IF(COUNTIF(Schedule!$A$116:$A$215,Dashboard!$B124)&gt;0,INDEX(Schedule!$AU$116:$AZ$215,MATCH(Dashboard!$B124,Schedule!$A$116:$A$215,0),MATCH(Dashboard!G$32,Schedule!$AU$113:$AZ$113,0)),INDEX(Schedule!$AU$224:$AZ$323,MATCH(Dashboard!$B124,Schedule!$A$224:$A$323,0),MATCH(Dashboard!G$32,Schedule!$AU$221:$AZ$221,0)))),"")</f>
        <v/>
      </c>
      <c r="H124" s="42" t="str">
        <f>IFERROR(IF(COUNTIF(Schedule!$A$8:$A$107,Dashboard!$B124)&gt;0,INDEX(Schedule!$AU$8:$AZ$107,MATCH(Dashboard!$B124,Schedule!$A$8:$A$107,0),MATCH(Dashboard!H$32,Schedule!$AU$5:$AZ$5,0)),IF(COUNTIF(Schedule!$A$116:$A$215,Dashboard!$B124)&gt;0,INDEX(Schedule!$AU$116:$AZ$215,MATCH(Dashboard!$B124,Schedule!$A$116:$A$215,0),MATCH(Dashboard!H$32,Schedule!$AU$113:$AZ$113,0)),INDEX(Schedule!$AU$224:$AZ$323,MATCH(Dashboard!$B124,Schedule!$A$224:$A$323,0),MATCH(Dashboard!H$32,Schedule!$AU$221:$AZ$221,0)))),"")</f>
        <v/>
      </c>
    </row>
    <row r="125" spans="2:8" ht="14.1" hidden="1" customHeight="1" x14ac:dyDescent="0.2">
      <c r="B125" s="40" t="str">
        <f>IF(Lists!B97=0,"",Lists!B97)</f>
        <v/>
      </c>
      <c r="C125" s="42" t="str">
        <f>IFERROR(IF(COUNTIF(Schedule!$A$8:$A$107,Dashboard!$B125)&gt;0,INDEX(Schedule!$AU$8:$AZ$107,MATCH(Dashboard!$B125,Schedule!$A$8:$A$107,0),MATCH(Dashboard!C$32,Schedule!$AU$5:$AZ$5,0)),IF(COUNTIF(Schedule!$A$116:$A$215,Dashboard!$B125)&gt;0,INDEX(Schedule!$AU$116:$AZ$215,MATCH(Dashboard!$B125,Schedule!$A$116:$A$215,0),MATCH(Dashboard!C$32,Schedule!$AU$113:$AZ$113,0)),INDEX(Schedule!$AU$224:$AZ$323,MATCH(Dashboard!$B125,Schedule!$A$224:$A$323,0),MATCH(Dashboard!C$32,Schedule!$AU$221:$AZ$221,0)))),"")</f>
        <v/>
      </c>
      <c r="D125" s="42" t="str">
        <f>IFERROR(IF(COUNTIF(Schedule!$A$8:$A$107,Dashboard!$B125)&gt;0,INDEX(Schedule!$AU$8:$AZ$107,MATCH(Dashboard!$B125,Schedule!$A$8:$A$107,0),MATCH(Dashboard!D$32,Schedule!$AU$5:$AZ$5,0)),IF(COUNTIF(Schedule!$A$116:$A$215,Dashboard!$B125)&gt;0,INDEX(Schedule!$AU$116:$AZ$215,MATCH(Dashboard!$B125,Schedule!$A$116:$A$215,0),MATCH(Dashboard!D$32,Schedule!$AU$113:$AZ$113,0)),INDEX(Schedule!$AU$224:$AZ$323,MATCH(Dashboard!$B125,Schedule!$A$224:$A$323,0),MATCH(Dashboard!D$32,Schedule!$AU$221:$AZ$221,0)))),"")</f>
        <v/>
      </c>
      <c r="E125" s="42" t="str">
        <f>IFERROR(IF(COUNTIF(Schedule!$A$8:$A$107,Dashboard!$B125)&gt;0,INDEX(Schedule!$AU$8:$AZ$107,MATCH(Dashboard!$B125,Schedule!$A$8:$A$107,0),MATCH(Dashboard!E$32,Schedule!$AU$5:$AZ$5,0)),IF(COUNTIF(Schedule!$A$116:$A$215,Dashboard!$B125)&gt;0,INDEX(Schedule!$AU$116:$AZ$215,MATCH(Dashboard!$B125,Schedule!$A$116:$A$215,0),MATCH(Dashboard!E$32,Schedule!$AU$113:$AZ$113,0)),INDEX(Schedule!$AU$224:$AZ$323,MATCH(Dashboard!$B125,Schedule!$A$224:$A$323,0),MATCH(Dashboard!E$32,Schedule!$AU$221:$AZ$221,0)))),"")</f>
        <v/>
      </c>
      <c r="F125" s="42" t="str">
        <f>IFERROR(IF(COUNTIF(Schedule!$A$8:$A$107,Dashboard!$B125)&gt;0,INDEX(Schedule!$AU$8:$AZ$107,MATCH(Dashboard!$B125,Schedule!$A$8:$A$107,0),MATCH(Dashboard!F$32,Schedule!$AU$5:$AZ$5,0)),IF(COUNTIF(Schedule!$A$116:$A$215,Dashboard!$B125)&gt;0,INDEX(Schedule!$AU$116:$AZ$215,MATCH(Dashboard!$B125,Schedule!$A$116:$A$215,0),MATCH(Dashboard!F$32,Schedule!$AU$113:$AZ$113,0)),INDEX(Schedule!$AU$224:$AZ$323,MATCH(Dashboard!$B125,Schedule!$A$224:$A$323,0),MATCH(Dashboard!F$32,Schedule!$AU$221:$AZ$221,0)))),"")</f>
        <v/>
      </c>
      <c r="G125" s="42" t="str">
        <f>IFERROR(IF(COUNTIF(Schedule!$A$8:$A$107,Dashboard!$B125)&gt;0,INDEX(Schedule!$AU$8:$AZ$107,MATCH(Dashboard!$B125,Schedule!$A$8:$A$107,0),MATCH(Dashboard!G$32,Schedule!$AU$5:$AZ$5,0)),IF(COUNTIF(Schedule!$A$116:$A$215,Dashboard!$B125)&gt;0,INDEX(Schedule!$AU$116:$AZ$215,MATCH(Dashboard!$B125,Schedule!$A$116:$A$215,0),MATCH(Dashboard!G$32,Schedule!$AU$113:$AZ$113,0)),INDEX(Schedule!$AU$224:$AZ$323,MATCH(Dashboard!$B125,Schedule!$A$224:$A$323,0),MATCH(Dashboard!G$32,Schedule!$AU$221:$AZ$221,0)))),"")</f>
        <v/>
      </c>
      <c r="H125" s="42" t="str">
        <f>IFERROR(IF(COUNTIF(Schedule!$A$8:$A$107,Dashboard!$B125)&gt;0,INDEX(Schedule!$AU$8:$AZ$107,MATCH(Dashboard!$B125,Schedule!$A$8:$A$107,0),MATCH(Dashboard!H$32,Schedule!$AU$5:$AZ$5,0)),IF(COUNTIF(Schedule!$A$116:$A$215,Dashboard!$B125)&gt;0,INDEX(Schedule!$AU$116:$AZ$215,MATCH(Dashboard!$B125,Schedule!$A$116:$A$215,0),MATCH(Dashboard!H$32,Schedule!$AU$113:$AZ$113,0)),INDEX(Schedule!$AU$224:$AZ$323,MATCH(Dashboard!$B125,Schedule!$A$224:$A$323,0),MATCH(Dashboard!H$32,Schedule!$AU$221:$AZ$221,0)))),"")</f>
        <v/>
      </c>
    </row>
    <row r="126" spans="2:8" ht="14.1" hidden="1" customHeight="1" x14ac:dyDescent="0.2">
      <c r="B126" s="40" t="str">
        <f>IF(Lists!B98=0,"",Lists!B98)</f>
        <v/>
      </c>
      <c r="C126" s="42" t="str">
        <f>IFERROR(IF(COUNTIF(Schedule!$A$8:$A$107,Dashboard!$B126)&gt;0,INDEX(Schedule!$AU$8:$AZ$107,MATCH(Dashboard!$B126,Schedule!$A$8:$A$107,0),MATCH(Dashboard!C$32,Schedule!$AU$5:$AZ$5,0)),IF(COUNTIF(Schedule!$A$116:$A$215,Dashboard!$B126)&gt;0,INDEX(Schedule!$AU$116:$AZ$215,MATCH(Dashboard!$B126,Schedule!$A$116:$A$215,0),MATCH(Dashboard!C$32,Schedule!$AU$113:$AZ$113,0)),INDEX(Schedule!$AU$224:$AZ$323,MATCH(Dashboard!$B126,Schedule!$A$224:$A$323,0),MATCH(Dashboard!C$32,Schedule!$AU$221:$AZ$221,0)))),"")</f>
        <v/>
      </c>
      <c r="D126" s="42" t="str">
        <f>IFERROR(IF(COUNTIF(Schedule!$A$8:$A$107,Dashboard!$B126)&gt;0,INDEX(Schedule!$AU$8:$AZ$107,MATCH(Dashboard!$B126,Schedule!$A$8:$A$107,0),MATCH(Dashboard!D$32,Schedule!$AU$5:$AZ$5,0)),IF(COUNTIF(Schedule!$A$116:$A$215,Dashboard!$B126)&gt;0,INDEX(Schedule!$AU$116:$AZ$215,MATCH(Dashboard!$B126,Schedule!$A$116:$A$215,0),MATCH(Dashboard!D$32,Schedule!$AU$113:$AZ$113,0)),INDEX(Schedule!$AU$224:$AZ$323,MATCH(Dashboard!$B126,Schedule!$A$224:$A$323,0),MATCH(Dashboard!D$32,Schedule!$AU$221:$AZ$221,0)))),"")</f>
        <v/>
      </c>
      <c r="E126" s="42" t="str">
        <f>IFERROR(IF(COUNTIF(Schedule!$A$8:$A$107,Dashboard!$B126)&gt;0,INDEX(Schedule!$AU$8:$AZ$107,MATCH(Dashboard!$B126,Schedule!$A$8:$A$107,0),MATCH(Dashboard!E$32,Schedule!$AU$5:$AZ$5,0)),IF(COUNTIF(Schedule!$A$116:$A$215,Dashboard!$B126)&gt;0,INDEX(Schedule!$AU$116:$AZ$215,MATCH(Dashboard!$B126,Schedule!$A$116:$A$215,0),MATCH(Dashboard!E$32,Schedule!$AU$113:$AZ$113,0)),INDEX(Schedule!$AU$224:$AZ$323,MATCH(Dashboard!$B126,Schedule!$A$224:$A$323,0),MATCH(Dashboard!E$32,Schedule!$AU$221:$AZ$221,0)))),"")</f>
        <v/>
      </c>
      <c r="F126" s="42" t="str">
        <f>IFERROR(IF(COUNTIF(Schedule!$A$8:$A$107,Dashboard!$B126)&gt;0,INDEX(Schedule!$AU$8:$AZ$107,MATCH(Dashboard!$B126,Schedule!$A$8:$A$107,0),MATCH(Dashboard!F$32,Schedule!$AU$5:$AZ$5,0)),IF(COUNTIF(Schedule!$A$116:$A$215,Dashboard!$B126)&gt;0,INDEX(Schedule!$AU$116:$AZ$215,MATCH(Dashboard!$B126,Schedule!$A$116:$A$215,0),MATCH(Dashboard!F$32,Schedule!$AU$113:$AZ$113,0)),INDEX(Schedule!$AU$224:$AZ$323,MATCH(Dashboard!$B126,Schedule!$A$224:$A$323,0),MATCH(Dashboard!F$32,Schedule!$AU$221:$AZ$221,0)))),"")</f>
        <v/>
      </c>
      <c r="G126" s="42" t="str">
        <f>IFERROR(IF(COUNTIF(Schedule!$A$8:$A$107,Dashboard!$B126)&gt;0,INDEX(Schedule!$AU$8:$AZ$107,MATCH(Dashboard!$B126,Schedule!$A$8:$A$107,0),MATCH(Dashboard!G$32,Schedule!$AU$5:$AZ$5,0)),IF(COUNTIF(Schedule!$A$116:$A$215,Dashboard!$B126)&gt;0,INDEX(Schedule!$AU$116:$AZ$215,MATCH(Dashboard!$B126,Schedule!$A$116:$A$215,0),MATCH(Dashboard!G$32,Schedule!$AU$113:$AZ$113,0)),INDEX(Schedule!$AU$224:$AZ$323,MATCH(Dashboard!$B126,Schedule!$A$224:$A$323,0),MATCH(Dashboard!G$32,Schedule!$AU$221:$AZ$221,0)))),"")</f>
        <v/>
      </c>
      <c r="H126" s="42" t="str">
        <f>IFERROR(IF(COUNTIF(Schedule!$A$8:$A$107,Dashboard!$B126)&gt;0,INDEX(Schedule!$AU$8:$AZ$107,MATCH(Dashboard!$B126,Schedule!$A$8:$A$107,0),MATCH(Dashboard!H$32,Schedule!$AU$5:$AZ$5,0)),IF(COUNTIF(Schedule!$A$116:$A$215,Dashboard!$B126)&gt;0,INDEX(Schedule!$AU$116:$AZ$215,MATCH(Dashboard!$B126,Schedule!$A$116:$A$215,0),MATCH(Dashboard!H$32,Schedule!$AU$113:$AZ$113,0)),INDEX(Schedule!$AU$224:$AZ$323,MATCH(Dashboard!$B126,Schedule!$A$224:$A$323,0),MATCH(Dashboard!H$32,Schedule!$AU$221:$AZ$221,0)))),"")</f>
        <v/>
      </c>
    </row>
    <row r="127" spans="2:8" ht="14.1" hidden="1" customHeight="1" x14ac:dyDescent="0.2">
      <c r="B127" s="40" t="str">
        <f>IF(Lists!B99=0,"",Lists!B99)</f>
        <v/>
      </c>
      <c r="C127" s="42" t="str">
        <f>IFERROR(IF(COUNTIF(Schedule!$A$8:$A$107,Dashboard!$B127)&gt;0,INDEX(Schedule!$AU$8:$AZ$107,MATCH(Dashboard!$B127,Schedule!$A$8:$A$107,0),MATCH(Dashboard!C$32,Schedule!$AU$5:$AZ$5,0)),IF(COUNTIF(Schedule!$A$116:$A$215,Dashboard!$B127)&gt;0,INDEX(Schedule!$AU$116:$AZ$215,MATCH(Dashboard!$B127,Schedule!$A$116:$A$215,0),MATCH(Dashboard!C$32,Schedule!$AU$113:$AZ$113,0)),INDEX(Schedule!$AU$224:$AZ$323,MATCH(Dashboard!$B127,Schedule!$A$224:$A$323,0),MATCH(Dashboard!C$32,Schedule!$AU$221:$AZ$221,0)))),"")</f>
        <v/>
      </c>
      <c r="D127" s="42" t="str">
        <f>IFERROR(IF(COUNTIF(Schedule!$A$8:$A$107,Dashboard!$B127)&gt;0,INDEX(Schedule!$AU$8:$AZ$107,MATCH(Dashboard!$B127,Schedule!$A$8:$A$107,0),MATCH(Dashboard!D$32,Schedule!$AU$5:$AZ$5,0)),IF(COUNTIF(Schedule!$A$116:$A$215,Dashboard!$B127)&gt;0,INDEX(Schedule!$AU$116:$AZ$215,MATCH(Dashboard!$B127,Schedule!$A$116:$A$215,0),MATCH(Dashboard!D$32,Schedule!$AU$113:$AZ$113,0)),INDEX(Schedule!$AU$224:$AZ$323,MATCH(Dashboard!$B127,Schedule!$A$224:$A$323,0),MATCH(Dashboard!D$32,Schedule!$AU$221:$AZ$221,0)))),"")</f>
        <v/>
      </c>
      <c r="E127" s="42" t="str">
        <f>IFERROR(IF(COUNTIF(Schedule!$A$8:$A$107,Dashboard!$B127)&gt;0,INDEX(Schedule!$AU$8:$AZ$107,MATCH(Dashboard!$B127,Schedule!$A$8:$A$107,0),MATCH(Dashboard!E$32,Schedule!$AU$5:$AZ$5,0)),IF(COUNTIF(Schedule!$A$116:$A$215,Dashboard!$B127)&gt;0,INDEX(Schedule!$AU$116:$AZ$215,MATCH(Dashboard!$B127,Schedule!$A$116:$A$215,0),MATCH(Dashboard!E$32,Schedule!$AU$113:$AZ$113,0)),INDEX(Schedule!$AU$224:$AZ$323,MATCH(Dashboard!$B127,Schedule!$A$224:$A$323,0),MATCH(Dashboard!E$32,Schedule!$AU$221:$AZ$221,0)))),"")</f>
        <v/>
      </c>
      <c r="F127" s="42" t="str">
        <f>IFERROR(IF(COUNTIF(Schedule!$A$8:$A$107,Dashboard!$B127)&gt;0,INDEX(Schedule!$AU$8:$AZ$107,MATCH(Dashboard!$B127,Schedule!$A$8:$A$107,0),MATCH(Dashboard!F$32,Schedule!$AU$5:$AZ$5,0)),IF(COUNTIF(Schedule!$A$116:$A$215,Dashboard!$B127)&gt;0,INDEX(Schedule!$AU$116:$AZ$215,MATCH(Dashboard!$B127,Schedule!$A$116:$A$215,0),MATCH(Dashboard!F$32,Schedule!$AU$113:$AZ$113,0)),INDEX(Schedule!$AU$224:$AZ$323,MATCH(Dashboard!$B127,Schedule!$A$224:$A$323,0),MATCH(Dashboard!F$32,Schedule!$AU$221:$AZ$221,0)))),"")</f>
        <v/>
      </c>
      <c r="G127" s="42" t="str">
        <f>IFERROR(IF(COUNTIF(Schedule!$A$8:$A$107,Dashboard!$B127)&gt;0,INDEX(Schedule!$AU$8:$AZ$107,MATCH(Dashboard!$B127,Schedule!$A$8:$A$107,0),MATCH(Dashboard!G$32,Schedule!$AU$5:$AZ$5,0)),IF(COUNTIF(Schedule!$A$116:$A$215,Dashboard!$B127)&gt;0,INDEX(Schedule!$AU$116:$AZ$215,MATCH(Dashboard!$B127,Schedule!$A$116:$A$215,0),MATCH(Dashboard!G$32,Schedule!$AU$113:$AZ$113,0)),INDEX(Schedule!$AU$224:$AZ$323,MATCH(Dashboard!$B127,Schedule!$A$224:$A$323,0),MATCH(Dashboard!G$32,Schedule!$AU$221:$AZ$221,0)))),"")</f>
        <v/>
      </c>
      <c r="H127" s="42" t="str">
        <f>IFERROR(IF(COUNTIF(Schedule!$A$8:$A$107,Dashboard!$B127)&gt;0,INDEX(Schedule!$AU$8:$AZ$107,MATCH(Dashboard!$B127,Schedule!$A$8:$A$107,0),MATCH(Dashboard!H$32,Schedule!$AU$5:$AZ$5,0)),IF(COUNTIF(Schedule!$A$116:$A$215,Dashboard!$B127)&gt;0,INDEX(Schedule!$AU$116:$AZ$215,MATCH(Dashboard!$B127,Schedule!$A$116:$A$215,0),MATCH(Dashboard!H$32,Schedule!$AU$113:$AZ$113,0)),INDEX(Schedule!$AU$224:$AZ$323,MATCH(Dashboard!$B127,Schedule!$A$224:$A$323,0),MATCH(Dashboard!H$32,Schedule!$AU$221:$AZ$221,0)))),"")</f>
        <v/>
      </c>
    </row>
    <row r="128" spans="2:8" ht="14.1" hidden="1" customHeight="1" x14ac:dyDescent="0.2">
      <c r="B128" s="40" t="str">
        <f>IF(Lists!B100=0,"",Lists!B100)</f>
        <v/>
      </c>
      <c r="C128" s="42" t="str">
        <f>IFERROR(IF(COUNTIF(Schedule!$A$8:$A$107,Dashboard!$B128)&gt;0,INDEX(Schedule!$AU$8:$AZ$107,MATCH(Dashboard!$B128,Schedule!$A$8:$A$107,0),MATCH(Dashboard!C$32,Schedule!$AU$5:$AZ$5,0)),IF(COUNTIF(Schedule!$A$116:$A$215,Dashboard!$B128)&gt;0,INDEX(Schedule!$AU$116:$AZ$215,MATCH(Dashboard!$B128,Schedule!$A$116:$A$215,0),MATCH(Dashboard!C$32,Schedule!$AU$113:$AZ$113,0)),INDEX(Schedule!$AU$224:$AZ$323,MATCH(Dashboard!$B128,Schedule!$A$224:$A$323,0),MATCH(Dashboard!C$32,Schedule!$AU$221:$AZ$221,0)))),"")</f>
        <v/>
      </c>
      <c r="D128" s="42" t="str">
        <f>IFERROR(IF(COUNTIF(Schedule!$A$8:$A$107,Dashboard!$B128)&gt;0,INDEX(Schedule!$AU$8:$AZ$107,MATCH(Dashboard!$B128,Schedule!$A$8:$A$107,0),MATCH(Dashboard!D$32,Schedule!$AU$5:$AZ$5,0)),IF(COUNTIF(Schedule!$A$116:$A$215,Dashboard!$B128)&gt;0,INDEX(Schedule!$AU$116:$AZ$215,MATCH(Dashboard!$B128,Schedule!$A$116:$A$215,0),MATCH(Dashboard!D$32,Schedule!$AU$113:$AZ$113,0)),INDEX(Schedule!$AU$224:$AZ$323,MATCH(Dashboard!$B128,Schedule!$A$224:$A$323,0),MATCH(Dashboard!D$32,Schedule!$AU$221:$AZ$221,0)))),"")</f>
        <v/>
      </c>
      <c r="E128" s="42" t="str">
        <f>IFERROR(IF(COUNTIF(Schedule!$A$8:$A$107,Dashboard!$B128)&gt;0,INDEX(Schedule!$AU$8:$AZ$107,MATCH(Dashboard!$B128,Schedule!$A$8:$A$107,0),MATCH(Dashboard!E$32,Schedule!$AU$5:$AZ$5,0)),IF(COUNTIF(Schedule!$A$116:$A$215,Dashboard!$B128)&gt;0,INDEX(Schedule!$AU$116:$AZ$215,MATCH(Dashboard!$B128,Schedule!$A$116:$A$215,0),MATCH(Dashboard!E$32,Schedule!$AU$113:$AZ$113,0)),INDEX(Schedule!$AU$224:$AZ$323,MATCH(Dashboard!$B128,Schedule!$A$224:$A$323,0),MATCH(Dashboard!E$32,Schedule!$AU$221:$AZ$221,0)))),"")</f>
        <v/>
      </c>
      <c r="F128" s="42" t="str">
        <f>IFERROR(IF(COUNTIF(Schedule!$A$8:$A$107,Dashboard!$B128)&gt;0,INDEX(Schedule!$AU$8:$AZ$107,MATCH(Dashboard!$B128,Schedule!$A$8:$A$107,0),MATCH(Dashboard!F$32,Schedule!$AU$5:$AZ$5,0)),IF(COUNTIF(Schedule!$A$116:$A$215,Dashboard!$B128)&gt;0,INDEX(Schedule!$AU$116:$AZ$215,MATCH(Dashboard!$B128,Schedule!$A$116:$A$215,0),MATCH(Dashboard!F$32,Schedule!$AU$113:$AZ$113,0)),INDEX(Schedule!$AU$224:$AZ$323,MATCH(Dashboard!$B128,Schedule!$A$224:$A$323,0),MATCH(Dashboard!F$32,Schedule!$AU$221:$AZ$221,0)))),"")</f>
        <v/>
      </c>
      <c r="G128" s="42" t="str">
        <f>IFERROR(IF(COUNTIF(Schedule!$A$8:$A$107,Dashboard!$B128)&gt;0,INDEX(Schedule!$AU$8:$AZ$107,MATCH(Dashboard!$B128,Schedule!$A$8:$A$107,0),MATCH(Dashboard!G$32,Schedule!$AU$5:$AZ$5,0)),IF(COUNTIF(Schedule!$A$116:$A$215,Dashboard!$B128)&gt;0,INDEX(Schedule!$AU$116:$AZ$215,MATCH(Dashboard!$B128,Schedule!$A$116:$A$215,0),MATCH(Dashboard!G$32,Schedule!$AU$113:$AZ$113,0)),INDEX(Schedule!$AU$224:$AZ$323,MATCH(Dashboard!$B128,Schedule!$A$224:$A$323,0),MATCH(Dashboard!G$32,Schedule!$AU$221:$AZ$221,0)))),"")</f>
        <v/>
      </c>
      <c r="H128" s="42" t="str">
        <f>IFERROR(IF(COUNTIF(Schedule!$A$8:$A$107,Dashboard!$B128)&gt;0,INDEX(Schedule!$AU$8:$AZ$107,MATCH(Dashboard!$B128,Schedule!$A$8:$A$107,0),MATCH(Dashboard!H$32,Schedule!$AU$5:$AZ$5,0)),IF(COUNTIF(Schedule!$A$116:$A$215,Dashboard!$B128)&gt;0,INDEX(Schedule!$AU$116:$AZ$215,MATCH(Dashboard!$B128,Schedule!$A$116:$A$215,0),MATCH(Dashboard!H$32,Schedule!$AU$113:$AZ$113,0)),INDEX(Schedule!$AU$224:$AZ$323,MATCH(Dashboard!$B128,Schedule!$A$224:$A$323,0),MATCH(Dashboard!H$32,Schedule!$AU$221:$AZ$221,0)))),"")</f>
        <v/>
      </c>
    </row>
    <row r="129" spans="2:8" ht="14.1" hidden="1" customHeight="1" x14ac:dyDescent="0.2">
      <c r="B129" s="40" t="str">
        <f>IF(Lists!B101=0,"",Lists!B101)</f>
        <v/>
      </c>
      <c r="C129" s="42" t="str">
        <f>IFERROR(IF(COUNTIF(Schedule!$A$8:$A$107,Dashboard!$B129)&gt;0,INDEX(Schedule!$AU$8:$AZ$107,MATCH(Dashboard!$B129,Schedule!$A$8:$A$107,0),MATCH(Dashboard!C$32,Schedule!$AU$5:$AZ$5,0)),IF(COUNTIF(Schedule!$A$116:$A$215,Dashboard!$B129)&gt;0,INDEX(Schedule!$AU$116:$AZ$215,MATCH(Dashboard!$B129,Schedule!$A$116:$A$215,0),MATCH(Dashboard!C$32,Schedule!$AU$113:$AZ$113,0)),INDEX(Schedule!$AU$224:$AZ$323,MATCH(Dashboard!$B129,Schedule!$A$224:$A$323,0),MATCH(Dashboard!C$32,Schedule!$AU$221:$AZ$221,0)))),"")</f>
        <v/>
      </c>
      <c r="D129" s="42" t="str">
        <f>IFERROR(IF(COUNTIF(Schedule!$A$8:$A$107,Dashboard!$B129)&gt;0,INDEX(Schedule!$AU$8:$AZ$107,MATCH(Dashboard!$B129,Schedule!$A$8:$A$107,0),MATCH(Dashboard!D$32,Schedule!$AU$5:$AZ$5,0)),IF(COUNTIF(Schedule!$A$116:$A$215,Dashboard!$B129)&gt;0,INDEX(Schedule!$AU$116:$AZ$215,MATCH(Dashboard!$B129,Schedule!$A$116:$A$215,0),MATCH(Dashboard!D$32,Schedule!$AU$113:$AZ$113,0)),INDEX(Schedule!$AU$224:$AZ$323,MATCH(Dashboard!$B129,Schedule!$A$224:$A$323,0),MATCH(Dashboard!D$32,Schedule!$AU$221:$AZ$221,0)))),"")</f>
        <v/>
      </c>
      <c r="E129" s="42" t="str">
        <f>IFERROR(IF(COUNTIF(Schedule!$A$8:$A$107,Dashboard!$B129)&gt;0,INDEX(Schedule!$AU$8:$AZ$107,MATCH(Dashboard!$B129,Schedule!$A$8:$A$107,0),MATCH(Dashboard!E$32,Schedule!$AU$5:$AZ$5,0)),IF(COUNTIF(Schedule!$A$116:$A$215,Dashboard!$B129)&gt;0,INDEX(Schedule!$AU$116:$AZ$215,MATCH(Dashboard!$B129,Schedule!$A$116:$A$215,0),MATCH(Dashboard!E$32,Schedule!$AU$113:$AZ$113,0)),INDEX(Schedule!$AU$224:$AZ$323,MATCH(Dashboard!$B129,Schedule!$A$224:$A$323,0),MATCH(Dashboard!E$32,Schedule!$AU$221:$AZ$221,0)))),"")</f>
        <v/>
      </c>
      <c r="F129" s="42" t="str">
        <f>IFERROR(IF(COUNTIF(Schedule!$A$8:$A$107,Dashboard!$B129)&gt;0,INDEX(Schedule!$AU$8:$AZ$107,MATCH(Dashboard!$B129,Schedule!$A$8:$A$107,0),MATCH(Dashboard!F$32,Schedule!$AU$5:$AZ$5,0)),IF(COUNTIF(Schedule!$A$116:$A$215,Dashboard!$B129)&gt;0,INDEX(Schedule!$AU$116:$AZ$215,MATCH(Dashboard!$B129,Schedule!$A$116:$A$215,0),MATCH(Dashboard!F$32,Schedule!$AU$113:$AZ$113,0)),INDEX(Schedule!$AU$224:$AZ$323,MATCH(Dashboard!$B129,Schedule!$A$224:$A$323,0),MATCH(Dashboard!F$32,Schedule!$AU$221:$AZ$221,0)))),"")</f>
        <v/>
      </c>
      <c r="G129" s="42" t="str">
        <f>IFERROR(IF(COUNTIF(Schedule!$A$8:$A$107,Dashboard!$B129)&gt;0,INDEX(Schedule!$AU$8:$AZ$107,MATCH(Dashboard!$B129,Schedule!$A$8:$A$107,0),MATCH(Dashboard!G$32,Schedule!$AU$5:$AZ$5,0)),IF(COUNTIF(Schedule!$A$116:$A$215,Dashboard!$B129)&gt;0,INDEX(Schedule!$AU$116:$AZ$215,MATCH(Dashboard!$B129,Schedule!$A$116:$A$215,0),MATCH(Dashboard!G$32,Schedule!$AU$113:$AZ$113,0)),INDEX(Schedule!$AU$224:$AZ$323,MATCH(Dashboard!$B129,Schedule!$A$224:$A$323,0),MATCH(Dashboard!G$32,Schedule!$AU$221:$AZ$221,0)))),"")</f>
        <v/>
      </c>
      <c r="H129" s="42" t="str">
        <f>IFERROR(IF(COUNTIF(Schedule!$A$8:$A$107,Dashboard!$B129)&gt;0,INDEX(Schedule!$AU$8:$AZ$107,MATCH(Dashboard!$B129,Schedule!$A$8:$A$107,0),MATCH(Dashboard!H$32,Schedule!$AU$5:$AZ$5,0)),IF(COUNTIF(Schedule!$A$116:$A$215,Dashboard!$B129)&gt;0,INDEX(Schedule!$AU$116:$AZ$215,MATCH(Dashboard!$B129,Schedule!$A$116:$A$215,0),MATCH(Dashboard!H$32,Schedule!$AU$113:$AZ$113,0)),INDEX(Schedule!$AU$224:$AZ$323,MATCH(Dashboard!$B129,Schedule!$A$224:$A$323,0),MATCH(Dashboard!H$32,Schedule!$AU$221:$AZ$221,0)))),"")</f>
        <v/>
      </c>
    </row>
    <row r="130" spans="2:8" ht="14.1" hidden="1" customHeight="1" x14ac:dyDescent="0.2">
      <c r="B130" s="40" t="str">
        <f>IF(Lists!B102=0,"",Lists!B102)</f>
        <v/>
      </c>
      <c r="C130" s="42" t="str">
        <f>IFERROR(IF(COUNTIF(Schedule!$A$8:$A$107,Dashboard!$B130)&gt;0,INDEX(Schedule!$AU$8:$AZ$107,MATCH(Dashboard!$B130,Schedule!$A$8:$A$107,0),MATCH(Dashboard!C$32,Schedule!$AU$5:$AZ$5,0)),IF(COUNTIF(Schedule!$A$116:$A$215,Dashboard!$B130)&gt;0,INDEX(Schedule!$AU$116:$AZ$215,MATCH(Dashboard!$B130,Schedule!$A$116:$A$215,0),MATCH(Dashboard!C$32,Schedule!$AU$113:$AZ$113,0)),INDEX(Schedule!$AU$224:$AZ$323,MATCH(Dashboard!$B130,Schedule!$A$224:$A$323,0),MATCH(Dashboard!C$32,Schedule!$AU$221:$AZ$221,0)))),"")</f>
        <v/>
      </c>
      <c r="D130" s="42" t="str">
        <f>IFERROR(IF(COUNTIF(Schedule!$A$8:$A$107,Dashboard!$B130)&gt;0,INDEX(Schedule!$AU$8:$AZ$107,MATCH(Dashboard!$B130,Schedule!$A$8:$A$107,0),MATCH(Dashboard!D$32,Schedule!$AU$5:$AZ$5,0)),IF(COUNTIF(Schedule!$A$116:$A$215,Dashboard!$B130)&gt;0,INDEX(Schedule!$AU$116:$AZ$215,MATCH(Dashboard!$B130,Schedule!$A$116:$A$215,0),MATCH(Dashboard!D$32,Schedule!$AU$113:$AZ$113,0)),INDEX(Schedule!$AU$224:$AZ$323,MATCH(Dashboard!$B130,Schedule!$A$224:$A$323,0),MATCH(Dashboard!D$32,Schedule!$AU$221:$AZ$221,0)))),"")</f>
        <v/>
      </c>
      <c r="E130" s="42" t="str">
        <f>IFERROR(IF(COUNTIF(Schedule!$A$8:$A$107,Dashboard!$B130)&gt;0,INDEX(Schedule!$AU$8:$AZ$107,MATCH(Dashboard!$B130,Schedule!$A$8:$A$107,0),MATCH(Dashboard!E$32,Schedule!$AU$5:$AZ$5,0)),IF(COUNTIF(Schedule!$A$116:$A$215,Dashboard!$B130)&gt;0,INDEX(Schedule!$AU$116:$AZ$215,MATCH(Dashboard!$B130,Schedule!$A$116:$A$215,0),MATCH(Dashboard!E$32,Schedule!$AU$113:$AZ$113,0)),INDEX(Schedule!$AU$224:$AZ$323,MATCH(Dashboard!$B130,Schedule!$A$224:$A$323,0),MATCH(Dashboard!E$32,Schedule!$AU$221:$AZ$221,0)))),"")</f>
        <v/>
      </c>
      <c r="F130" s="42" t="str">
        <f>IFERROR(IF(COUNTIF(Schedule!$A$8:$A$107,Dashboard!$B130)&gt;0,INDEX(Schedule!$AU$8:$AZ$107,MATCH(Dashboard!$B130,Schedule!$A$8:$A$107,0),MATCH(Dashboard!F$32,Schedule!$AU$5:$AZ$5,0)),IF(COUNTIF(Schedule!$A$116:$A$215,Dashboard!$B130)&gt;0,INDEX(Schedule!$AU$116:$AZ$215,MATCH(Dashboard!$B130,Schedule!$A$116:$A$215,0),MATCH(Dashboard!F$32,Schedule!$AU$113:$AZ$113,0)),INDEX(Schedule!$AU$224:$AZ$323,MATCH(Dashboard!$B130,Schedule!$A$224:$A$323,0),MATCH(Dashboard!F$32,Schedule!$AU$221:$AZ$221,0)))),"")</f>
        <v/>
      </c>
      <c r="G130" s="42" t="str">
        <f>IFERROR(IF(COUNTIF(Schedule!$A$8:$A$107,Dashboard!$B130)&gt;0,INDEX(Schedule!$AU$8:$AZ$107,MATCH(Dashboard!$B130,Schedule!$A$8:$A$107,0),MATCH(Dashboard!G$32,Schedule!$AU$5:$AZ$5,0)),IF(COUNTIF(Schedule!$A$116:$A$215,Dashboard!$B130)&gt;0,INDEX(Schedule!$AU$116:$AZ$215,MATCH(Dashboard!$B130,Schedule!$A$116:$A$215,0),MATCH(Dashboard!G$32,Schedule!$AU$113:$AZ$113,0)),INDEX(Schedule!$AU$224:$AZ$323,MATCH(Dashboard!$B130,Schedule!$A$224:$A$323,0),MATCH(Dashboard!G$32,Schedule!$AU$221:$AZ$221,0)))),"")</f>
        <v/>
      </c>
      <c r="H130" s="42" t="str">
        <f>IFERROR(IF(COUNTIF(Schedule!$A$8:$A$107,Dashboard!$B130)&gt;0,INDEX(Schedule!$AU$8:$AZ$107,MATCH(Dashboard!$B130,Schedule!$A$8:$A$107,0),MATCH(Dashboard!H$32,Schedule!$AU$5:$AZ$5,0)),IF(COUNTIF(Schedule!$A$116:$A$215,Dashboard!$B130)&gt;0,INDEX(Schedule!$AU$116:$AZ$215,MATCH(Dashboard!$B130,Schedule!$A$116:$A$215,0),MATCH(Dashboard!H$32,Schedule!$AU$113:$AZ$113,0)),INDEX(Schedule!$AU$224:$AZ$323,MATCH(Dashboard!$B130,Schedule!$A$224:$A$323,0),MATCH(Dashboard!H$32,Schedule!$AU$221:$AZ$221,0)))),"")</f>
        <v/>
      </c>
    </row>
    <row r="131" spans="2:8" ht="14.1" hidden="1" customHeight="1" x14ac:dyDescent="0.2">
      <c r="B131" s="40" t="str">
        <f>IF(Lists!B103=0,"",Lists!B103)</f>
        <v/>
      </c>
      <c r="C131" s="42" t="str">
        <f>IFERROR(IF(COUNTIF(Schedule!$A$8:$A$107,Dashboard!$B131)&gt;0,INDEX(Schedule!$AU$8:$AZ$107,MATCH(Dashboard!$B131,Schedule!$A$8:$A$107,0),MATCH(Dashboard!C$32,Schedule!$AU$5:$AZ$5,0)),IF(COUNTIF(Schedule!$A$116:$A$215,Dashboard!$B131)&gt;0,INDEX(Schedule!$AU$116:$AZ$215,MATCH(Dashboard!$B131,Schedule!$A$116:$A$215,0),MATCH(Dashboard!C$32,Schedule!$AU$113:$AZ$113,0)),INDEX(Schedule!$AU$224:$AZ$323,MATCH(Dashboard!$B131,Schedule!$A$224:$A$323,0),MATCH(Dashboard!C$32,Schedule!$AU$221:$AZ$221,0)))),"")</f>
        <v/>
      </c>
      <c r="D131" s="42" t="str">
        <f>IFERROR(IF(COUNTIF(Schedule!$A$8:$A$107,Dashboard!$B131)&gt;0,INDEX(Schedule!$AU$8:$AZ$107,MATCH(Dashboard!$B131,Schedule!$A$8:$A$107,0),MATCH(Dashboard!D$32,Schedule!$AU$5:$AZ$5,0)),IF(COUNTIF(Schedule!$A$116:$A$215,Dashboard!$B131)&gt;0,INDEX(Schedule!$AU$116:$AZ$215,MATCH(Dashboard!$B131,Schedule!$A$116:$A$215,0),MATCH(Dashboard!D$32,Schedule!$AU$113:$AZ$113,0)),INDEX(Schedule!$AU$224:$AZ$323,MATCH(Dashboard!$B131,Schedule!$A$224:$A$323,0),MATCH(Dashboard!D$32,Schedule!$AU$221:$AZ$221,0)))),"")</f>
        <v/>
      </c>
      <c r="E131" s="42" t="str">
        <f>IFERROR(IF(COUNTIF(Schedule!$A$8:$A$107,Dashboard!$B131)&gt;0,INDEX(Schedule!$AU$8:$AZ$107,MATCH(Dashboard!$B131,Schedule!$A$8:$A$107,0),MATCH(Dashboard!E$32,Schedule!$AU$5:$AZ$5,0)),IF(COUNTIF(Schedule!$A$116:$A$215,Dashboard!$B131)&gt;0,INDEX(Schedule!$AU$116:$AZ$215,MATCH(Dashboard!$B131,Schedule!$A$116:$A$215,0),MATCH(Dashboard!E$32,Schedule!$AU$113:$AZ$113,0)),INDEX(Schedule!$AU$224:$AZ$323,MATCH(Dashboard!$B131,Schedule!$A$224:$A$323,0),MATCH(Dashboard!E$32,Schedule!$AU$221:$AZ$221,0)))),"")</f>
        <v/>
      </c>
      <c r="F131" s="42" t="str">
        <f>IFERROR(IF(COUNTIF(Schedule!$A$8:$A$107,Dashboard!$B131)&gt;0,INDEX(Schedule!$AU$8:$AZ$107,MATCH(Dashboard!$B131,Schedule!$A$8:$A$107,0),MATCH(Dashboard!F$32,Schedule!$AU$5:$AZ$5,0)),IF(COUNTIF(Schedule!$A$116:$A$215,Dashboard!$B131)&gt;0,INDEX(Schedule!$AU$116:$AZ$215,MATCH(Dashboard!$B131,Schedule!$A$116:$A$215,0),MATCH(Dashboard!F$32,Schedule!$AU$113:$AZ$113,0)),INDEX(Schedule!$AU$224:$AZ$323,MATCH(Dashboard!$B131,Schedule!$A$224:$A$323,0),MATCH(Dashboard!F$32,Schedule!$AU$221:$AZ$221,0)))),"")</f>
        <v/>
      </c>
      <c r="G131" s="42" t="str">
        <f>IFERROR(IF(COUNTIF(Schedule!$A$8:$A$107,Dashboard!$B131)&gt;0,INDEX(Schedule!$AU$8:$AZ$107,MATCH(Dashboard!$B131,Schedule!$A$8:$A$107,0),MATCH(Dashboard!G$32,Schedule!$AU$5:$AZ$5,0)),IF(COUNTIF(Schedule!$A$116:$A$215,Dashboard!$B131)&gt;0,INDEX(Schedule!$AU$116:$AZ$215,MATCH(Dashboard!$B131,Schedule!$A$116:$A$215,0),MATCH(Dashboard!G$32,Schedule!$AU$113:$AZ$113,0)),INDEX(Schedule!$AU$224:$AZ$323,MATCH(Dashboard!$B131,Schedule!$A$224:$A$323,0),MATCH(Dashboard!G$32,Schedule!$AU$221:$AZ$221,0)))),"")</f>
        <v/>
      </c>
      <c r="H131" s="42" t="str">
        <f>IFERROR(IF(COUNTIF(Schedule!$A$8:$A$107,Dashboard!$B131)&gt;0,INDEX(Schedule!$AU$8:$AZ$107,MATCH(Dashboard!$B131,Schedule!$A$8:$A$107,0),MATCH(Dashboard!H$32,Schedule!$AU$5:$AZ$5,0)),IF(COUNTIF(Schedule!$A$116:$A$215,Dashboard!$B131)&gt;0,INDEX(Schedule!$AU$116:$AZ$215,MATCH(Dashboard!$B131,Schedule!$A$116:$A$215,0),MATCH(Dashboard!H$32,Schedule!$AU$113:$AZ$113,0)),INDEX(Schedule!$AU$224:$AZ$323,MATCH(Dashboard!$B131,Schedule!$A$224:$A$323,0),MATCH(Dashboard!H$32,Schedule!$AU$221:$AZ$221,0)))),"")</f>
        <v/>
      </c>
    </row>
    <row r="132" spans="2:8" ht="14.1" hidden="1" customHeight="1" x14ac:dyDescent="0.2">
      <c r="B132" s="40" t="str">
        <f>IF(Lists!B104=0,"",Lists!B104)</f>
        <v/>
      </c>
      <c r="C132" s="42" t="str">
        <f>IFERROR(IF(COUNTIF(Schedule!$A$8:$A$107,Dashboard!$B132)&gt;0,INDEX(Schedule!$AU$8:$AZ$107,MATCH(Dashboard!$B132,Schedule!$A$8:$A$107,0),MATCH(Dashboard!C$32,Schedule!$AU$5:$AZ$5,0)),IF(COUNTIF(Schedule!$A$116:$A$215,Dashboard!$B132)&gt;0,INDEX(Schedule!$AU$116:$AZ$215,MATCH(Dashboard!$B132,Schedule!$A$116:$A$215,0),MATCH(Dashboard!C$32,Schedule!$AU$113:$AZ$113,0)),INDEX(Schedule!$AU$224:$AZ$323,MATCH(Dashboard!$B132,Schedule!$A$224:$A$323,0),MATCH(Dashboard!C$32,Schedule!$AU$221:$AZ$221,0)))),"")</f>
        <v/>
      </c>
      <c r="D132" s="42" t="str">
        <f>IFERROR(IF(COUNTIF(Schedule!$A$8:$A$107,Dashboard!$B132)&gt;0,INDEX(Schedule!$AU$8:$AZ$107,MATCH(Dashboard!$B132,Schedule!$A$8:$A$107,0),MATCH(Dashboard!D$32,Schedule!$AU$5:$AZ$5,0)),IF(COUNTIF(Schedule!$A$116:$A$215,Dashboard!$B132)&gt;0,INDEX(Schedule!$AU$116:$AZ$215,MATCH(Dashboard!$B132,Schedule!$A$116:$A$215,0),MATCH(Dashboard!D$32,Schedule!$AU$113:$AZ$113,0)),INDEX(Schedule!$AU$224:$AZ$323,MATCH(Dashboard!$B132,Schedule!$A$224:$A$323,0),MATCH(Dashboard!D$32,Schedule!$AU$221:$AZ$221,0)))),"")</f>
        <v/>
      </c>
      <c r="E132" s="42" t="str">
        <f>IFERROR(IF(COUNTIF(Schedule!$A$8:$A$107,Dashboard!$B132)&gt;0,INDEX(Schedule!$AU$8:$AZ$107,MATCH(Dashboard!$B132,Schedule!$A$8:$A$107,0),MATCH(Dashboard!E$32,Schedule!$AU$5:$AZ$5,0)),IF(COUNTIF(Schedule!$A$116:$A$215,Dashboard!$B132)&gt;0,INDEX(Schedule!$AU$116:$AZ$215,MATCH(Dashboard!$B132,Schedule!$A$116:$A$215,0),MATCH(Dashboard!E$32,Schedule!$AU$113:$AZ$113,0)),INDEX(Schedule!$AU$224:$AZ$323,MATCH(Dashboard!$B132,Schedule!$A$224:$A$323,0),MATCH(Dashboard!E$32,Schedule!$AU$221:$AZ$221,0)))),"")</f>
        <v/>
      </c>
      <c r="F132" s="42" t="str">
        <f>IFERROR(IF(COUNTIF(Schedule!$A$8:$A$107,Dashboard!$B132)&gt;0,INDEX(Schedule!$AU$8:$AZ$107,MATCH(Dashboard!$B132,Schedule!$A$8:$A$107,0),MATCH(Dashboard!F$32,Schedule!$AU$5:$AZ$5,0)),IF(COUNTIF(Schedule!$A$116:$A$215,Dashboard!$B132)&gt;0,INDEX(Schedule!$AU$116:$AZ$215,MATCH(Dashboard!$B132,Schedule!$A$116:$A$215,0),MATCH(Dashboard!F$32,Schedule!$AU$113:$AZ$113,0)),INDEX(Schedule!$AU$224:$AZ$323,MATCH(Dashboard!$B132,Schedule!$A$224:$A$323,0),MATCH(Dashboard!F$32,Schedule!$AU$221:$AZ$221,0)))),"")</f>
        <v/>
      </c>
      <c r="G132" s="42" t="str">
        <f>IFERROR(IF(COUNTIF(Schedule!$A$8:$A$107,Dashboard!$B132)&gt;0,INDEX(Schedule!$AU$8:$AZ$107,MATCH(Dashboard!$B132,Schedule!$A$8:$A$107,0),MATCH(Dashboard!G$32,Schedule!$AU$5:$AZ$5,0)),IF(COUNTIF(Schedule!$A$116:$A$215,Dashboard!$B132)&gt;0,INDEX(Schedule!$AU$116:$AZ$215,MATCH(Dashboard!$B132,Schedule!$A$116:$A$215,0),MATCH(Dashboard!G$32,Schedule!$AU$113:$AZ$113,0)),INDEX(Schedule!$AU$224:$AZ$323,MATCH(Dashboard!$B132,Schedule!$A$224:$A$323,0),MATCH(Dashboard!G$32,Schedule!$AU$221:$AZ$221,0)))),"")</f>
        <v/>
      </c>
      <c r="H132" s="42" t="str">
        <f>IFERROR(IF(COUNTIF(Schedule!$A$8:$A$107,Dashboard!$B132)&gt;0,INDEX(Schedule!$AU$8:$AZ$107,MATCH(Dashboard!$B132,Schedule!$A$8:$A$107,0),MATCH(Dashboard!H$32,Schedule!$AU$5:$AZ$5,0)),IF(COUNTIF(Schedule!$A$116:$A$215,Dashboard!$B132)&gt;0,INDEX(Schedule!$AU$116:$AZ$215,MATCH(Dashboard!$B132,Schedule!$A$116:$A$215,0),MATCH(Dashboard!H$32,Schedule!$AU$113:$AZ$113,0)),INDEX(Schedule!$AU$224:$AZ$323,MATCH(Dashboard!$B132,Schedule!$A$224:$A$323,0),MATCH(Dashboard!H$32,Schedule!$AU$221:$AZ$221,0)))),"")</f>
        <v/>
      </c>
    </row>
    <row r="133" spans="2:8" ht="14.1" customHeight="1" x14ac:dyDescent="0.2"/>
    <row r="134" spans="2:8" ht="14.1" hidden="1" customHeight="1" x14ac:dyDescent="0.2"/>
    <row r="135" spans="2:8" ht="14.1" hidden="1" customHeight="1" x14ac:dyDescent="0.2"/>
    <row r="136" spans="2:8" ht="14.1" hidden="1" customHeight="1" x14ac:dyDescent="0.2"/>
    <row r="137" spans="2:8" ht="14.1" hidden="1" customHeight="1" x14ac:dyDescent="0.2"/>
    <row r="138" spans="2:8" ht="14.1" hidden="1" customHeight="1" x14ac:dyDescent="0.2"/>
    <row r="139" spans="2:8" ht="14.1" hidden="1" customHeight="1" x14ac:dyDescent="0.2"/>
    <row r="140" spans="2:8" ht="14.1" hidden="1" customHeight="1" x14ac:dyDescent="0.2"/>
    <row r="141" spans="2:8" ht="14.1" hidden="1" customHeight="1" x14ac:dyDescent="0.2"/>
    <row r="142" spans="2:8" ht="14.1" hidden="1" customHeight="1" x14ac:dyDescent="0.2"/>
    <row r="143" spans="2:8" ht="14.1" hidden="1" customHeight="1" x14ac:dyDescent="0.2"/>
    <row r="144" spans="2:8" ht="14.1" hidden="1" customHeight="1" x14ac:dyDescent="0.2"/>
    <row r="145" ht="14.1" hidden="1" customHeight="1" x14ac:dyDescent="0.2"/>
    <row r="146" ht="14.1" hidden="1" customHeight="1" x14ac:dyDescent="0.2"/>
    <row r="147" ht="14.1" hidden="1" customHeight="1" x14ac:dyDescent="0.2"/>
    <row r="148" ht="14.1" hidden="1" customHeight="1" x14ac:dyDescent="0.2"/>
    <row r="149" ht="14.1" hidden="1" customHeight="1" x14ac:dyDescent="0.2"/>
    <row r="150" ht="14.1" hidden="1" customHeight="1" x14ac:dyDescent="0.2"/>
    <row r="151" ht="14.1" hidden="1" customHeight="1" x14ac:dyDescent="0.2"/>
    <row r="152" ht="14.1" hidden="1" customHeight="1" x14ac:dyDescent="0.2"/>
    <row r="153" ht="14.1" hidden="1" customHeight="1" x14ac:dyDescent="0.2"/>
    <row r="154" ht="14.1" hidden="1" customHeight="1" x14ac:dyDescent="0.2"/>
    <row r="155" ht="14.1" hidden="1" customHeight="1" x14ac:dyDescent="0.2"/>
    <row r="156" ht="14.1" hidden="1" customHeight="1" x14ac:dyDescent="0.2"/>
    <row r="157" ht="14.1" hidden="1" customHeight="1" x14ac:dyDescent="0.2"/>
    <row r="158" ht="14.1" hidden="1" customHeight="1" x14ac:dyDescent="0.2"/>
    <row r="159" ht="14.1" hidden="1" customHeight="1" x14ac:dyDescent="0.2"/>
    <row r="160" ht="14.1" hidden="1" customHeight="1" x14ac:dyDescent="0.2"/>
    <row r="161" ht="14.1" hidden="1" customHeight="1" x14ac:dyDescent="0.2"/>
    <row r="162" ht="14.1" hidden="1" customHeight="1" x14ac:dyDescent="0.2"/>
    <row r="163" ht="14.1" hidden="1" customHeight="1" x14ac:dyDescent="0.2"/>
    <row r="164" ht="14.1" hidden="1" customHeight="1" x14ac:dyDescent="0.2"/>
    <row r="165" ht="14.1" hidden="1" customHeight="1" x14ac:dyDescent="0.2"/>
    <row r="166" ht="14.1" hidden="1" customHeight="1" x14ac:dyDescent="0.2"/>
    <row r="167" ht="14.1" hidden="1" customHeight="1" x14ac:dyDescent="0.2"/>
    <row r="168" ht="14.1" hidden="1" customHeight="1" x14ac:dyDescent="0.2"/>
    <row r="169" ht="14.1" hidden="1" customHeight="1" x14ac:dyDescent="0.2"/>
    <row r="170" ht="14.1" hidden="1" customHeight="1" x14ac:dyDescent="0.2"/>
    <row r="171" ht="14.1" hidden="1" customHeight="1" x14ac:dyDescent="0.2"/>
    <row r="172" ht="14.1" hidden="1" customHeight="1" x14ac:dyDescent="0.2"/>
    <row r="173" ht="14.1" hidden="1" customHeight="1" x14ac:dyDescent="0.2"/>
    <row r="174" ht="14.1" hidden="1" customHeight="1" x14ac:dyDescent="0.2"/>
    <row r="175" ht="14.1" hidden="1" customHeight="1" x14ac:dyDescent="0.2"/>
    <row r="176" ht="14.1" hidden="1" customHeight="1" x14ac:dyDescent="0.2"/>
    <row r="177" ht="14.1" hidden="1" customHeight="1" x14ac:dyDescent="0.2"/>
    <row r="178" ht="14.1" hidden="1" customHeight="1" x14ac:dyDescent="0.2"/>
    <row r="179" ht="14.1" hidden="1" customHeight="1" x14ac:dyDescent="0.2"/>
    <row r="180" ht="14.1" hidden="1" customHeight="1" x14ac:dyDescent="0.2"/>
    <row r="181" ht="14.1" hidden="1" customHeight="1" x14ac:dyDescent="0.2"/>
    <row r="182" ht="14.1" hidden="1" customHeight="1" x14ac:dyDescent="0.2"/>
    <row r="183" ht="14.1" hidden="1" customHeight="1" x14ac:dyDescent="0.2"/>
    <row r="184" ht="14.1" hidden="1" customHeight="1" x14ac:dyDescent="0.2"/>
    <row r="185" ht="14.1" hidden="1" customHeight="1" x14ac:dyDescent="0.2"/>
    <row r="186" ht="14.1" hidden="1" customHeight="1" x14ac:dyDescent="0.2"/>
    <row r="187" ht="14.1" hidden="1" customHeight="1" x14ac:dyDescent="0.2"/>
    <row r="188" ht="14.1" hidden="1" customHeight="1" x14ac:dyDescent="0.2"/>
    <row r="189" ht="14.1" hidden="1" customHeight="1" x14ac:dyDescent="0.2"/>
    <row r="190" ht="14.1" hidden="1" customHeight="1" x14ac:dyDescent="0.2"/>
    <row r="191" ht="14.1" hidden="1" customHeight="1" x14ac:dyDescent="0.2"/>
    <row r="192" ht="14.1" hidden="1" customHeight="1" x14ac:dyDescent="0.2"/>
    <row r="193" ht="14.1" hidden="1" customHeight="1" x14ac:dyDescent="0.2"/>
    <row r="194" ht="14.1" hidden="1" customHeight="1" x14ac:dyDescent="0.2"/>
    <row r="195" ht="14.1" hidden="1" customHeight="1" x14ac:dyDescent="0.2"/>
    <row r="196" ht="14.1" hidden="1" customHeight="1" x14ac:dyDescent="0.2"/>
    <row r="197" ht="14.1" hidden="1" customHeight="1" x14ac:dyDescent="0.2"/>
    <row r="198" ht="14.1" hidden="1" customHeight="1" x14ac:dyDescent="0.2"/>
    <row r="199" ht="14.1" hidden="1" customHeight="1" x14ac:dyDescent="0.2"/>
    <row r="200" ht="14.1" hidden="1" customHeight="1" x14ac:dyDescent="0.2"/>
    <row r="201" ht="14.1" hidden="1" customHeight="1" x14ac:dyDescent="0.2"/>
    <row r="202" ht="14.1" hidden="1" customHeight="1" x14ac:dyDescent="0.2"/>
    <row r="203" ht="14.1" hidden="1" customHeight="1" x14ac:dyDescent="0.2"/>
    <row r="204" ht="14.1" hidden="1" customHeight="1" x14ac:dyDescent="0.2"/>
    <row r="205" ht="14.1" hidden="1" customHeight="1" x14ac:dyDescent="0.2"/>
    <row r="206" ht="14.1" hidden="1" customHeight="1" x14ac:dyDescent="0.2"/>
    <row r="207" ht="14.1" hidden="1" customHeight="1" x14ac:dyDescent="0.2"/>
    <row r="208" ht="14.1" hidden="1" customHeight="1" x14ac:dyDescent="0.2"/>
    <row r="209" ht="14.1" hidden="1" customHeight="1" x14ac:dyDescent="0.2"/>
    <row r="210" ht="14.1" hidden="1" customHeight="1" x14ac:dyDescent="0.2"/>
    <row r="211" ht="14.1" hidden="1" customHeight="1" x14ac:dyDescent="0.2"/>
    <row r="212" ht="14.1" hidden="1" customHeight="1" x14ac:dyDescent="0.2"/>
    <row r="213" ht="14.1" hidden="1" customHeight="1" x14ac:dyDescent="0.2"/>
    <row r="214" ht="14.1" hidden="1" customHeight="1" x14ac:dyDescent="0.2"/>
    <row r="215" ht="14.1" hidden="1" customHeight="1" x14ac:dyDescent="0.2"/>
    <row r="216" ht="14.1" hidden="1" customHeight="1" x14ac:dyDescent="0.2"/>
    <row r="217" ht="14.1" hidden="1" customHeight="1" x14ac:dyDescent="0.2"/>
    <row r="218" ht="14.1" hidden="1" customHeight="1" x14ac:dyDescent="0.2"/>
    <row r="219" ht="14.1" hidden="1" customHeight="1" x14ac:dyDescent="0.2"/>
    <row r="220" ht="14.1" hidden="1" customHeight="1" x14ac:dyDescent="0.2"/>
    <row r="221" ht="14.1" hidden="1" customHeight="1" x14ac:dyDescent="0.2"/>
    <row r="222" ht="14.1" hidden="1" customHeight="1" x14ac:dyDescent="0.2"/>
    <row r="223" ht="14.1" hidden="1" customHeight="1" x14ac:dyDescent="0.2"/>
    <row r="224" ht="14.1" hidden="1" customHeight="1" x14ac:dyDescent="0.2"/>
    <row r="225" ht="14.1" hidden="1" customHeight="1" x14ac:dyDescent="0.2"/>
    <row r="226" ht="14.1" hidden="1" customHeight="1" x14ac:dyDescent="0.2"/>
    <row r="227" ht="14.1" hidden="1" customHeight="1" x14ac:dyDescent="0.2"/>
    <row r="228" ht="14.1" hidden="1" customHeight="1" x14ac:dyDescent="0.2"/>
    <row r="229" ht="14.1" hidden="1" customHeight="1" x14ac:dyDescent="0.2"/>
    <row r="230" ht="14.1" hidden="1" customHeight="1" x14ac:dyDescent="0.2"/>
    <row r="231" ht="14.1" hidden="1" customHeight="1" x14ac:dyDescent="0.2"/>
    <row r="232" ht="14.1" hidden="1" customHeight="1" x14ac:dyDescent="0.2"/>
    <row r="233" ht="14.1" hidden="1" customHeight="1" x14ac:dyDescent="0.2"/>
    <row r="234" ht="14.1" hidden="1" customHeight="1" x14ac:dyDescent="0.2"/>
    <row r="235" ht="14.1" hidden="1" customHeight="1" x14ac:dyDescent="0.2"/>
    <row r="236" ht="14.1" hidden="1" customHeight="1" x14ac:dyDescent="0.2"/>
    <row r="237" ht="14.1" hidden="1" customHeight="1" x14ac:dyDescent="0.2"/>
    <row r="238" ht="14.1" hidden="1" customHeight="1" x14ac:dyDescent="0.2"/>
    <row r="239" ht="14.1" hidden="1" customHeight="1" x14ac:dyDescent="0.2"/>
    <row r="240" ht="14.1" hidden="1" customHeight="1" x14ac:dyDescent="0.2"/>
    <row r="241" ht="14.1" hidden="1" customHeight="1" x14ac:dyDescent="0.2"/>
    <row r="242" ht="14.1" hidden="1" customHeight="1" x14ac:dyDescent="0.2"/>
    <row r="243" ht="14.1" hidden="1" customHeight="1" x14ac:dyDescent="0.2"/>
    <row r="244" ht="14.1" hidden="1" customHeight="1" x14ac:dyDescent="0.2"/>
    <row r="245" ht="14.1" hidden="1" customHeight="1" x14ac:dyDescent="0.2"/>
    <row r="246" ht="14.1" hidden="1" customHeight="1" x14ac:dyDescent="0.2"/>
    <row r="247" ht="14.1" hidden="1" customHeight="1" x14ac:dyDescent="0.2"/>
    <row r="248" ht="14.1" hidden="1" customHeight="1" x14ac:dyDescent="0.2"/>
    <row r="249" ht="14.1" hidden="1" customHeight="1" x14ac:dyDescent="0.2"/>
    <row r="250" ht="14.1" hidden="1" customHeight="1" x14ac:dyDescent="0.2"/>
    <row r="251" ht="14.1" hidden="1" customHeight="1" x14ac:dyDescent="0.2"/>
    <row r="252" ht="14.1" hidden="1" customHeight="1" x14ac:dyDescent="0.2"/>
    <row r="253" ht="14.1" hidden="1" customHeight="1" x14ac:dyDescent="0.2"/>
    <row r="254" ht="14.1" hidden="1" customHeight="1" x14ac:dyDescent="0.2"/>
    <row r="255" ht="14.1" hidden="1" customHeight="1" x14ac:dyDescent="0.2"/>
    <row r="256" ht="14.1" hidden="1" customHeight="1" x14ac:dyDescent="0.2"/>
    <row r="257" ht="14.1" hidden="1" customHeight="1" x14ac:dyDescent="0.2"/>
    <row r="258" ht="14.1" hidden="1" customHeight="1" x14ac:dyDescent="0.2"/>
    <row r="259" ht="14.1" hidden="1" customHeight="1" x14ac:dyDescent="0.2"/>
    <row r="260" ht="14.1" hidden="1" customHeight="1" x14ac:dyDescent="0.2"/>
    <row r="261" ht="14.1" hidden="1" customHeight="1" x14ac:dyDescent="0.2"/>
    <row r="262" ht="14.1" hidden="1" customHeight="1" x14ac:dyDescent="0.2"/>
    <row r="263" ht="14.1" hidden="1" customHeight="1" x14ac:dyDescent="0.2"/>
    <row r="264" ht="14.1" hidden="1" customHeight="1" x14ac:dyDescent="0.2"/>
    <row r="265" ht="14.1" hidden="1" customHeight="1" x14ac:dyDescent="0.2"/>
    <row r="266" ht="14.1" hidden="1" customHeight="1" x14ac:dyDescent="0.2"/>
    <row r="267" ht="14.1" hidden="1" customHeight="1" x14ac:dyDescent="0.2"/>
    <row r="268" ht="14.1" hidden="1" customHeight="1" x14ac:dyDescent="0.2"/>
    <row r="269" ht="14.1" hidden="1" customHeight="1" x14ac:dyDescent="0.2"/>
    <row r="270" ht="14.1" hidden="1" customHeight="1" x14ac:dyDescent="0.2"/>
    <row r="271" ht="14.1" hidden="1" customHeight="1" x14ac:dyDescent="0.2"/>
    <row r="272" ht="14.1" hidden="1" customHeight="1" x14ac:dyDescent="0.2"/>
    <row r="273" ht="14.1" hidden="1" customHeight="1" x14ac:dyDescent="0.2"/>
    <row r="274" ht="14.1" hidden="1" customHeight="1" x14ac:dyDescent="0.2"/>
    <row r="275" ht="14.1" hidden="1" customHeight="1" x14ac:dyDescent="0.2"/>
    <row r="276" ht="14.1" hidden="1" customHeight="1" x14ac:dyDescent="0.2"/>
    <row r="277" ht="14.1" hidden="1" customHeight="1" x14ac:dyDescent="0.2"/>
    <row r="278" ht="14.1" hidden="1" customHeight="1" x14ac:dyDescent="0.2"/>
    <row r="279" ht="14.1" hidden="1" customHeight="1" x14ac:dyDescent="0.2"/>
    <row r="280" ht="14.1" hidden="1" customHeight="1" x14ac:dyDescent="0.2"/>
    <row r="281" ht="14.1" hidden="1" customHeight="1" x14ac:dyDescent="0.2"/>
    <row r="282" ht="14.1" hidden="1" customHeight="1" x14ac:dyDescent="0.2"/>
    <row r="283" ht="14.1" hidden="1" customHeight="1" x14ac:dyDescent="0.2"/>
    <row r="284" ht="14.1" hidden="1" customHeight="1" x14ac:dyDescent="0.2"/>
    <row r="285" ht="14.1" hidden="1" customHeight="1" x14ac:dyDescent="0.2"/>
    <row r="286" ht="14.1" hidden="1" customHeight="1" x14ac:dyDescent="0.2"/>
    <row r="287" ht="14.1" hidden="1" customHeight="1" x14ac:dyDescent="0.2"/>
    <row r="288" ht="14.1" hidden="1" customHeight="1" x14ac:dyDescent="0.2"/>
    <row r="289" ht="14.1" hidden="1" customHeight="1" x14ac:dyDescent="0.2"/>
    <row r="290" ht="14.1" hidden="1" customHeight="1" x14ac:dyDescent="0.2"/>
    <row r="291" ht="14.1" hidden="1" customHeight="1" x14ac:dyDescent="0.2"/>
    <row r="292" ht="14.1" hidden="1" customHeight="1" x14ac:dyDescent="0.2"/>
    <row r="293" ht="14.1" hidden="1" customHeight="1" x14ac:dyDescent="0.2"/>
    <row r="294" ht="14.1" hidden="1" customHeight="1" x14ac:dyDescent="0.2"/>
    <row r="295" ht="14.1" hidden="1" customHeight="1" x14ac:dyDescent="0.2"/>
    <row r="296" ht="14.1" hidden="1" customHeight="1" x14ac:dyDescent="0.2"/>
    <row r="297" ht="14.1" hidden="1" customHeight="1" x14ac:dyDescent="0.2"/>
    <row r="298" ht="14.1" hidden="1" customHeight="1" x14ac:dyDescent="0.2"/>
    <row r="299" ht="14.1" hidden="1" customHeight="1" x14ac:dyDescent="0.2"/>
    <row r="300" ht="14.1" hidden="1" customHeight="1" x14ac:dyDescent="0.2"/>
    <row r="301" ht="14.1" hidden="1" customHeight="1" x14ac:dyDescent="0.2"/>
    <row r="302" ht="14.1" hidden="1" customHeight="1" x14ac:dyDescent="0.2"/>
    <row r="303" ht="14.1" hidden="1" customHeight="1" x14ac:dyDescent="0.2"/>
    <row r="304" ht="14.1" hidden="1" customHeight="1" x14ac:dyDescent="0.2"/>
    <row r="305" ht="14.1" hidden="1" customHeight="1" x14ac:dyDescent="0.2"/>
    <row r="306" ht="14.1" hidden="1" customHeight="1" x14ac:dyDescent="0.2"/>
    <row r="307" ht="14.1" hidden="1" customHeight="1" x14ac:dyDescent="0.2"/>
    <row r="308" ht="14.1" hidden="1" customHeight="1" x14ac:dyDescent="0.2"/>
    <row r="309" ht="14.1" hidden="1" customHeight="1" x14ac:dyDescent="0.2"/>
    <row r="310" ht="14.1" hidden="1" customHeight="1" x14ac:dyDescent="0.2"/>
    <row r="311" ht="14.1" hidden="1" customHeight="1" x14ac:dyDescent="0.2"/>
    <row r="312" ht="14.1" hidden="1" customHeight="1" x14ac:dyDescent="0.2"/>
    <row r="313" ht="14.1" hidden="1" customHeight="1" x14ac:dyDescent="0.2"/>
    <row r="314" ht="14.1" hidden="1" customHeight="1" x14ac:dyDescent="0.2"/>
    <row r="315" ht="14.1" hidden="1" customHeight="1" x14ac:dyDescent="0.2"/>
    <row r="316" ht="14.1" hidden="1" customHeight="1" x14ac:dyDescent="0.2"/>
    <row r="317" ht="14.1" hidden="1" customHeight="1" x14ac:dyDescent="0.2"/>
    <row r="318" ht="14.1" hidden="1" customHeight="1" x14ac:dyDescent="0.2"/>
    <row r="319" ht="14.1" hidden="1" customHeight="1" x14ac:dyDescent="0.2"/>
    <row r="320" ht="14.1" hidden="1" customHeight="1" x14ac:dyDescent="0.2"/>
    <row r="321" ht="14.1" hidden="1" customHeight="1" x14ac:dyDescent="0.2"/>
    <row r="322" ht="14.1" hidden="1" customHeight="1" x14ac:dyDescent="0.2"/>
    <row r="323" ht="14.1" hidden="1" customHeight="1" x14ac:dyDescent="0.2"/>
    <row r="324" ht="14.1" hidden="1" customHeight="1" x14ac:dyDescent="0.2"/>
    <row r="325" ht="14.1" hidden="1" customHeight="1" x14ac:dyDescent="0.2"/>
    <row r="326" ht="14.1" hidden="1" customHeight="1" x14ac:dyDescent="0.2"/>
    <row r="327" ht="14.1" hidden="1" customHeight="1" x14ac:dyDescent="0.2"/>
    <row r="328" ht="14.1" hidden="1" customHeight="1" x14ac:dyDescent="0.2"/>
    <row r="329" ht="14.1" hidden="1" customHeight="1" x14ac:dyDescent="0.2"/>
    <row r="330" ht="14.1" hidden="1" customHeight="1" x14ac:dyDescent="0.2"/>
    <row r="331" ht="14.1" hidden="1" customHeight="1" x14ac:dyDescent="0.2"/>
    <row r="332" ht="14.1" hidden="1" customHeight="1" x14ac:dyDescent="0.2"/>
    <row r="333" ht="14.1" hidden="1" customHeight="1" x14ac:dyDescent="0.2"/>
    <row r="334" ht="14.1" hidden="1" customHeight="1" x14ac:dyDescent="0.2"/>
    <row r="335" ht="14.1" hidden="1" customHeight="1" x14ac:dyDescent="0.2"/>
    <row r="336" ht="14.1" hidden="1" customHeight="1" x14ac:dyDescent="0.2"/>
    <row r="337" ht="14.1" hidden="1" customHeight="1" x14ac:dyDescent="0.2"/>
    <row r="338" ht="14.1" hidden="1" customHeight="1" x14ac:dyDescent="0.2"/>
    <row r="339" ht="14.1" hidden="1" customHeight="1" x14ac:dyDescent="0.2"/>
    <row r="340" ht="14.1" hidden="1" customHeight="1" x14ac:dyDescent="0.2"/>
    <row r="341" ht="14.1" hidden="1" customHeight="1" x14ac:dyDescent="0.2"/>
    <row r="342" ht="14.1" hidden="1" customHeight="1" x14ac:dyDescent="0.2"/>
    <row r="343" ht="14.1" hidden="1" customHeight="1" x14ac:dyDescent="0.2"/>
    <row r="344" ht="14.1" hidden="1" customHeight="1" x14ac:dyDescent="0.2"/>
    <row r="345" ht="14.1" hidden="1" customHeight="1" x14ac:dyDescent="0.2"/>
    <row r="346" ht="14.1" hidden="1" customHeight="1" x14ac:dyDescent="0.2"/>
    <row r="347" ht="14.1" hidden="1" customHeight="1" x14ac:dyDescent="0.2"/>
    <row r="348" ht="14.1" hidden="1" customHeight="1" x14ac:dyDescent="0.2"/>
    <row r="349" ht="14.1" hidden="1" customHeight="1" x14ac:dyDescent="0.2"/>
    <row r="350" ht="14.1" hidden="1" customHeight="1" x14ac:dyDescent="0.2"/>
    <row r="351" ht="14.1" hidden="1" customHeight="1" x14ac:dyDescent="0.2"/>
    <row r="352" ht="14.1" hidden="1" customHeight="1" x14ac:dyDescent="0.2"/>
    <row r="353" ht="14.1" hidden="1" customHeight="1" x14ac:dyDescent="0.2"/>
    <row r="354" ht="14.1" hidden="1" customHeight="1" x14ac:dyDescent="0.2"/>
    <row r="355" ht="14.1" hidden="1" customHeight="1" x14ac:dyDescent="0.2"/>
    <row r="356" ht="14.1" hidden="1" customHeight="1" x14ac:dyDescent="0.2"/>
    <row r="357" ht="14.1" hidden="1" customHeight="1" x14ac:dyDescent="0.2"/>
    <row r="358" ht="14.1" hidden="1" customHeight="1" x14ac:dyDescent="0.2"/>
    <row r="359" ht="14.1" hidden="1" customHeight="1" x14ac:dyDescent="0.2"/>
    <row r="360" ht="14.1" hidden="1" customHeight="1" x14ac:dyDescent="0.2"/>
    <row r="361" ht="14.1" hidden="1" customHeight="1" x14ac:dyDescent="0.2"/>
    <row r="362" ht="14.1" hidden="1" customHeight="1" x14ac:dyDescent="0.2"/>
    <row r="363" ht="14.1" hidden="1" customHeight="1" x14ac:dyDescent="0.2"/>
    <row r="364" ht="14.1" hidden="1" customHeight="1" x14ac:dyDescent="0.2"/>
    <row r="365" ht="14.1" hidden="1" customHeight="1" x14ac:dyDescent="0.2"/>
    <row r="366" ht="14.1" hidden="1" customHeight="1" x14ac:dyDescent="0.2"/>
    <row r="367" ht="14.1" hidden="1" customHeight="1" x14ac:dyDescent="0.2"/>
    <row r="368" ht="14.1" hidden="1" customHeight="1" x14ac:dyDescent="0.2"/>
    <row r="369" ht="14.1" hidden="1" customHeight="1" x14ac:dyDescent="0.2"/>
    <row r="370" ht="14.1" hidden="1" customHeight="1" x14ac:dyDescent="0.2"/>
    <row r="371" ht="14.1" hidden="1" customHeight="1" x14ac:dyDescent="0.2"/>
    <row r="372" ht="14.1" hidden="1" customHeight="1" x14ac:dyDescent="0.2"/>
    <row r="373" ht="14.1" hidden="1" customHeight="1" x14ac:dyDescent="0.2"/>
    <row r="374" ht="14.1" hidden="1" customHeight="1" x14ac:dyDescent="0.2"/>
    <row r="375" ht="14.1" hidden="1" customHeight="1" x14ac:dyDescent="0.2"/>
    <row r="376" ht="14.1" hidden="1" customHeight="1" x14ac:dyDescent="0.2"/>
    <row r="377" ht="14.1" hidden="1" customHeight="1" x14ac:dyDescent="0.2"/>
    <row r="378" ht="14.1" hidden="1" customHeight="1" x14ac:dyDescent="0.2"/>
    <row r="379" ht="14.1" hidden="1" customHeight="1" x14ac:dyDescent="0.2"/>
    <row r="380" ht="14.1" hidden="1" customHeight="1" x14ac:dyDescent="0.2"/>
    <row r="381" ht="14.1" hidden="1" customHeight="1" x14ac:dyDescent="0.2"/>
    <row r="382" ht="14.1" hidden="1" customHeight="1" x14ac:dyDescent="0.2"/>
    <row r="383" ht="14.1" hidden="1" customHeight="1" x14ac:dyDescent="0.2"/>
    <row r="384" ht="14.1" hidden="1" customHeight="1" x14ac:dyDescent="0.2"/>
    <row r="385" ht="14.1" hidden="1" customHeight="1" x14ac:dyDescent="0.2"/>
    <row r="386" ht="14.1" hidden="1" customHeight="1" x14ac:dyDescent="0.2"/>
    <row r="387" ht="14.1" hidden="1" customHeight="1" x14ac:dyDescent="0.2"/>
    <row r="388" ht="14.1" hidden="1" customHeight="1" x14ac:dyDescent="0.2"/>
    <row r="389" ht="14.1" hidden="1" customHeight="1" x14ac:dyDescent="0.2"/>
    <row r="390" ht="14.1" hidden="1" customHeight="1" x14ac:dyDescent="0.2"/>
    <row r="391" ht="14.1" hidden="1" customHeight="1" x14ac:dyDescent="0.2"/>
    <row r="392" ht="14.1" hidden="1" customHeight="1" x14ac:dyDescent="0.2"/>
    <row r="393" ht="14.1" hidden="1" customHeight="1" x14ac:dyDescent="0.2"/>
    <row r="394" ht="14.1" hidden="1" customHeight="1" x14ac:dyDescent="0.2"/>
    <row r="395" ht="14.1" hidden="1" customHeight="1" x14ac:dyDescent="0.2"/>
    <row r="396" ht="14.1" hidden="1" customHeight="1" x14ac:dyDescent="0.2"/>
    <row r="397" ht="14.1" hidden="1" customHeight="1" x14ac:dyDescent="0.2"/>
    <row r="398" ht="14.1" hidden="1" customHeight="1" x14ac:dyDescent="0.2"/>
    <row r="399" ht="14.1" hidden="1" customHeight="1" x14ac:dyDescent="0.2"/>
    <row r="400" ht="14.1" hidden="1" customHeight="1" x14ac:dyDescent="0.2"/>
    <row r="401" ht="14.1" hidden="1" customHeight="1" x14ac:dyDescent="0.2"/>
    <row r="402" ht="14.1" hidden="1" customHeight="1" x14ac:dyDescent="0.2"/>
    <row r="403" ht="14.1" hidden="1" customHeight="1" x14ac:dyDescent="0.2"/>
    <row r="404" ht="14.1" hidden="1" customHeight="1" x14ac:dyDescent="0.2"/>
    <row r="405" ht="14.1" hidden="1" customHeight="1" x14ac:dyDescent="0.2"/>
    <row r="406" ht="14.1" hidden="1" customHeight="1" x14ac:dyDescent="0.2"/>
    <row r="407" ht="14.1" hidden="1" customHeight="1" x14ac:dyDescent="0.2"/>
    <row r="408" ht="14.1" hidden="1" customHeight="1" x14ac:dyDescent="0.2"/>
    <row r="409" ht="14.1" hidden="1" customHeight="1" x14ac:dyDescent="0.2"/>
    <row r="410" ht="14.1" hidden="1" customHeight="1" x14ac:dyDescent="0.2"/>
    <row r="411" ht="14.1" hidden="1" customHeight="1" x14ac:dyDescent="0.2"/>
    <row r="412" ht="14.1" hidden="1" customHeight="1" x14ac:dyDescent="0.2"/>
    <row r="413" ht="14.1" hidden="1" customHeight="1" x14ac:dyDescent="0.2"/>
    <row r="414" ht="14.1" hidden="1" customHeight="1" x14ac:dyDescent="0.2"/>
    <row r="415" ht="14.1" hidden="1" customHeight="1" x14ac:dyDescent="0.2"/>
    <row r="416" ht="14.1" hidden="1" customHeight="1" x14ac:dyDescent="0.2"/>
    <row r="417" ht="14.1" hidden="1" customHeight="1" x14ac:dyDescent="0.2"/>
    <row r="418" ht="14.1" hidden="1" customHeight="1" x14ac:dyDescent="0.2"/>
    <row r="419" ht="14.1" hidden="1" customHeight="1" x14ac:dyDescent="0.2"/>
    <row r="420" ht="14.1" hidden="1" customHeight="1" x14ac:dyDescent="0.2"/>
    <row r="421" ht="14.1" hidden="1" customHeight="1" x14ac:dyDescent="0.2"/>
    <row r="422" ht="14.1" hidden="1" customHeight="1" x14ac:dyDescent="0.2"/>
    <row r="423" ht="14.1" hidden="1" customHeight="1" x14ac:dyDescent="0.2"/>
    <row r="424" ht="14.1" hidden="1" customHeight="1" x14ac:dyDescent="0.2"/>
    <row r="425" ht="14.1" hidden="1" customHeight="1" x14ac:dyDescent="0.2"/>
    <row r="426" ht="14.1" hidden="1" customHeight="1" x14ac:dyDescent="0.2"/>
    <row r="427" ht="14.1" hidden="1" customHeight="1" x14ac:dyDescent="0.2"/>
    <row r="428" ht="14.1" hidden="1" customHeight="1" x14ac:dyDescent="0.2"/>
    <row r="429" ht="14.1" hidden="1" customHeight="1" x14ac:dyDescent="0.2"/>
    <row r="430" ht="14.1" hidden="1" customHeight="1" x14ac:dyDescent="0.2"/>
    <row r="431" ht="14.1" hidden="1" customHeight="1" x14ac:dyDescent="0.2"/>
    <row r="432" ht="14.1" hidden="1" customHeight="1" x14ac:dyDescent="0.2"/>
    <row r="433" ht="14.1" hidden="1" customHeight="1" x14ac:dyDescent="0.2"/>
    <row r="434" ht="14.1" hidden="1" customHeight="1" x14ac:dyDescent="0.2"/>
    <row r="435" ht="14.1" hidden="1" customHeight="1" x14ac:dyDescent="0.2"/>
    <row r="436" ht="14.1" hidden="1" customHeight="1" x14ac:dyDescent="0.2"/>
    <row r="437" ht="14.1" hidden="1" customHeight="1" x14ac:dyDescent="0.2"/>
    <row r="438" ht="14.1" hidden="1" customHeight="1" x14ac:dyDescent="0.2"/>
    <row r="439" ht="14.1" hidden="1" customHeight="1" x14ac:dyDescent="0.2"/>
    <row r="440" ht="14.1" hidden="1" customHeight="1" x14ac:dyDescent="0.2"/>
    <row r="441" ht="14.1" hidden="1" customHeight="1" x14ac:dyDescent="0.2"/>
    <row r="442" ht="14.1" hidden="1" customHeight="1" x14ac:dyDescent="0.2"/>
    <row r="443" ht="14.1" hidden="1" customHeight="1" x14ac:dyDescent="0.2"/>
    <row r="444" ht="14.1" hidden="1" customHeight="1" x14ac:dyDescent="0.2"/>
    <row r="445" ht="14.1" hidden="1" customHeight="1" x14ac:dyDescent="0.2"/>
    <row r="446" ht="14.1" hidden="1" customHeight="1" x14ac:dyDescent="0.2"/>
    <row r="447" ht="14.1" hidden="1" customHeight="1" x14ac:dyDescent="0.2"/>
    <row r="448" ht="14.1" hidden="1" customHeight="1" x14ac:dyDescent="0.2"/>
    <row r="449" ht="14.1" hidden="1" customHeight="1" x14ac:dyDescent="0.2"/>
    <row r="450" ht="14.1" hidden="1" customHeight="1" x14ac:dyDescent="0.2"/>
    <row r="451" ht="14.1" hidden="1" customHeight="1" x14ac:dyDescent="0.2"/>
    <row r="452" ht="14.1" hidden="1" customHeight="1" x14ac:dyDescent="0.2"/>
    <row r="453" ht="14.1" hidden="1" customHeight="1" x14ac:dyDescent="0.2"/>
    <row r="454" ht="14.1" hidden="1" customHeight="1" x14ac:dyDescent="0.2"/>
    <row r="455" ht="14.1" hidden="1" customHeight="1" x14ac:dyDescent="0.2"/>
    <row r="456" ht="14.1" hidden="1" customHeight="1" x14ac:dyDescent="0.2"/>
    <row r="457" ht="14.1" hidden="1" customHeight="1" x14ac:dyDescent="0.2"/>
    <row r="458" ht="14.1" hidden="1" customHeight="1" x14ac:dyDescent="0.2"/>
    <row r="459" ht="14.1" hidden="1" customHeight="1" x14ac:dyDescent="0.2"/>
    <row r="460" ht="14.1" hidden="1" customHeight="1" x14ac:dyDescent="0.2"/>
    <row r="461" ht="14.1" hidden="1" customHeight="1" x14ac:dyDescent="0.2"/>
    <row r="462" ht="14.1" hidden="1" customHeight="1" x14ac:dyDescent="0.2"/>
    <row r="463" ht="14.1" hidden="1" customHeight="1" x14ac:dyDescent="0.2"/>
    <row r="464" ht="14.1" hidden="1" customHeight="1" x14ac:dyDescent="0.2"/>
    <row r="465" ht="14.1" hidden="1" customHeight="1" x14ac:dyDescent="0.2"/>
    <row r="466" ht="14.1" hidden="1" customHeight="1" x14ac:dyDescent="0.2"/>
    <row r="467" ht="14.1" hidden="1" customHeight="1" x14ac:dyDescent="0.2"/>
    <row r="468" ht="14.1" hidden="1" customHeight="1" x14ac:dyDescent="0.2"/>
    <row r="469" ht="14.1" hidden="1" customHeight="1" x14ac:dyDescent="0.2"/>
    <row r="470" ht="14.1" hidden="1" customHeight="1" x14ac:dyDescent="0.2"/>
    <row r="471" ht="14.1" hidden="1" customHeight="1" x14ac:dyDescent="0.2"/>
    <row r="472" ht="14.1" hidden="1" customHeight="1" x14ac:dyDescent="0.2"/>
    <row r="473" ht="14.1" hidden="1" customHeight="1" x14ac:dyDescent="0.2"/>
    <row r="474" ht="14.1" hidden="1" customHeight="1" x14ac:dyDescent="0.2"/>
    <row r="475" ht="14.1" hidden="1" customHeight="1" x14ac:dyDescent="0.2"/>
    <row r="476" ht="14.1" hidden="1" customHeight="1" x14ac:dyDescent="0.2"/>
    <row r="477" ht="14.1" hidden="1" customHeight="1" x14ac:dyDescent="0.2"/>
    <row r="478" ht="14.1" hidden="1" customHeight="1" x14ac:dyDescent="0.2"/>
    <row r="479" ht="14.1" hidden="1" customHeight="1" x14ac:dyDescent="0.2"/>
    <row r="480" ht="14.1" hidden="1" customHeight="1" x14ac:dyDescent="0.2"/>
    <row r="481" ht="14.1" hidden="1" customHeight="1" x14ac:dyDescent="0.2"/>
    <row r="482" ht="14.1" hidden="1" customHeight="1" x14ac:dyDescent="0.2"/>
    <row r="483" ht="14.1" hidden="1" customHeight="1" x14ac:dyDescent="0.2"/>
    <row r="484" ht="14.1" hidden="1" customHeight="1" x14ac:dyDescent="0.2"/>
    <row r="485" ht="14.1" hidden="1" customHeight="1" x14ac:dyDescent="0.2"/>
    <row r="486" ht="14.1" hidden="1" customHeight="1" x14ac:dyDescent="0.2"/>
    <row r="487" ht="14.1" hidden="1" customHeight="1" x14ac:dyDescent="0.2"/>
    <row r="488" ht="14.1" hidden="1" customHeight="1" x14ac:dyDescent="0.2"/>
    <row r="489" ht="14.1" hidden="1" customHeight="1" x14ac:dyDescent="0.2"/>
    <row r="490" ht="14.1" hidden="1" customHeight="1" x14ac:dyDescent="0.2"/>
    <row r="491" ht="14.1" hidden="1" customHeight="1" x14ac:dyDescent="0.2"/>
    <row r="492" ht="14.1" hidden="1" customHeight="1" x14ac:dyDescent="0.2"/>
    <row r="493" ht="14.1" hidden="1" customHeight="1" x14ac:dyDescent="0.2"/>
    <row r="494" ht="14.1" hidden="1" customHeight="1" x14ac:dyDescent="0.2"/>
    <row r="495" ht="14.1" hidden="1" customHeight="1" x14ac:dyDescent="0.2"/>
    <row r="496" ht="14.1" hidden="1" customHeight="1" x14ac:dyDescent="0.2"/>
    <row r="497" ht="14.1" hidden="1" customHeight="1" x14ac:dyDescent="0.2"/>
    <row r="498" ht="14.1" hidden="1" customHeight="1" x14ac:dyDescent="0.2"/>
    <row r="499" ht="14.1" hidden="1" customHeight="1" x14ac:dyDescent="0.2"/>
    <row r="500" ht="14.1" hidden="1" customHeight="1" x14ac:dyDescent="0.2"/>
    <row r="501" ht="14.1" hidden="1" customHeight="1" x14ac:dyDescent="0.2"/>
    <row r="502" ht="14.1" hidden="1" customHeight="1" x14ac:dyDescent="0.2"/>
    <row r="503" ht="14.1" hidden="1" customHeight="1" x14ac:dyDescent="0.2"/>
    <row r="504" ht="14.1" hidden="1" customHeight="1" x14ac:dyDescent="0.2"/>
    <row r="505" ht="14.1" hidden="1" customHeight="1" x14ac:dyDescent="0.2"/>
    <row r="506" ht="14.1" hidden="1" customHeight="1" x14ac:dyDescent="0.2"/>
    <row r="507" ht="14.1" hidden="1" customHeight="1" x14ac:dyDescent="0.2"/>
    <row r="508" ht="14.1" hidden="1" customHeight="1" x14ac:dyDescent="0.2"/>
    <row r="509" ht="14.1" hidden="1" customHeight="1" x14ac:dyDescent="0.2"/>
  </sheetData>
  <mergeCells count="17">
    <mergeCell ref="O1:Q1"/>
    <mergeCell ref="A1:D1"/>
    <mergeCell ref="E1:G1"/>
    <mergeCell ref="H1:K1"/>
    <mergeCell ref="L1:N1"/>
    <mergeCell ref="B31:B32"/>
    <mergeCell ref="A7:D7"/>
    <mergeCell ref="A8:D9"/>
    <mergeCell ref="J11:J16"/>
    <mergeCell ref="J17:J22"/>
    <mergeCell ref="J23:J28"/>
    <mergeCell ref="J10:K10"/>
    <mergeCell ref="J5:K5"/>
    <mergeCell ref="J6:K6"/>
    <mergeCell ref="J7:K7"/>
    <mergeCell ref="J4:K4"/>
    <mergeCell ref="C31:H31"/>
  </mergeCells>
  <phoneticPr fontId="13" type="noConversion"/>
  <conditionalFormatting sqref="C33:H132">
    <cfRule type="expression" dxfId="16" priority="1">
      <formula>AND(C33&gt;40,ISNUMBER(C33)=TRUE)</formula>
    </cfRule>
  </conditionalFormatting>
  <hyperlinks>
    <hyperlink ref="A1:D1" location="Introduction!A1" display="Go to Introduction" xr:uid="{4D7DA0AE-E308-464C-83DD-FF48931C5435}"/>
    <hyperlink ref="E1:G1" location="Schedule!A1" display="Schedule" xr:uid="{27CCC904-1D31-4D3C-BE0D-7BA907D97BD4}"/>
    <hyperlink ref="L1:N1" location="Settings!A1" display="Settings" xr:uid="{7788AB4E-EF22-4D29-AACE-41B9C753495D}"/>
    <hyperlink ref="H1:K1" location="Lists!A1" display="Lists" xr:uid="{E6C66F42-C27B-46AD-BA2B-7526FA48EB14}"/>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F4987-B3B6-486E-92CF-B8EA8E74032D}">
  <sheetPr codeName="Sheet4"/>
  <dimension ref="A1:R238"/>
  <sheetViews>
    <sheetView showGridLines="0" showRowColHeaders="0" zoomScaleNormal="100" workbookViewId="0">
      <pane ySplit="1" topLeftCell="A2" activePane="bottomLeft" state="frozen"/>
      <selection pane="bottomLeft" activeCell="J18" sqref="J18"/>
    </sheetView>
  </sheetViews>
  <sheetFormatPr defaultColWidth="0" defaultRowHeight="12.75" x14ac:dyDescent="0.2"/>
  <cols>
    <col min="1" max="1" width="3.5703125" style="2" customWidth="1"/>
    <col min="2" max="2" width="27.85546875" style="2" customWidth="1"/>
    <col min="3" max="3" width="18" style="2" bestFit="1" customWidth="1"/>
    <col min="4" max="4" width="15.5703125" style="2" bestFit="1" customWidth="1"/>
    <col min="5" max="5" width="2.7109375" style="2" customWidth="1"/>
    <col min="6" max="8" width="10.85546875" style="2" bestFit="1" customWidth="1"/>
    <col min="9" max="9" width="2.7109375" style="2" customWidth="1"/>
    <col min="10" max="10" width="24.42578125" style="2" customWidth="1"/>
    <col min="11" max="11" width="9" style="2" customWidth="1"/>
    <col min="12" max="12" width="22.28515625" style="2" hidden="1" customWidth="1"/>
    <col min="13" max="15" width="9" style="2" customWidth="1"/>
    <col min="16" max="16384" width="9" style="2" hidden="1"/>
  </cols>
  <sheetData>
    <row r="1" spans="2:18" s="5" customFormat="1" ht="16.5" customHeight="1" x14ac:dyDescent="0.25">
      <c r="B1" s="118" t="s">
        <v>73</v>
      </c>
      <c r="C1" s="118"/>
      <c r="D1" s="118"/>
      <c r="E1" s="118"/>
      <c r="F1" s="118" t="s">
        <v>88</v>
      </c>
      <c r="G1" s="118"/>
      <c r="H1" s="118"/>
      <c r="I1" s="118" t="s">
        <v>67</v>
      </c>
      <c r="J1" s="118"/>
      <c r="K1" s="118"/>
      <c r="L1" s="118"/>
      <c r="M1" s="118" t="s">
        <v>63</v>
      </c>
      <c r="N1" s="118"/>
      <c r="O1" s="118"/>
      <c r="P1" s="118"/>
      <c r="Q1" s="118"/>
      <c r="R1" s="118"/>
    </row>
    <row r="2" spans="2:18" ht="6.95" customHeight="1" x14ac:dyDescent="0.2">
      <c r="B2" s="6"/>
    </row>
    <row r="3" spans="2:18" ht="14.1" customHeight="1" x14ac:dyDescent="0.2">
      <c r="B3" s="138" t="s">
        <v>53</v>
      </c>
      <c r="C3" s="138"/>
      <c r="D3" s="138"/>
      <c r="E3" s="26"/>
      <c r="F3" s="139" t="s">
        <v>82</v>
      </c>
      <c r="G3" s="139"/>
      <c r="H3" s="76" t="s">
        <v>83</v>
      </c>
    </row>
    <row r="4" spans="2:18" ht="14.1" customHeight="1" x14ac:dyDescent="0.2">
      <c r="B4" s="8" t="s">
        <v>12</v>
      </c>
      <c r="C4" s="8" t="s">
        <v>40</v>
      </c>
      <c r="D4" s="8" t="s">
        <v>50</v>
      </c>
      <c r="E4" s="27"/>
      <c r="F4" s="68" t="s">
        <v>83</v>
      </c>
      <c r="G4" s="68" t="s">
        <v>84</v>
      </c>
      <c r="H4" s="68" t="s">
        <v>85</v>
      </c>
      <c r="J4" s="8" t="s">
        <v>54</v>
      </c>
      <c r="L4" s="41" t="s">
        <v>69</v>
      </c>
    </row>
    <row r="5" spans="2:18" ht="14.1" customHeight="1" x14ac:dyDescent="0.2">
      <c r="B5" s="2" t="s">
        <v>13</v>
      </c>
      <c r="C5" s="41" t="s">
        <v>39</v>
      </c>
      <c r="D5" s="2" t="s">
        <v>51</v>
      </c>
      <c r="F5" s="17" t="s">
        <v>24</v>
      </c>
      <c r="G5" s="17" t="s">
        <v>32</v>
      </c>
      <c r="H5" s="17" t="s">
        <v>34</v>
      </c>
      <c r="J5" s="2" t="s">
        <v>51</v>
      </c>
      <c r="L5" s="41">
        <v>10</v>
      </c>
    </row>
    <row r="6" spans="2:18" ht="14.1" customHeight="1" x14ac:dyDescent="0.2">
      <c r="B6" s="2" t="s">
        <v>14</v>
      </c>
      <c r="C6" s="41" t="s">
        <v>41</v>
      </c>
      <c r="D6" s="2" t="s">
        <v>52</v>
      </c>
      <c r="F6" s="17" t="s">
        <v>27</v>
      </c>
      <c r="G6" s="17" t="s">
        <v>24</v>
      </c>
      <c r="H6" s="17" t="s">
        <v>25</v>
      </c>
      <c r="J6" s="2" t="s">
        <v>52</v>
      </c>
      <c r="L6" s="41">
        <v>20</v>
      </c>
    </row>
    <row r="7" spans="2:18" ht="14.1" customHeight="1" x14ac:dyDescent="0.2">
      <c r="B7" s="2" t="s">
        <v>15</v>
      </c>
      <c r="C7" s="41" t="s">
        <v>41</v>
      </c>
      <c r="D7" s="2" t="s">
        <v>52</v>
      </c>
      <c r="F7" s="17" t="s">
        <v>26</v>
      </c>
      <c r="G7" s="17" t="s">
        <v>27</v>
      </c>
      <c r="H7" s="17" t="s">
        <v>36</v>
      </c>
      <c r="J7" s="2" t="s">
        <v>55</v>
      </c>
      <c r="L7" s="41">
        <v>25</v>
      </c>
    </row>
    <row r="8" spans="2:18" ht="14.1" customHeight="1" x14ac:dyDescent="0.2">
      <c r="B8" s="2" t="s">
        <v>16</v>
      </c>
      <c r="C8" s="41" t="s">
        <v>39</v>
      </c>
      <c r="D8" s="2" t="s">
        <v>52</v>
      </c>
      <c r="F8" s="17" t="s">
        <v>28</v>
      </c>
      <c r="G8" s="17" t="s">
        <v>26</v>
      </c>
      <c r="H8" s="17" t="s">
        <v>35</v>
      </c>
      <c r="L8" s="41">
        <v>50</v>
      </c>
    </row>
    <row r="9" spans="2:18" ht="14.1" customHeight="1" x14ac:dyDescent="0.2">
      <c r="B9" s="2" t="s">
        <v>17</v>
      </c>
      <c r="C9" s="41" t="s">
        <v>41</v>
      </c>
      <c r="D9" s="2" t="s">
        <v>52</v>
      </c>
      <c r="F9" s="17" t="s">
        <v>29</v>
      </c>
      <c r="G9" s="17" t="s">
        <v>27</v>
      </c>
      <c r="H9" s="17" t="s">
        <v>37</v>
      </c>
      <c r="L9" s="41">
        <v>75</v>
      </c>
    </row>
    <row r="10" spans="2:18" ht="14.1" customHeight="1" x14ac:dyDescent="0.2">
      <c r="B10" s="2" t="s">
        <v>18</v>
      </c>
      <c r="C10" s="41" t="s">
        <v>39</v>
      </c>
      <c r="D10" s="2" t="s">
        <v>55</v>
      </c>
      <c r="F10" s="17" t="s">
        <v>32</v>
      </c>
      <c r="G10" s="17" t="s">
        <v>29</v>
      </c>
      <c r="H10" s="17" t="s">
        <v>30</v>
      </c>
      <c r="L10" s="41">
        <v>100</v>
      </c>
    </row>
    <row r="11" spans="2:18" ht="14.1" customHeight="1" x14ac:dyDescent="0.2">
      <c r="B11" s="2" t="s">
        <v>19</v>
      </c>
      <c r="C11" s="41" t="s">
        <v>39</v>
      </c>
      <c r="D11" s="2" t="s">
        <v>52</v>
      </c>
      <c r="F11" s="17" t="s">
        <v>33</v>
      </c>
      <c r="G11" s="17" t="s">
        <v>32</v>
      </c>
      <c r="H11" s="17" t="s">
        <v>31</v>
      </c>
    </row>
    <row r="12" spans="2:18" ht="14.1" customHeight="1" x14ac:dyDescent="0.2">
      <c r="B12" s="2" t="s">
        <v>20</v>
      </c>
      <c r="C12" s="41" t="s">
        <v>39</v>
      </c>
      <c r="D12" s="2" t="s">
        <v>52</v>
      </c>
    </row>
    <row r="13" spans="2:18" ht="14.1" customHeight="1" x14ac:dyDescent="0.2">
      <c r="B13" s="2" t="s">
        <v>21</v>
      </c>
      <c r="C13" s="41" t="s">
        <v>39</v>
      </c>
      <c r="D13" s="2" t="s">
        <v>52</v>
      </c>
    </row>
    <row r="14" spans="2:18" ht="14.1" customHeight="1" x14ac:dyDescent="0.2">
      <c r="B14" s="2" t="s">
        <v>22</v>
      </c>
      <c r="C14" s="41" t="s">
        <v>39</v>
      </c>
      <c r="D14" s="2" t="s">
        <v>52</v>
      </c>
    </row>
    <row r="15" spans="2:18" ht="14.1" customHeight="1" x14ac:dyDescent="0.2">
      <c r="C15" s="41"/>
    </row>
    <row r="16" spans="2:18" ht="14.1" customHeight="1" x14ac:dyDescent="0.2">
      <c r="C16" s="41"/>
    </row>
    <row r="17" spans="3:3" ht="14.1" customHeight="1" x14ac:dyDescent="0.2">
      <c r="C17" s="41"/>
    </row>
    <row r="18" spans="3:3" ht="14.1" customHeight="1" x14ac:dyDescent="0.2">
      <c r="C18" s="41"/>
    </row>
    <row r="19" spans="3:3" ht="14.1" customHeight="1" x14ac:dyDescent="0.2">
      <c r="C19" s="41"/>
    </row>
    <row r="20" spans="3:3" ht="14.1" customHeight="1" x14ac:dyDescent="0.2">
      <c r="C20" s="41"/>
    </row>
    <row r="21" spans="3:3" ht="14.1" customHeight="1" x14ac:dyDescent="0.2">
      <c r="C21" s="41"/>
    </row>
    <row r="22" spans="3:3" ht="14.1" customHeight="1" x14ac:dyDescent="0.2">
      <c r="C22" s="41"/>
    </row>
    <row r="23" spans="3:3" ht="14.1" customHeight="1" x14ac:dyDescent="0.2">
      <c r="C23" s="41"/>
    </row>
    <row r="24" spans="3:3" ht="14.1" customHeight="1" x14ac:dyDescent="0.2">
      <c r="C24" s="41"/>
    </row>
    <row r="25" spans="3:3" ht="14.1" customHeight="1" x14ac:dyDescent="0.2">
      <c r="C25" s="41"/>
    </row>
    <row r="26" spans="3:3" ht="14.1" customHeight="1" x14ac:dyDescent="0.2">
      <c r="C26" s="41"/>
    </row>
    <row r="27" spans="3:3" ht="14.1" customHeight="1" x14ac:dyDescent="0.2">
      <c r="C27" s="41"/>
    </row>
    <row r="28" spans="3:3" ht="14.1" customHeight="1" x14ac:dyDescent="0.2">
      <c r="C28" s="41"/>
    </row>
    <row r="29" spans="3:3" ht="14.1" customHeight="1" x14ac:dyDescent="0.2">
      <c r="C29" s="41"/>
    </row>
    <row r="30" spans="3:3" ht="14.1" customHeight="1" x14ac:dyDescent="0.2">
      <c r="C30" s="41"/>
    </row>
    <row r="31" spans="3:3" ht="14.1" customHeight="1" x14ac:dyDescent="0.2">
      <c r="C31" s="41"/>
    </row>
    <row r="32" spans="3:3" ht="14.1" customHeight="1" x14ac:dyDescent="0.2">
      <c r="C32" s="41"/>
    </row>
    <row r="33" spans="3:3" ht="14.1" customHeight="1" x14ac:dyDescent="0.2">
      <c r="C33" s="41"/>
    </row>
    <row r="34" spans="3:3" ht="14.1" customHeight="1" x14ac:dyDescent="0.2">
      <c r="C34" s="41"/>
    </row>
    <row r="35" spans="3:3" ht="14.1" customHeight="1" x14ac:dyDescent="0.2">
      <c r="C35" s="41"/>
    </row>
    <row r="36" spans="3:3" ht="14.1" customHeight="1" x14ac:dyDescent="0.2">
      <c r="C36" s="41"/>
    </row>
    <row r="37" spans="3:3" ht="14.1" customHeight="1" x14ac:dyDescent="0.2">
      <c r="C37" s="41"/>
    </row>
    <row r="38" spans="3:3" ht="14.1" customHeight="1" x14ac:dyDescent="0.2">
      <c r="C38" s="41"/>
    </row>
    <row r="39" spans="3:3" ht="14.1" customHeight="1" x14ac:dyDescent="0.2">
      <c r="C39" s="41"/>
    </row>
    <row r="40" spans="3:3" ht="14.1" customHeight="1" x14ac:dyDescent="0.2">
      <c r="C40" s="41"/>
    </row>
    <row r="41" spans="3:3" ht="14.1" customHeight="1" x14ac:dyDescent="0.2">
      <c r="C41" s="41"/>
    </row>
    <row r="42" spans="3:3" ht="14.1" customHeight="1" x14ac:dyDescent="0.2">
      <c r="C42" s="41"/>
    </row>
    <row r="43" spans="3:3" ht="14.1" customHeight="1" x14ac:dyDescent="0.2">
      <c r="C43" s="41"/>
    </row>
    <row r="44" spans="3:3" ht="14.1" customHeight="1" x14ac:dyDescent="0.2">
      <c r="C44" s="41"/>
    </row>
    <row r="45" spans="3:3" ht="14.1" customHeight="1" x14ac:dyDescent="0.2">
      <c r="C45" s="41"/>
    </row>
    <row r="46" spans="3:3" ht="14.1" customHeight="1" x14ac:dyDescent="0.2">
      <c r="C46" s="41"/>
    </row>
    <row r="47" spans="3:3" ht="14.1" customHeight="1" x14ac:dyDescent="0.2">
      <c r="C47" s="41"/>
    </row>
    <row r="48" spans="3:3" ht="14.1" customHeight="1" x14ac:dyDescent="0.2">
      <c r="C48" s="41"/>
    </row>
    <row r="49" spans="3:3" ht="14.1" customHeight="1" x14ac:dyDescent="0.2">
      <c r="C49" s="41"/>
    </row>
    <row r="50" spans="3:3" ht="14.1" customHeight="1" x14ac:dyDescent="0.2">
      <c r="C50" s="41"/>
    </row>
    <row r="51" spans="3:3" ht="14.1" customHeight="1" x14ac:dyDescent="0.2">
      <c r="C51" s="41"/>
    </row>
    <row r="52" spans="3:3" ht="14.1" customHeight="1" x14ac:dyDescent="0.2">
      <c r="C52" s="41"/>
    </row>
    <row r="53" spans="3:3" ht="14.1" customHeight="1" x14ac:dyDescent="0.2">
      <c r="C53" s="41"/>
    </row>
    <row r="54" spans="3:3" ht="14.1" customHeight="1" x14ac:dyDescent="0.2">
      <c r="C54" s="41"/>
    </row>
    <row r="55" spans="3:3" ht="14.1" customHeight="1" x14ac:dyDescent="0.2">
      <c r="C55" s="41"/>
    </row>
    <row r="56" spans="3:3" ht="14.1" customHeight="1" x14ac:dyDescent="0.2">
      <c r="C56" s="41"/>
    </row>
    <row r="57" spans="3:3" ht="14.1" customHeight="1" x14ac:dyDescent="0.2">
      <c r="C57" s="41"/>
    </row>
    <row r="58" spans="3:3" ht="14.1" customHeight="1" x14ac:dyDescent="0.2">
      <c r="C58" s="41"/>
    </row>
    <row r="59" spans="3:3" ht="14.1" customHeight="1" x14ac:dyDescent="0.2">
      <c r="C59" s="41"/>
    </row>
    <row r="60" spans="3:3" ht="14.1" customHeight="1" x14ac:dyDescent="0.2">
      <c r="C60" s="41"/>
    </row>
    <row r="61" spans="3:3" ht="14.1" customHeight="1" x14ac:dyDescent="0.2">
      <c r="C61" s="41"/>
    </row>
    <row r="62" spans="3:3" ht="14.1" customHeight="1" x14ac:dyDescent="0.2">
      <c r="C62" s="41"/>
    </row>
    <row r="63" spans="3:3" ht="14.1" customHeight="1" x14ac:dyDescent="0.2">
      <c r="C63" s="41"/>
    </row>
    <row r="64" spans="3:3" ht="14.1" customHeight="1" x14ac:dyDescent="0.2">
      <c r="C64" s="41"/>
    </row>
    <row r="65" spans="3:3" ht="14.1" customHeight="1" x14ac:dyDescent="0.2">
      <c r="C65" s="41"/>
    </row>
    <row r="66" spans="3:3" ht="14.1" customHeight="1" x14ac:dyDescent="0.2">
      <c r="C66" s="41"/>
    </row>
    <row r="67" spans="3:3" ht="14.1" customHeight="1" x14ac:dyDescent="0.2">
      <c r="C67" s="41"/>
    </row>
    <row r="68" spans="3:3" ht="14.1" customHeight="1" x14ac:dyDescent="0.2">
      <c r="C68" s="41"/>
    </row>
    <row r="69" spans="3:3" ht="14.1" customHeight="1" x14ac:dyDescent="0.2">
      <c r="C69" s="41"/>
    </row>
    <row r="70" spans="3:3" ht="14.1" customHeight="1" x14ac:dyDescent="0.2">
      <c r="C70" s="41"/>
    </row>
    <row r="71" spans="3:3" ht="14.1" customHeight="1" x14ac:dyDescent="0.2">
      <c r="C71" s="41"/>
    </row>
    <row r="72" spans="3:3" ht="14.1" customHeight="1" x14ac:dyDescent="0.2">
      <c r="C72" s="41"/>
    </row>
    <row r="73" spans="3:3" ht="14.1" customHeight="1" x14ac:dyDescent="0.2">
      <c r="C73" s="41"/>
    </row>
    <row r="74" spans="3:3" ht="14.1" customHeight="1" x14ac:dyDescent="0.2">
      <c r="C74" s="41"/>
    </row>
    <row r="75" spans="3:3" ht="14.1" customHeight="1" x14ac:dyDescent="0.2">
      <c r="C75" s="41"/>
    </row>
    <row r="76" spans="3:3" ht="14.1" customHeight="1" x14ac:dyDescent="0.2">
      <c r="C76" s="41"/>
    </row>
    <row r="77" spans="3:3" ht="14.1" customHeight="1" x14ac:dyDescent="0.2">
      <c r="C77" s="41"/>
    </row>
    <row r="78" spans="3:3" ht="14.1" customHeight="1" x14ac:dyDescent="0.2">
      <c r="C78" s="41"/>
    </row>
    <row r="79" spans="3:3" ht="14.1" customHeight="1" x14ac:dyDescent="0.2">
      <c r="C79" s="41"/>
    </row>
    <row r="80" spans="3:3" ht="14.1" customHeight="1" x14ac:dyDescent="0.2">
      <c r="C80" s="41"/>
    </row>
    <row r="81" spans="3:3" ht="14.1" customHeight="1" x14ac:dyDescent="0.2">
      <c r="C81" s="41"/>
    </row>
    <row r="82" spans="3:3" ht="14.1" customHeight="1" x14ac:dyDescent="0.2">
      <c r="C82" s="41"/>
    </row>
    <row r="83" spans="3:3" ht="14.1" customHeight="1" x14ac:dyDescent="0.2">
      <c r="C83" s="41"/>
    </row>
    <row r="84" spans="3:3" ht="14.1" customHeight="1" x14ac:dyDescent="0.2">
      <c r="C84" s="41"/>
    </row>
    <row r="85" spans="3:3" ht="14.1" customHeight="1" x14ac:dyDescent="0.2">
      <c r="C85" s="41"/>
    </row>
    <row r="86" spans="3:3" ht="14.1" customHeight="1" x14ac:dyDescent="0.2">
      <c r="C86" s="41"/>
    </row>
    <row r="87" spans="3:3" ht="14.1" customHeight="1" x14ac:dyDescent="0.2">
      <c r="C87" s="41"/>
    </row>
    <row r="88" spans="3:3" ht="14.1" customHeight="1" x14ac:dyDescent="0.2">
      <c r="C88" s="41"/>
    </row>
    <row r="89" spans="3:3" ht="14.1" customHeight="1" x14ac:dyDescent="0.2">
      <c r="C89" s="41"/>
    </row>
    <row r="90" spans="3:3" ht="14.1" customHeight="1" x14ac:dyDescent="0.2">
      <c r="C90" s="41"/>
    </row>
    <row r="91" spans="3:3" ht="14.1" customHeight="1" x14ac:dyDescent="0.2">
      <c r="C91" s="41"/>
    </row>
    <row r="92" spans="3:3" ht="14.1" customHeight="1" x14ac:dyDescent="0.2">
      <c r="C92" s="41"/>
    </row>
    <row r="93" spans="3:3" ht="14.1" customHeight="1" x14ac:dyDescent="0.2">
      <c r="C93" s="41"/>
    </row>
    <row r="94" spans="3:3" ht="14.1" customHeight="1" x14ac:dyDescent="0.2">
      <c r="C94" s="41"/>
    </row>
    <row r="95" spans="3:3" ht="14.1" customHeight="1" x14ac:dyDescent="0.2">
      <c r="C95" s="41"/>
    </row>
    <row r="96" spans="3:3" ht="14.1" customHeight="1" x14ac:dyDescent="0.2">
      <c r="C96" s="41"/>
    </row>
    <row r="97" spans="3:3" ht="14.1" customHeight="1" x14ac:dyDescent="0.2">
      <c r="C97" s="41"/>
    </row>
    <row r="98" spans="3:3" ht="14.1" customHeight="1" x14ac:dyDescent="0.2">
      <c r="C98" s="41"/>
    </row>
    <row r="99" spans="3:3" ht="14.1" customHeight="1" x14ac:dyDescent="0.2">
      <c r="C99" s="41"/>
    </row>
    <row r="100" spans="3:3" ht="14.1" customHeight="1" x14ac:dyDescent="0.2">
      <c r="C100" s="41"/>
    </row>
    <row r="101" spans="3:3" ht="14.1" customHeight="1" x14ac:dyDescent="0.2">
      <c r="C101" s="41"/>
    </row>
    <row r="102" spans="3:3" ht="14.1" customHeight="1" x14ac:dyDescent="0.2">
      <c r="C102" s="41"/>
    </row>
    <row r="103" spans="3:3" ht="14.1" customHeight="1" x14ac:dyDescent="0.2">
      <c r="C103" s="41"/>
    </row>
    <row r="104" spans="3:3" ht="14.1" customHeight="1" x14ac:dyDescent="0.2">
      <c r="C104" s="41"/>
    </row>
    <row r="105" spans="3:3" ht="14.1" customHeight="1" x14ac:dyDescent="0.2">
      <c r="C105" s="41"/>
    </row>
    <row r="106" spans="3:3" ht="14.1" customHeight="1" x14ac:dyDescent="0.2"/>
    <row r="107" spans="3:3" ht="14.1" customHeight="1" x14ac:dyDescent="0.2"/>
    <row r="108" spans="3:3" ht="14.1" customHeight="1" x14ac:dyDescent="0.2"/>
    <row r="109" spans="3:3" ht="14.1" customHeight="1" x14ac:dyDescent="0.2"/>
    <row r="110" spans="3:3" ht="14.1" customHeight="1" x14ac:dyDescent="0.2"/>
    <row r="111" spans="3:3" ht="14.1" customHeight="1" x14ac:dyDescent="0.2"/>
    <row r="112" spans="3:3" ht="14.1" customHeight="1" x14ac:dyDescent="0.2"/>
    <row r="113" ht="14.1" customHeight="1" x14ac:dyDescent="0.2"/>
    <row r="114" ht="14.1" customHeight="1" x14ac:dyDescent="0.2"/>
    <row r="115" ht="14.1" customHeight="1" x14ac:dyDescent="0.2"/>
    <row r="116" ht="14.1" customHeight="1" x14ac:dyDescent="0.2"/>
    <row r="117" ht="14.1" customHeight="1" x14ac:dyDescent="0.2"/>
    <row r="118" ht="14.1" customHeight="1" x14ac:dyDescent="0.2"/>
    <row r="119" ht="14.1" customHeight="1" x14ac:dyDescent="0.2"/>
    <row r="120" ht="14.1" customHeight="1" x14ac:dyDescent="0.2"/>
    <row r="121" ht="14.1" customHeight="1" x14ac:dyDescent="0.2"/>
    <row r="122" ht="14.1" customHeight="1" x14ac:dyDescent="0.2"/>
    <row r="123" ht="14.1" customHeight="1" x14ac:dyDescent="0.2"/>
    <row r="124" ht="14.1" customHeight="1" x14ac:dyDescent="0.2"/>
    <row r="125" ht="14.1" customHeight="1" x14ac:dyDescent="0.2"/>
    <row r="126" ht="14.1" customHeight="1" x14ac:dyDescent="0.2"/>
    <row r="127" ht="14.1" customHeight="1" x14ac:dyDescent="0.2"/>
    <row r="128" ht="14.1" customHeight="1" x14ac:dyDescent="0.2"/>
    <row r="129" ht="14.1" customHeight="1" x14ac:dyDescent="0.2"/>
    <row r="130" ht="14.1" customHeight="1" x14ac:dyDescent="0.2"/>
    <row r="131" ht="14.1" customHeight="1" x14ac:dyDescent="0.2"/>
    <row r="132" ht="14.1" customHeight="1" x14ac:dyDescent="0.2"/>
    <row r="133" ht="14.1" customHeight="1" x14ac:dyDescent="0.2"/>
    <row r="134" ht="14.1" customHeight="1" x14ac:dyDescent="0.2"/>
    <row r="135" ht="14.1" customHeight="1" x14ac:dyDescent="0.2"/>
    <row r="136" ht="14.1" customHeight="1" x14ac:dyDescent="0.2"/>
    <row r="137" ht="14.1" customHeight="1" x14ac:dyDescent="0.2"/>
    <row r="138" ht="14.1" customHeight="1" x14ac:dyDescent="0.2"/>
    <row r="139" ht="14.1" customHeight="1" x14ac:dyDescent="0.2"/>
    <row r="140" ht="14.1" customHeight="1" x14ac:dyDescent="0.2"/>
    <row r="141" ht="14.1" customHeight="1" x14ac:dyDescent="0.2"/>
    <row r="142" ht="14.1" customHeight="1" x14ac:dyDescent="0.2"/>
    <row r="143" ht="14.1" customHeight="1" x14ac:dyDescent="0.2"/>
    <row r="144" ht="14.1" customHeight="1" x14ac:dyDescent="0.2"/>
    <row r="145" ht="14.1" customHeight="1" x14ac:dyDescent="0.2"/>
    <row r="146" ht="14.1" customHeight="1" x14ac:dyDescent="0.2"/>
    <row r="147" ht="14.1" customHeight="1" x14ac:dyDescent="0.2"/>
    <row r="148" ht="14.1" customHeight="1" x14ac:dyDescent="0.2"/>
    <row r="149" ht="14.1" customHeight="1" x14ac:dyDescent="0.2"/>
    <row r="150" ht="14.1" customHeight="1" x14ac:dyDescent="0.2"/>
    <row r="151" ht="14.1" customHeight="1" x14ac:dyDescent="0.2"/>
    <row r="152" ht="14.1" customHeight="1" x14ac:dyDescent="0.2"/>
    <row r="153" ht="14.1" customHeight="1" x14ac:dyDescent="0.2"/>
    <row r="154" ht="14.1" customHeight="1" x14ac:dyDescent="0.2"/>
    <row r="155" ht="14.1" customHeight="1" x14ac:dyDescent="0.2"/>
    <row r="156" ht="14.1" customHeight="1" x14ac:dyDescent="0.2"/>
    <row r="157" ht="14.1" customHeight="1" x14ac:dyDescent="0.2"/>
    <row r="158" ht="14.1" customHeight="1" x14ac:dyDescent="0.2"/>
    <row r="159" ht="14.1" customHeight="1" x14ac:dyDescent="0.2"/>
    <row r="160" ht="14.1" customHeight="1" x14ac:dyDescent="0.2"/>
    <row r="161" ht="14.1" customHeight="1" x14ac:dyDescent="0.2"/>
    <row r="162" ht="14.1" customHeight="1" x14ac:dyDescent="0.2"/>
    <row r="163" ht="14.1" customHeight="1" x14ac:dyDescent="0.2"/>
    <row r="164" ht="14.1" customHeight="1" x14ac:dyDescent="0.2"/>
    <row r="165" ht="14.1" customHeight="1" x14ac:dyDescent="0.2"/>
    <row r="166" ht="14.1" customHeight="1" x14ac:dyDescent="0.2"/>
    <row r="167" ht="14.1" customHeight="1" x14ac:dyDescent="0.2"/>
    <row r="168" ht="14.1" customHeight="1" x14ac:dyDescent="0.2"/>
    <row r="169" ht="14.1" customHeight="1" x14ac:dyDescent="0.2"/>
    <row r="170" ht="14.1" customHeight="1" x14ac:dyDescent="0.2"/>
    <row r="171" ht="14.1" customHeight="1" x14ac:dyDescent="0.2"/>
    <row r="172" ht="14.1" customHeight="1" x14ac:dyDescent="0.2"/>
    <row r="173" ht="14.1" customHeight="1" x14ac:dyDescent="0.2"/>
    <row r="174" ht="14.1" customHeight="1" x14ac:dyDescent="0.2"/>
    <row r="175" ht="14.1" customHeight="1" x14ac:dyDescent="0.2"/>
    <row r="176" ht="14.1" customHeight="1" x14ac:dyDescent="0.2"/>
    <row r="177" ht="14.1" customHeight="1" x14ac:dyDescent="0.2"/>
    <row r="178" ht="14.1" customHeight="1" x14ac:dyDescent="0.2"/>
    <row r="179" ht="14.1" customHeight="1" x14ac:dyDescent="0.2"/>
    <row r="180" ht="14.1" customHeight="1" x14ac:dyDescent="0.2"/>
    <row r="181" ht="14.1" customHeight="1" x14ac:dyDescent="0.2"/>
    <row r="182" ht="14.1" customHeight="1" x14ac:dyDescent="0.2"/>
    <row r="183" ht="14.1" customHeight="1" x14ac:dyDescent="0.2"/>
    <row r="184" ht="14.1" customHeight="1" x14ac:dyDescent="0.2"/>
    <row r="185" ht="14.1" customHeight="1" x14ac:dyDescent="0.2"/>
    <row r="186" ht="14.1" customHeight="1" x14ac:dyDescent="0.2"/>
    <row r="187" ht="14.1" customHeight="1" x14ac:dyDescent="0.2"/>
    <row r="188" ht="14.1" customHeight="1" x14ac:dyDescent="0.2"/>
    <row r="189" ht="14.1" customHeight="1" x14ac:dyDescent="0.2"/>
    <row r="190" ht="14.1" customHeight="1" x14ac:dyDescent="0.2"/>
    <row r="191" ht="14.1" customHeight="1" x14ac:dyDescent="0.2"/>
    <row r="192" ht="14.1" customHeight="1" x14ac:dyDescent="0.2"/>
    <row r="193" ht="14.1" customHeight="1" x14ac:dyDescent="0.2"/>
    <row r="194" ht="14.1" customHeight="1" x14ac:dyDescent="0.2"/>
    <row r="195" ht="14.1" customHeight="1" x14ac:dyDescent="0.2"/>
    <row r="196" ht="14.1" customHeight="1" x14ac:dyDescent="0.2"/>
    <row r="197" ht="14.1" customHeight="1" x14ac:dyDescent="0.2"/>
    <row r="198" ht="14.1" customHeight="1" x14ac:dyDescent="0.2"/>
    <row r="199" ht="14.1" customHeight="1" x14ac:dyDescent="0.2"/>
    <row r="200" ht="14.1" customHeight="1" x14ac:dyDescent="0.2"/>
    <row r="201" ht="14.1" customHeight="1" x14ac:dyDescent="0.2"/>
    <row r="202" ht="14.1" customHeight="1" x14ac:dyDescent="0.2"/>
    <row r="203" ht="14.1" customHeight="1" x14ac:dyDescent="0.2"/>
    <row r="204" ht="14.1" customHeight="1" x14ac:dyDescent="0.2"/>
    <row r="205" ht="14.1" customHeight="1" x14ac:dyDescent="0.2"/>
    <row r="206" ht="14.1" customHeight="1" x14ac:dyDescent="0.2"/>
    <row r="207" ht="14.1" customHeight="1" x14ac:dyDescent="0.2"/>
    <row r="208" ht="14.1" customHeight="1" x14ac:dyDescent="0.2"/>
    <row r="209" ht="14.1" customHeight="1" x14ac:dyDescent="0.2"/>
    <row r="210" ht="14.1" customHeight="1" x14ac:dyDescent="0.2"/>
    <row r="211" ht="14.1" customHeight="1" x14ac:dyDescent="0.2"/>
    <row r="212" ht="14.1" customHeight="1" x14ac:dyDescent="0.2"/>
    <row r="213" ht="14.1" customHeight="1" x14ac:dyDescent="0.2"/>
    <row r="214" ht="14.1" customHeight="1" x14ac:dyDescent="0.2"/>
    <row r="215" ht="14.1" customHeight="1" x14ac:dyDescent="0.2"/>
    <row r="216" ht="14.1" customHeight="1" x14ac:dyDescent="0.2"/>
    <row r="217" ht="14.1" customHeight="1" x14ac:dyDescent="0.2"/>
    <row r="218" ht="14.1" customHeight="1" x14ac:dyDescent="0.2"/>
    <row r="219" ht="14.1" customHeight="1" x14ac:dyDescent="0.2"/>
    <row r="220" ht="14.1" customHeight="1" x14ac:dyDescent="0.2"/>
    <row r="221" ht="14.1" customHeight="1" x14ac:dyDescent="0.2"/>
    <row r="222" ht="14.1" customHeight="1" x14ac:dyDescent="0.2"/>
    <row r="223" ht="14.1" customHeight="1" x14ac:dyDescent="0.2"/>
    <row r="224" ht="14.1" customHeight="1" x14ac:dyDescent="0.2"/>
    <row r="225" ht="14.1" customHeight="1" x14ac:dyDescent="0.2"/>
    <row r="226" ht="14.1" customHeight="1" x14ac:dyDescent="0.2"/>
    <row r="227" ht="14.1" customHeight="1" x14ac:dyDescent="0.2"/>
    <row r="228" ht="14.1" customHeight="1" x14ac:dyDescent="0.2"/>
    <row r="229" ht="14.1" customHeight="1" x14ac:dyDescent="0.2"/>
    <row r="230" ht="14.1" customHeight="1" x14ac:dyDescent="0.2"/>
    <row r="231" ht="14.1" customHeight="1" x14ac:dyDescent="0.2"/>
    <row r="232" ht="14.1" customHeight="1" x14ac:dyDescent="0.2"/>
    <row r="233" ht="14.1" customHeight="1" x14ac:dyDescent="0.2"/>
    <row r="234" ht="14.1" customHeight="1" x14ac:dyDescent="0.2"/>
    <row r="235" ht="14.1" customHeight="1" x14ac:dyDescent="0.2"/>
    <row r="236" ht="14.1" customHeight="1" x14ac:dyDescent="0.2"/>
    <row r="237" ht="14.1" customHeight="1" x14ac:dyDescent="0.2"/>
    <row r="238" ht="14.1" customHeight="1" x14ac:dyDescent="0.2"/>
  </sheetData>
  <mergeCells count="7">
    <mergeCell ref="P1:R1"/>
    <mergeCell ref="B3:D3"/>
    <mergeCell ref="F3:G3"/>
    <mergeCell ref="B1:E1"/>
    <mergeCell ref="F1:H1"/>
    <mergeCell ref="I1:L1"/>
    <mergeCell ref="M1:O1"/>
  </mergeCells>
  <phoneticPr fontId="13" type="noConversion"/>
  <dataValidations count="2">
    <dataValidation type="list" allowBlank="1" showInputMessage="1" showErrorMessage="1" sqref="H3" xr:uid="{05A12006-AE9D-441A-AF3E-45A5DAD71D25}">
      <formula1>rngWeekNum</formula1>
    </dataValidation>
    <dataValidation type="list" allowBlank="1" showInputMessage="1" showErrorMessage="1" sqref="D5:D104" xr:uid="{8FFC5FD3-1AEC-4568-A820-EC26A041F4B0}">
      <formula1>rngERT</formula1>
    </dataValidation>
  </dataValidations>
  <hyperlinks>
    <hyperlink ref="B1:E1" location="Introduction!A1" display="Go to Introduction" xr:uid="{3092A4D7-C422-4490-8CC3-5E44B2030ABE}"/>
    <hyperlink ref="F1:H1" location="Schedule!A1" display="Schedule" xr:uid="{9D25F1FD-C2D0-408E-8019-ECB537ABE2A3}"/>
    <hyperlink ref="I1:L1" location="Dashboard!A1" display="Dashboard" xr:uid="{FE0D1C42-4415-4EA3-9216-CFD7FC8AA497}"/>
    <hyperlink ref="M1:O1" location="Settings!A1" display="Settings" xr:uid="{EAD25DE3-6532-4A6E-B0C9-1D8D8FCBFE5B}"/>
  </hyperlink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D3220-4FEB-40FC-99FF-3C09FB753C28}">
  <sheetPr codeName="Sheet1"/>
  <dimension ref="A1:AJ23"/>
  <sheetViews>
    <sheetView showGridLines="0" showRowColHeaders="0" zoomScale="111" zoomScaleNormal="130" workbookViewId="0">
      <pane ySplit="1" topLeftCell="A2" activePane="bottomLeft" state="frozen"/>
      <selection pane="bottomLeft" activeCell="E10" sqref="E10"/>
    </sheetView>
  </sheetViews>
  <sheetFormatPr defaultColWidth="0" defaultRowHeight="14.25" zeroHeight="1" x14ac:dyDescent="0.2"/>
  <cols>
    <col min="1" max="1" width="8.85546875" style="20" customWidth="1"/>
    <col min="2" max="2" width="13.7109375" style="20" customWidth="1"/>
    <col min="3" max="3" width="10.85546875" style="20" customWidth="1"/>
    <col min="4" max="4" width="4.5703125" style="20" customWidth="1"/>
    <col min="5" max="5" width="15.42578125" style="20" customWidth="1"/>
    <col min="6" max="6" width="14.85546875" style="20" customWidth="1"/>
    <col min="7" max="10" width="8.85546875" style="20" customWidth="1"/>
    <col min="11" max="11" width="9.140625" style="20" customWidth="1"/>
    <col min="12" max="14" width="8.85546875" style="20" customWidth="1"/>
    <col min="15" max="36" width="0" style="20" hidden="1" customWidth="1"/>
    <col min="37" max="16384" width="8.85546875" style="20" hidden="1"/>
  </cols>
  <sheetData>
    <row r="1" spans="1:36" s="25" customFormat="1" ht="14.45" customHeight="1" x14ac:dyDescent="0.25">
      <c r="A1" s="118" t="s">
        <v>90</v>
      </c>
      <c r="B1" s="118"/>
      <c r="C1" s="118"/>
      <c r="D1" s="118"/>
      <c r="E1" s="118" t="s">
        <v>62</v>
      </c>
      <c r="F1" s="118"/>
      <c r="G1" s="118"/>
      <c r="H1" s="118" t="s">
        <v>67</v>
      </c>
      <c r="I1" s="118"/>
      <c r="J1" s="118"/>
      <c r="K1" s="118"/>
      <c r="L1" s="118" t="s">
        <v>72</v>
      </c>
      <c r="M1" s="118"/>
      <c r="N1" s="118"/>
      <c r="O1" s="118"/>
      <c r="P1" s="118"/>
      <c r="Q1" s="118"/>
      <c r="R1" s="66"/>
      <c r="S1" s="66"/>
      <c r="T1" s="66"/>
      <c r="U1" s="126"/>
      <c r="V1" s="126"/>
      <c r="W1" s="126"/>
      <c r="X1" s="126"/>
      <c r="Y1" s="126"/>
      <c r="Z1" s="126"/>
      <c r="AA1" s="126"/>
      <c r="AB1" s="126"/>
      <c r="AC1" s="126"/>
      <c r="AD1" s="126"/>
      <c r="AE1" s="126"/>
      <c r="AF1" s="126"/>
      <c r="AG1" s="126"/>
      <c r="AH1" s="126"/>
      <c r="AI1" s="126"/>
      <c r="AJ1" s="126"/>
    </row>
    <row r="2" spans="1:36" ht="18" hidden="1" x14ac:dyDescent="0.25">
      <c r="A2" s="141"/>
      <c r="B2" s="141"/>
      <c r="C2" s="141"/>
      <c r="D2" s="141"/>
    </row>
    <row r="3" spans="1:36" hidden="1" x14ac:dyDescent="0.2">
      <c r="A3" s="142"/>
      <c r="B3" s="142"/>
      <c r="C3" s="142"/>
      <c r="D3" s="142"/>
    </row>
    <row r="6" spans="1:36" x14ac:dyDescent="0.2"/>
    <row r="7" spans="1:36" ht="15" x14ac:dyDescent="0.25">
      <c r="B7" s="140" t="s">
        <v>58</v>
      </c>
      <c r="C7" s="140"/>
      <c r="E7" s="140" t="s">
        <v>70</v>
      </c>
      <c r="F7" s="140"/>
    </row>
    <row r="8" spans="1:36" x14ac:dyDescent="0.2">
      <c r="B8" s="64" t="s">
        <v>43</v>
      </c>
      <c r="C8" s="106" t="b">
        <v>1</v>
      </c>
      <c r="E8" s="64" t="s">
        <v>71</v>
      </c>
      <c r="F8" s="65">
        <v>10</v>
      </c>
    </row>
    <row r="9" spans="1:36" x14ac:dyDescent="0.2">
      <c r="B9" s="64" t="s">
        <v>42</v>
      </c>
      <c r="C9" s="106" t="b">
        <v>1</v>
      </c>
    </row>
    <row r="10" spans="1:36" ht="15" x14ac:dyDescent="0.25">
      <c r="B10" s="64" t="s">
        <v>47</v>
      </c>
      <c r="C10" s="106" t="b">
        <v>1</v>
      </c>
      <c r="E10"/>
      <c r="F10"/>
    </row>
    <row r="11" spans="1:36" ht="15" x14ac:dyDescent="0.25">
      <c r="E11"/>
      <c r="F11"/>
    </row>
    <row r="12" spans="1:36" ht="15" x14ac:dyDescent="0.25">
      <c r="B12" s="140" t="s">
        <v>59</v>
      </c>
      <c r="C12" s="140"/>
    </row>
    <row r="13" spans="1:36" x14ac:dyDescent="0.2">
      <c r="B13" s="78" t="s">
        <v>60</v>
      </c>
      <c r="C13" s="78" t="s">
        <v>103</v>
      </c>
      <c r="D13" s="20" t="s">
        <v>102</v>
      </c>
    </row>
    <row r="14" spans="1:36" x14ac:dyDescent="0.2">
      <c r="B14" s="78" t="s">
        <v>61</v>
      </c>
      <c r="C14" s="106" t="b">
        <v>1</v>
      </c>
      <c r="D14" s="79" t="b">
        <v>1</v>
      </c>
    </row>
    <row r="15" spans="1:36" x14ac:dyDescent="0.2"/>
    <row r="16" spans="1:36" x14ac:dyDescent="0.2"/>
    <row r="17" ht="39.75" customHeight="1" x14ac:dyDescent="0.2"/>
    <row r="18" hidden="1" x14ac:dyDescent="0.2"/>
    <row r="19" hidden="1" x14ac:dyDescent="0.2"/>
    <row r="20" hidden="1" x14ac:dyDescent="0.2"/>
    <row r="21" hidden="1" x14ac:dyDescent="0.2"/>
    <row r="22" hidden="1" x14ac:dyDescent="0.2"/>
    <row r="23" hidden="1" x14ac:dyDescent="0.2"/>
  </sheetData>
  <mergeCells count="12">
    <mergeCell ref="B7:C7"/>
    <mergeCell ref="B12:C12"/>
    <mergeCell ref="E7:F7"/>
    <mergeCell ref="U1:AB1"/>
    <mergeCell ref="AC1:AJ1"/>
    <mergeCell ref="A2:D2"/>
    <mergeCell ref="A3:D3"/>
    <mergeCell ref="E1:G1"/>
    <mergeCell ref="H1:K1"/>
    <mergeCell ref="L1:N1"/>
    <mergeCell ref="O1:Q1"/>
    <mergeCell ref="A1:D1"/>
  </mergeCells>
  <dataValidations count="1">
    <dataValidation type="list" allowBlank="1" showInputMessage="1" showErrorMessage="1" sqref="F8" xr:uid="{1A4AF37E-7A2C-4BB9-9F78-66F8B4AD1858}">
      <formula1>rngEmpNum</formula1>
    </dataValidation>
  </dataValidations>
  <hyperlinks>
    <hyperlink ref="A1:D1" location="Introduction!A1" display="Go to Introduction" xr:uid="{9CCB233C-9114-4A0F-96E5-027B0600A14C}"/>
    <hyperlink ref="E1:G1" location="Schedule!A1" display="Schedule" xr:uid="{AE9B8ACE-4A91-425B-80AB-21EC8CB01459}"/>
    <hyperlink ref="H1:K1" location="Dashboard!A1" display="Dashboard" xr:uid="{9F8BA3B5-1AD2-4697-B12B-B855D8CC7FEC}"/>
    <hyperlink ref="L1:N1" location="Lists!A1" display="Lists" xr:uid="{B50ED7E6-86D9-40DD-9B7F-A888A84E88D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35" r:id="rId3" name="CheckBox1">
              <controlPr defaultSize="0" autoFill="0" autoLine="0" autoPict="0" macro="[0]!CheckBox1_Click">
                <anchor moveWithCells="1">
                  <from>
                    <xdr:col>2</xdr:col>
                    <xdr:colOff>219075</xdr:colOff>
                    <xdr:row>6</xdr:row>
                    <xdr:rowOff>152400</xdr:rowOff>
                  </from>
                  <to>
                    <xdr:col>2</xdr:col>
                    <xdr:colOff>485775</xdr:colOff>
                    <xdr:row>8</xdr:row>
                    <xdr:rowOff>28575</xdr:rowOff>
                  </to>
                </anchor>
              </controlPr>
            </control>
          </mc:Choice>
        </mc:AlternateContent>
        <mc:AlternateContent xmlns:mc="http://schemas.openxmlformats.org/markup-compatibility/2006">
          <mc:Choice Requires="x14">
            <control shapeId="5137" r:id="rId4" name="CheckBox2">
              <controlPr defaultSize="0" autoFill="0" autoLine="0" autoPict="0" macro="[0]!CheckBox2_Click">
                <anchor moveWithCells="1">
                  <from>
                    <xdr:col>2</xdr:col>
                    <xdr:colOff>219075</xdr:colOff>
                    <xdr:row>7</xdr:row>
                    <xdr:rowOff>171450</xdr:rowOff>
                  </from>
                  <to>
                    <xdr:col>2</xdr:col>
                    <xdr:colOff>466725</xdr:colOff>
                    <xdr:row>9</xdr:row>
                    <xdr:rowOff>38100</xdr:rowOff>
                  </to>
                </anchor>
              </controlPr>
            </control>
          </mc:Choice>
        </mc:AlternateContent>
        <mc:AlternateContent xmlns:mc="http://schemas.openxmlformats.org/markup-compatibility/2006">
          <mc:Choice Requires="x14">
            <control shapeId="5139" r:id="rId5" name="CheckBox3">
              <controlPr defaultSize="0" autoFill="0" autoLine="0" autoPict="0" macro="[0]!CheckBox3_Click">
                <anchor moveWithCells="1">
                  <from>
                    <xdr:col>2</xdr:col>
                    <xdr:colOff>209550</xdr:colOff>
                    <xdr:row>8</xdr:row>
                    <xdr:rowOff>161925</xdr:rowOff>
                  </from>
                  <to>
                    <xdr:col>2</xdr:col>
                    <xdr:colOff>457200</xdr:colOff>
                    <xdr:row>10</xdr:row>
                    <xdr:rowOff>19050</xdr:rowOff>
                  </to>
                </anchor>
              </controlPr>
            </control>
          </mc:Choice>
        </mc:AlternateContent>
        <mc:AlternateContent xmlns:mc="http://schemas.openxmlformats.org/markup-compatibility/2006">
          <mc:Choice Requires="x14">
            <control shapeId="5141" r:id="rId6" name="CheckBox5">
              <controlPr defaultSize="0" autoFill="0" autoLine="0" autoPict="0" macro="[0]!CheckBox5_Click">
                <anchor moveWithCells="1">
                  <from>
                    <xdr:col>2</xdr:col>
                    <xdr:colOff>209550</xdr:colOff>
                    <xdr:row>12</xdr:row>
                    <xdr:rowOff>152400</xdr:rowOff>
                  </from>
                  <to>
                    <xdr:col>2</xdr:col>
                    <xdr:colOff>457200</xdr:colOff>
                    <xdr:row>14</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Introduction</vt:lpstr>
      <vt:lpstr>Schedule</vt:lpstr>
      <vt:lpstr>Dashboard</vt:lpstr>
      <vt:lpstr>Lists</vt:lpstr>
      <vt:lpstr>Settings</vt:lpstr>
      <vt:lpstr>rngEmpNum</vt:lpstr>
      <vt:lpstr>Dashboard!rngER</vt:lpstr>
      <vt:lpstr>rngER</vt:lpstr>
      <vt:lpstr>Dashboard!rngERT</vt:lpstr>
      <vt:lpstr>rngERT</vt:lpstr>
      <vt:lpstr>Dashboard!rngET</vt:lpstr>
      <vt:lpstr>rngET</vt:lpstr>
      <vt:lpstr>rngWeekNum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Natalie</dc:creator>
  <cp:lastModifiedBy>kareem mostafa</cp:lastModifiedBy>
  <dcterms:created xsi:type="dcterms:W3CDTF">2020-07-20T20:32:32Z</dcterms:created>
  <dcterms:modified xsi:type="dcterms:W3CDTF">2021-03-23T10:48:15Z</dcterms:modified>
</cp:coreProperties>
</file>